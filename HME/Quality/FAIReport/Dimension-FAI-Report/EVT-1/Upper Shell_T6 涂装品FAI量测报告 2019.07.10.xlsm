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G:\yxw\2019\7\07.11\雙瑩寸法\"/>
    </mc:Choice>
  </mc:AlternateContent>
  <xr:revisionPtr revIDLastSave="0" documentId="13_ncr:1_{0896399D-909D-4CB4-A97F-0EC86D1A30A1}" xr6:coauthVersionLast="43" xr6:coauthVersionMax="43" xr10:uidLastSave="{00000000-0000-0000-0000-000000000000}"/>
  <bookViews>
    <workbookView xWindow="-120" yWindow="-120" windowWidth="19440" windowHeight="15000" tabRatio="500" xr2:uid="{00000000-000D-0000-FFFF-FFFF00000000}"/>
  </bookViews>
  <sheets>
    <sheet name="FAI" sheetId="12" r:id="rId1"/>
    <sheet name="Drawing" sheetId="2" r:id="rId2"/>
    <sheet name="Setup" sheetId="3" state="hidden" r:id="rId3"/>
    <sheet name="Revision" sheetId="4" r:id="rId4"/>
  </sheets>
  <functionGroups builtInGroupCount="19"/>
  <externalReferences>
    <externalReference r:id="rId5"/>
  </externalReferences>
  <definedNames>
    <definedName name="_xlnm._FilterDatabase" localSheetId="0" hidden="1">FAI!$A$8:$X$180</definedName>
    <definedName name="dim_type">[1]Setup!$J$2:$J$5</definedName>
    <definedName name="insp_meth">[1]Setup!$H$2:$H$14</definedName>
  </definedNames>
  <calcPr calcId="181029"/>
</workbook>
</file>

<file path=xl/calcChain.xml><?xml version="1.0" encoding="utf-8"?>
<calcChain xmlns="http://schemas.openxmlformats.org/spreadsheetml/2006/main">
  <c r="Q156" i="12" l="1"/>
  <c r="R156" i="12"/>
  <c r="S156" i="12"/>
  <c r="U156" i="12" s="1"/>
  <c r="T156" i="12"/>
  <c r="V156" i="12" s="1"/>
  <c r="P156" i="12"/>
  <c r="O156" i="12"/>
  <c r="Q155" i="12"/>
  <c r="R155" i="12"/>
  <c r="S155" i="12"/>
  <c r="U155" i="12" s="1"/>
  <c r="T155" i="12"/>
  <c r="V155" i="12" s="1"/>
  <c r="P155" i="12"/>
  <c r="O155" i="12"/>
  <c r="I171" i="12"/>
  <c r="J171" i="12"/>
  <c r="I170" i="12"/>
  <c r="J170" i="12"/>
  <c r="I169" i="12"/>
  <c r="J169" i="12"/>
  <c r="I168" i="12"/>
  <c r="J168" i="12"/>
  <c r="I167" i="12"/>
  <c r="J167" i="12"/>
  <c r="I166" i="12"/>
  <c r="J166" i="12"/>
  <c r="J68" i="12"/>
  <c r="I68" i="12"/>
  <c r="J67" i="12"/>
  <c r="I67" i="12"/>
  <c r="T150" i="12"/>
  <c r="V150" i="12" s="1"/>
  <c r="S150" i="12"/>
  <c r="U150" i="12" s="1"/>
  <c r="R150" i="12"/>
  <c r="Q150" i="12"/>
  <c r="P150" i="12"/>
  <c r="O150" i="12"/>
  <c r="J150" i="12"/>
  <c r="I150" i="12"/>
  <c r="T180" i="12"/>
  <c r="V180" i="12" s="1"/>
  <c r="S180" i="12"/>
  <c r="R180" i="12"/>
  <c r="Q180" i="12"/>
  <c r="P180" i="12"/>
  <c r="O180" i="12"/>
  <c r="J180" i="12"/>
  <c r="I180" i="12"/>
  <c r="T179" i="12"/>
  <c r="V179" i="12" s="1"/>
  <c r="S179" i="12"/>
  <c r="R179" i="12"/>
  <c r="Q179" i="12"/>
  <c r="P179" i="12"/>
  <c r="O179" i="12"/>
  <c r="J179" i="12"/>
  <c r="I179" i="12"/>
  <c r="T178" i="12"/>
  <c r="V178" i="12" s="1"/>
  <c r="S178" i="12"/>
  <c r="R178" i="12"/>
  <c r="Q178" i="12"/>
  <c r="P178" i="12"/>
  <c r="O178" i="12"/>
  <c r="J178" i="12"/>
  <c r="I178" i="12"/>
  <c r="T177" i="12"/>
  <c r="V177" i="12" s="1"/>
  <c r="S177" i="12"/>
  <c r="R177" i="12"/>
  <c r="Q177" i="12"/>
  <c r="P177" i="12"/>
  <c r="O177" i="12"/>
  <c r="J177" i="12"/>
  <c r="I177" i="12"/>
  <c r="T176" i="12"/>
  <c r="V176" i="12" s="1"/>
  <c r="S176" i="12"/>
  <c r="R176" i="12"/>
  <c r="Q176" i="12"/>
  <c r="P176" i="12"/>
  <c r="O176" i="12"/>
  <c r="J176" i="12"/>
  <c r="I176" i="12"/>
  <c r="T175" i="12"/>
  <c r="V175" i="12" s="1"/>
  <c r="S175" i="12"/>
  <c r="R175" i="12"/>
  <c r="Q175" i="12"/>
  <c r="P175" i="12"/>
  <c r="O175" i="12"/>
  <c r="J175" i="12"/>
  <c r="I175" i="12"/>
  <c r="T174" i="12"/>
  <c r="V174" i="12" s="1"/>
  <c r="S174" i="12"/>
  <c r="R174" i="12"/>
  <c r="Q174" i="12"/>
  <c r="P174" i="12"/>
  <c r="O174" i="12"/>
  <c r="J174" i="12"/>
  <c r="I174" i="12"/>
  <c r="T173" i="12"/>
  <c r="V173" i="12" s="1"/>
  <c r="S173" i="12"/>
  <c r="R173" i="12"/>
  <c r="Q173" i="12"/>
  <c r="P173" i="12"/>
  <c r="O173" i="12"/>
  <c r="J173" i="12"/>
  <c r="I173" i="12"/>
  <c r="T172" i="12"/>
  <c r="V172" i="12" s="1"/>
  <c r="S172" i="12"/>
  <c r="R172" i="12"/>
  <c r="Q172" i="12"/>
  <c r="P172" i="12"/>
  <c r="O172" i="12"/>
  <c r="J172" i="12"/>
  <c r="I172" i="12"/>
  <c r="T171" i="12"/>
  <c r="V171" i="12" s="1"/>
  <c r="S171" i="12"/>
  <c r="R171" i="12"/>
  <c r="Q171" i="12"/>
  <c r="P171" i="12"/>
  <c r="O171" i="12"/>
  <c r="T170" i="12"/>
  <c r="V170" i="12" s="1"/>
  <c r="S170" i="12"/>
  <c r="R170" i="12"/>
  <c r="Q170" i="12"/>
  <c r="P170" i="12"/>
  <c r="O170" i="12"/>
  <c r="T169" i="12"/>
  <c r="V169" i="12" s="1"/>
  <c r="S169" i="12"/>
  <c r="R169" i="12"/>
  <c r="Q169" i="12"/>
  <c r="P169" i="12"/>
  <c r="O169" i="12"/>
  <c r="T168" i="12"/>
  <c r="V168" i="12" s="1"/>
  <c r="S168" i="12"/>
  <c r="R168" i="12"/>
  <c r="Q168" i="12"/>
  <c r="P168" i="12"/>
  <c r="O168" i="12"/>
  <c r="T167" i="12"/>
  <c r="V167" i="12" s="1"/>
  <c r="S167" i="12"/>
  <c r="R167" i="12"/>
  <c r="Q167" i="12"/>
  <c r="P167" i="12"/>
  <c r="O167" i="12"/>
  <c r="T166" i="12"/>
  <c r="V166" i="12" s="1"/>
  <c r="S166" i="12"/>
  <c r="R166" i="12"/>
  <c r="Q166" i="12"/>
  <c r="P166" i="12"/>
  <c r="O166" i="12"/>
  <c r="T165" i="12"/>
  <c r="V165" i="12" s="1"/>
  <c r="S165" i="12"/>
  <c r="R165" i="12"/>
  <c r="Q165" i="12"/>
  <c r="P165" i="12"/>
  <c r="O165" i="12"/>
  <c r="J165" i="12"/>
  <c r="I165" i="12"/>
  <c r="T164" i="12"/>
  <c r="V164" i="12" s="1"/>
  <c r="S164" i="12"/>
  <c r="R164" i="12"/>
  <c r="Q164" i="12"/>
  <c r="P164" i="12"/>
  <c r="O164" i="12"/>
  <c r="J164" i="12"/>
  <c r="I164" i="12"/>
  <c r="T163" i="12"/>
  <c r="V163" i="12" s="1"/>
  <c r="S163" i="12"/>
  <c r="R163" i="12"/>
  <c r="Q163" i="12"/>
  <c r="P163" i="12"/>
  <c r="O163" i="12"/>
  <c r="J163" i="12"/>
  <c r="I163" i="12"/>
  <c r="T162" i="12"/>
  <c r="V162" i="12" s="1"/>
  <c r="S162" i="12"/>
  <c r="R162" i="12"/>
  <c r="Q162" i="12"/>
  <c r="P162" i="12"/>
  <c r="O162" i="12"/>
  <c r="J162" i="12"/>
  <c r="I162" i="12"/>
  <c r="T161" i="12"/>
  <c r="V161" i="12" s="1"/>
  <c r="S161" i="12"/>
  <c r="R161" i="12"/>
  <c r="Q161" i="12"/>
  <c r="P161" i="12"/>
  <c r="O161" i="12"/>
  <c r="J161" i="12"/>
  <c r="I161" i="12"/>
  <c r="T160" i="12"/>
  <c r="V160" i="12" s="1"/>
  <c r="S160" i="12"/>
  <c r="R160" i="12"/>
  <c r="Q160" i="12"/>
  <c r="P160" i="12"/>
  <c r="O160" i="12"/>
  <c r="J160" i="12"/>
  <c r="I160" i="12"/>
  <c r="T159" i="12"/>
  <c r="V159" i="12" s="1"/>
  <c r="S159" i="12"/>
  <c r="R159" i="12"/>
  <c r="Q159" i="12"/>
  <c r="P159" i="12"/>
  <c r="O159" i="12"/>
  <c r="J159" i="12"/>
  <c r="I159" i="12"/>
  <c r="T158" i="12"/>
  <c r="V158" i="12" s="1"/>
  <c r="S158" i="12"/>
  <c r="R158" i="12"/>
  <c r="Q158" i="12"/>
  <c r="P158" i="12"/>
  <c r="O158" i="12"/>
  <c r="J158" i="12"/>
  <c r="I158" i="12"/>
  <c r="T157" i="12"/>
  <c r="V157" i="12" s="1"/>
  <c r="S157" i="12"/>
  <c r="R157" i="12"/>
  <c r="Q157" i="12"/>
  <c r="P157" i="12"/>
  <c r="O157" i="12"/>
  <c r="J157" i="12"/>
  <c r="I157" i="12"/>
  <c r="T154" i="12"/>
  <c r="V154" i="12" s="1"/>
  <c r="S154" i="12"/>
  <c r="R154" i="12"/>
  <c r="Q154" i="12"/>
  <c r="P154" i="12"/>
  <c r="O154" i="12"/>
  <c r="J154" i="12"/>
  <c r="I154" i="12"/>
  <c r="T153" i="12"/>
  <c r="V153" i="12" s="1"/>
  <c r="S153" i="12"/>
  <c r="R153" i="12"/>
  <c r="Q153" i="12"/>
  <c r="P153" i="12"/>
  <c r="O153" i="12"/>
  <c r="J153" i="12"/>
  <c r="I153" i="12"/>
  <c r="T152" i="12"/>
  <c r="V152" i="12" s="1"/>
  <c r="S152" i="12"/>
  <c r="R152" i="12"/>
  <c r="Q152" i="12"/>
  <c r="P152" i="12"/>
  <c r="O152" i="12"/>
  <c r="J152" i="12"/>
  <c r="I152" i="12"/>
  <c r="T151" i="12"/>
  <c r="V151" i="12" s="1"/>
  <c r="S151" i="12"/>
  <c r="R151" i="12"/>
  <c r="Q151" i="12"/>
  <c r="P151" i="12"/>
  <c r="O151" i="12"/>
  <c r="J151" i="12"/>
  <c r="I151" i="12"/>
  <c r="T149" i="12"/>
  <c r="V149" i="12" s="1"/>
  <c r="S149" i="12"/>
  <c r="R149" i="12"/>
  <c r="Q149" i="12"/>
  <c r="P149" i="12"/>
  <c r="O149" i="12"/>
  <c r="J149" i="12"/>
  <c r="I149" i="12"/>
  <c r="T148" i="12"/>
  <c r="V148" i="12" s="1"/>
  <c r="S148" i="12"/>
  <c r="R148" i="12"/>
  <c r="Q148" i="12"/>
  <c r="P148" i="12"/>
  <c r="O148" i="12"/>
  <c r="J148" i="12"/>
  <c r="I148" i="12"/>
  <c r="T147" i="12"/>
  <c r="V147" i="12" s="1"/>
  <c r="S147" i="12"/>
  <c r="R147" i="12"/>
  <c r="Q147" i="12"/>
  <c r="P147" i="12"/>
  <c r="O147" i="12"/>
  <c r="J147" i="12"/>
  <c r="I147" i="12"/>
  <c r="T146" i="12"/>
  <c r="V146" i="12" s="1"/>
  <c r="S146" i="12"/>
  <c r="R146" i="12"/>
  <c r="Q146" i="12"/>
  <c r="P146" i="12"/>
  <c r="O146" i="12"/>
  <c r="J146" i="12"/>
  <c r="I146" i="12"/>
  <c r="T145" i="12"/>
  <c r="V145" i="12" s="1"/>
  <c r="S145" i="12"/>
  <c r="R145" i="12"/>
  <c r="Q145" i="12"/>
  <c r="P145" i="12"/>
  <c r="O145" i="12"/>
  <c r="J145" i="12"/>
  <c r="I145" i="12"/>
  <c r="T144" i="12"/>
  <c r="V144" i="12" s="1"/>
  <c r="S144" i="12"/>
  <c r="R144" i="12"/>
  <c r="Q144" i="12"/>
  <c r="P144" i="12"/>
  <c r="O144" i="12"/>
  <c r="J144" i="12"/>
  <c r="I144" i="12"/>
  <c r="T143" i="12"/>
  <c r="V143" i="12" s="1"/>
  <c r="S143" i="12"/>
  <c r="R143" i="12"/>
  <c r="Q143" i="12"/>
  <c r="P143" i="12"/>
  <c r="O143" i="12"/>
  <c r="J143" i="12"/>
  <c r="I143" i="12"/>
  <c r="T142" i="12"/>
  <c r="V142" i="12" s="1"/>
  <c r="S142" i="12"/>
  <c r="R142" i="12"/>
  <c r="Q142" i="12"/>
  <c r="P142" i="12"/>
  <c r="O142" i="12"/>
  <c r="J142" i="12"/>
  <c r="I142" i="12"/>
  <c r="T141" i="12"/>
  <c r="V141" i="12" s="1"/>
  <c r="S141" i="12"/>
  <c r="R141" i="12"/>
  <c r="Q141" i="12"/>
  <c r="P141" i="12"/>
  <c r="O141" i="12"/>
  <c r="J141" i="12"/>
  <c r="I141" i="12"/>
  <c r="T140" i="12"/>
  <c r="V140" i="12" s="1"/>
  <c r="S140" i="12"/>
  <c r="R140" i="12"/>
  <c r="Q140" i="12"/>
  <c r="P140" i="12"/>
  <c r="O140" i="12"/>
  <c r="J140" i="12"/>
  <c r="I140" i="12"/>
  <c r="T139" i="12"/>
  <c r="V139" i="12" s="1"/>
  <c r="S139" i="12"/>
  <c r="R139" i="12"/>
  <c r="Q139" i="12"/>
  <c r="P139" i="12"/>
  <c r="O139" i="12"/>
  <c r="J139" i="12"/>
  <c r="I139" i="12"/>
  <c r="T138" i="12"/>
  <c r="V138" i="12" s="1"/>
  <c r="S138" i="12"/>
  <c r="R138" i="12"/>
  <c r="Q138" i="12"/>
  <c r="P138" i="12"/>
  <c r="O138" i="12"/>
  <c r="J138" i="12"/>
  <c r="I138" i="12"/>
  <c r="T137" i="12"/>
  <c r="V137" i="12" s="1"/>
  <c r="S137" i="12"/>
  <c r="R137" i="12"/>
  <c r="Q137" i="12"/>
  <c r="P137" i="12"/>
  <c r="O137" i="12"/>
  <c r="J137" i="12"/>
  <c r="I137" i="12"/>
  <c r="T136" i="12"/>
  <c r="V136" i="12" s="1"/>
  <c r="S136" i="12"/>
  <c r="R136" i="12"/>
  <c r="Q136" i="12"/>
  <c r="P136" i="12"/>
  <c r="O136" i="12"/>
  <c r="J136" i="12"/>
  <c r="I136" i="12"/>
  <c r="T135" i="12"/>
  <c r="V135" i="12" s="1"/>
  <c r="S135" i="12"/>
  <c r="R135" i="12"/>
  <c r="Q135" i="12"/>
  <c r="P135" i="12"/>
  <c r="O135" i="12"/>
  <c r="J135" i="12"/>
  <c r="I135" i="12"/>
  <c r="T134" i="12"/>
  <c r="V134" i="12" s="1"/>
  <c r="S134" i="12"/>
  <c r="R134" i="12"/>
  <c r="Q134" i="12"/>
  <c r="P134" i="12"/>
  <c r="O134" i="12"/>
  <c r="J134" i="12"/>
  <c r="I134" i="12"/>
  <c r="T133" i="12"/>
  <c r="V133" i="12" s="1"/>
  <c r="S133" i="12"/>
  <c r="R133" i="12"/>
  <c r="Q133" i="12"/>
  <c r="P133" i="12"/>
  <c r="O133" i="12"/>
  <c r="J133" i="12"/>
  <c r="I133" i="12"/>
  <c r="T132" i="12"/>
  <c r="V132" i="12" s="1"/>
  <c r="S132" i="12"/>
  <c r="R132" i="12"/>
  <c r="Q132" i="12"/>
  <c r="P132" i="12"/>
  <c r="O132" i="12"/>
  <c r="J132" i="12"/>
  <c r="I132" i="12"/>
  <c r="T131" i="12"/>
  <c r="V131" i="12" s="1"/>
  <c r="S131" i="12"/>
  <c r="R131" i="12"/>
  <c r="Q131" i="12"/>
  <c r="P131" i="12"/>
  <c r="O131" i="12"/>
  <c r="J131" i="12"/>
  <c r="I131" i="12"/>
  <c r="T130" i="12"/>
  <c r="V130" i="12" s="1"/>
  <c r="S130" i="12"/>
  <c r="R130" i="12"/>
  <c r="Q130" i="12"/>
  <c r="P130" i="12"/>
  <c r="O130" i="12"/>
  <c r="J130" i="12"/>
  <c r="I130" i="12"/>
  <c r="T129" i="12"/>
  <c r="V129" i="12" s="1"/>
  <c r="S129" i="12"/>
  <c r="R129" i="12"/>
  <c r="Q129" i="12"/>
  <c r="P129" i="12"/>
  <c r="O129" i="12"/>
  <c r="J129" i="12"/>
  <c r="I129" i="12"/>
  <c r="T128" i="12"/>
  <c r="V128" i="12" s="1"/>
  <c r="S128" i="12"/>
  <c r="R128" i="12"/>
  <c r="Q128" i="12"/>
  <c r="P128" i="12"/>
  <c r="O128" i="12"/>
  <c r="J128" i="12"/>
  <c r="I128" i="12"/>
  <c r="T127" i="12"/>
  <c r="V127" i="12" s="1"/>
  <c r="S127" i="12"/>
  <c r="R127" i="12"/>
  <c r="Q127" i="12"/>
  <c r="P127" i="12"/>
  <c r="O127" i="12"/>
  <c r="J127" i="12"/>
  <c r="I127" i="12"/>
  <c r="T126" i="12"/>
  <c r="V126" i="12" s="1"/>
  <c r="S126" i="12"/>
  <c r="R126" i="12"/>
  <c r="Q126" i="12"/>
  <c r="P126" i="12"/>
  <c r="O126" i="12"/>
  <c r="J126" i="12"/>
  <c r="I126" i="12"/>
  <c r="T125" i="12"/>
  <c r="V125" i="12" s="1"/>
  <c r="S125" i="12"/>
  <c r="R125" i="12"/>
  <c r="Q125" i="12"/>
  <c r="P125" i="12"/>
  <c r="O125" i="12"/>
  <c r="J125" i="12"/>
  <c r="I125" i="12"/>
  <c r="T124" i="12"/>
  <c r="V124" i="12" s="1"/>
  <c r="S124" i="12"/>
  <c r="R124" i="12"/>
  <c r="Q124" i="12"/>
  <c r="P124" i="12"/>
  <c r="O124" i="12"/>
  <c r="J124" i="12"/>
  <c r="I124" i="12"/>
  <c r="T123" i="12"/>
  <c r="V123" i="12" s="1"/>
  <c r="S123" i="12"/>
  <c r="R123" i="12"/>
  <c r="Q123" i="12"/>
  <c r="P123" i="12"/>
  <c r="O123" i="12"/>
  <c r="J123" i="12"/>
  <c r="I123" i="12"/>
  <c r="T122" i="12"/>
  <c r="V122" i="12" s="1"/>
  <c r="S122" i="12"/>
  <c r="R122" i="12"/>
  <c r="Q122" i="12"/>
  <c r="P122" i="12"/>
  <c r="O122" i="12"/>
  <c r="J122" i="12"/>
  <c r="I122" i="12"/>
  <c r="T121" i="12"/>
  <c r="V121" i="12" s="1"/>
  <c r="S121" i="12"/>
  <c r="R121" i="12"/>
  <c r="Q121" i="12"/>
  <c r="P121" i="12"/>
  <c r="O121" i="12"/>
  <c r="J121" i="12"/>
  <c r="I121" i="12"/>
  <c r="T120" i="12"/>
  <c r="V120" i="12" s="1"/>
  <c r="S120" i="12"/>
  <c r="R120" i="12"/>
  <c r="Q120" i="12"/>
  <c r="P120" i="12"/>
  <c r="O120" i="12"/>
  <c r="J120" i="12"/>
  <c r="I120" i="12"/>
  <c r="T119" i="12"/>
  <c r="V119" i="12" s="1"/>
  <c r="S119" i="12"/>
  <c r="R119" i="12"/>
  <c r="Q119" i="12"/>
  <c r="P119" i="12"/>
  <c r="O119" i="12"/>
  <c r="J119" i="12"/>
  <c r="I119" i="12"/>
  <c r="T118" i="12"/>
  <c r="V118" i="12" s="1"/>
  <c r="S118" i="12"/>
  <c r="R118" i="12"/>
  <c r="Q118" i="12"/>
  <c r="P118" i="12"/>
  <c r="O118" i="12"/>
  <c r="J118" i="12"/>
  <c r="I118" i="12"/>
  <c r="T117" i="12"/>
  <c r="V117" i="12" s="1"/>
  <c r="S117" i="12"/>
  <c r="R117" i="12"/>
  <c r="Q117" i="12"/>
  <c r="P117" i="12"/>
  <c r="O117" i="12"/>
  <c r="J117" i="12"/>
  <c r="I117" i="12"/>
  <c r="T116" i="12"/>
  <c r="V116" i="12" s="1"/>
  <c r="S116" i="12"/>
  <c r="R116" i="12"/>
  <c r="Q116" i="12"/>
  <c r="P116" i="12"/>
  <c r="O116" i="12"/>
  <c r="J116" i="12"/>
  <c r="I116" i="12"/>
  <c r="T115" i="12"/>
  <c r="V115" i="12" s="1"/>
  <c r="S115" i="12"/>
  <c r="R115" i="12"/>
  <c r="Q115" i="12"/>
  <c r="P115" i="12"/>
  <c r="O115" i="12"/>
  <c r="J115" i="12"/>
  <c r="I115" i="12"/>
  <c r="T114" i="12"/>
  <c r="V114" i="12" s="1"/>
  <c r="S114" i="12"/>
  <c r="R114" i="12"/>
  <c r="Q114" i="12"/>
  <c r="P114" i="12"/>
  <c r="O114" i="12"/>
  <c r="J114" i="12"/>
  <c r="I114" i="12"/>
  <c r="T113" i="12"/>
  <c r="V113" i="12" s="1"/>
  <c r="S113" i="12"/>
  <c r="R113" i="12"/>
  <c r="Q113" i="12"/>
  <c r="P113" i="12"/>
  <c r="O113" i="12"/>
  <c r="J113" i="12"/>
  <c r="I113" i="12"/>
  <c r="T112" i="12"/>
  <c r="V112" i="12" s="1"/>
  <c r="S112" i="12"/>
  <c r="R112" i="12"/>
  <c r="Q112" i="12"/>
  <c r="P112" i="12"/>
  <c r="O112" i="12"/>
  <c r="J112" i="12"/>
  <c r="I112" i="12"/>
  <c r="T111" i="12"/>
  <c r="V111" i="12" s="1"/>
  <c r="S111" i="12"/>
  <c r="R111" i="12"/>
  <c r="Q111" i="12"/>
  <c r="P111" i="12"/>
  <c r="O111" i="12"/>
  <c r="J111" i="12"/>
  <c r="I111" i="12"/>
  <c r="T110" i="12"/>
  <c r="V110" i="12" s="1"/>
  <c r="S110" i="12"/>
  <c r="U110" i="12" s="1"/>
  <c r="R110" i="12"/>
  <c r="Q110" i="12"/>
  <c r="P110" i="12"/>
  <c r="O110" i="12"/>
  <c r="J110" i="12"/>
  <c r="I110" i="12"/>
  <c r="T109" i="12"/>
  <c r="V109" i="12" s="1"/>
  <c r="S109" i="12"/>
  <c r="U109" i="12" s="1"/>
  <c r="R109" i="12"/>
  <c r="Q109" i="12"/>
  <c r="P109" i="12"/>
  <c r="O109" i="12"/>
  <c r="J109" i="12"/>
  <c r="I109" i="12"/>
  <c r="T108" i="12"/>
  <c r="V108" i="12" s="1"/>
  <c r="S108" i="12"/>
  <c r="R108" i="12"/>
  <c r="Q108" i="12"/>
  <c r="P108" i="12"/>
  <c r="O108" i="12"/>
  <c r="J108" i="12"/>
  <c r="I108" i="12"/>
  <c r="T107" i="12"/>
  <c r="V107" i="12" s="1"/>
  <c r="S107" i="12"/>
  <c r="R107" i="12"/>
  <c r="Q107" i="12"/>
  <c r="P107" i="12"/>
  <c r="O107" i="12"/>
  <c r="J107" i="12"/>
  <c r="I107" i="12"/>
  <c r="T106" i="12"/>
  <c r="V106" i="12" s="1"/>
  <c r="S106" i="12"/>
  <c r="R106" i="12"/>
  <c r="Q106" i="12"/>
  <c r="P106" i="12"/>
  <c r="O106" i="12"/>
  <c r="J106" i="12"/>
  <c r="I106" i="12"/>
  <c r="T105" i="12"/>
  <c r="V105" i="12" s="1"/>
  <c r="S105" i="12"/>
  <c r="U105" i="12" s="1"/>
  <c r="R105" i="12"/>
  <c r="Q105" i="12"/>
  <c r="P105" i="12"/>
  <c r="O105" i="12"/>
  <c r="J105" i="12"/>
  <c r="I105" i="12"/>
  <c r="T104" i="12"/>
  <c r="V104" i="12" s="1"/>
  <c r="S104" i="12"/>
  <c r="U104" i="12" s="1"/>
  <c r="R104" i="12"/>
  <c r="Q104" i="12"/>
  <c r="P104" i="12"/>
  <c r="O104" i="12"/>
  <c r="J104" i="12"/>
  <c r="I104" i="12"/>
  <c r="T103" i="12"/>
  <c r="V103" i="12" s="1"/>
  <c r="S103" i="12"/>
  <c r="U103" i="12" s="1"/>
  <c r="R103" i="12"/>
  <c r="Q103" i="12"/>
  <c r="P103" i="12"/>
  <c r="O103" i="12"/>
  <c r="J103" i="12"/>
  <c r="I103" i="12"/>
  <c r="T102" i="12"/>
  <c r="V102" i="12" s="1"/>
  <c r="S102" i="12"/>
  <c r="U102" i="12" s="1"/>
  <c r="R102" i="12"/>
  <c r="Q102" i="12"/>
  <c r="P102" i="12"/>
  <c r="O102" i="12"/>
  <c r="J102" i="12"/>
  <c r="I102" i="12"/>
  <c r="T101" i="12"/>
  <c r="V101" i="12" s="1"/>
  <c r="S101" i="12"/>
  <c r="U101" i="12" s="1"/>
  <c r="R101" i="12"/>
  <c r="Q101" i="12"/>
  <c r="P101" i="12"/>
  <c r="O101" i="12"/>
  <c r="J101" i="12"/>
  <c r="I101" i="12"/>
  <c r="T100" i="12"/>
  <c r="V100" i="12" s="1"/>
  <c r="S100" i="12"/>
  <c r="U100" i="12" s="1"/>
  <c r="R100" i="12"/>
  <c r="Q100" i="12"/>
  <c r="P100" i="12"/>
  <c r="O100" i="12"/>
  <c r="T99" i="12"/>
  <c r="V99" i="12" s="1"/>
  <c r="S99" i="12"/>
  <c r="U99" i="12" s="1"/>
  <c r="R99" i="12"/>
  <c r="Q99" i="12"/>
  <c r="P99" i="12"/>
  <c r="O99" i="12"/>
  <c r="T98" i="12"/>
  <c r="V98" i="12" s="1"/>
  <c r="S98" i="12"/>
  <c r="U98" i="12" s="1"/>
  <c r="R98" i="12"/>
  <c r="Q98" i="12"/>
  <c r="P98" i="12"/>
  <c r="O98" i="12"/>
  <c r="T97" i="12"/>
  <c r="V97" i="12" s="1"/>
  <c r="S97" i="12"/>
  <c r="U97" i="12" s="1"/>
  <c r="R97" i="12"/>
  <c r="Q97" i="12"/>
  <c r="P97" i="12"/>
  <c r="O97" i="12"/>
  <c r="J97" i="12"/>
  <c r="I97" i="12"/>
  <c r="T96" i="12"/>
  <c r="V96" i="12" s="1"/>
  <c r="S96" i="12"/>
  <c r="U96" i="12" s="1"/>
  <c r="R96" i="12"/>
  <c r="Q96" i="12"/>
  <c r="P96" i="12"/>
  <c r="O96" i="12"/>
  <c r="J96" i="12"/>
  <c r="I96" i="12"/>
  <c r="T95" i="12"/>
  <c r="V95" i="12" s="1"/>
  <c r="S95" i="12"/>
  <c r="U95" i="12" s="1"/>
  <c r="R95" i="12"/>
  <c r="Q95" i="12"/>
  <c r="P95" i="12"/>
  <c r="O95" i="12"/>
  <c r="J95" i="12"/>
  <c r="I95" i="12"/>
  <c r="T94" i="12"/>
  <c r="V94" i="12" s="1"/>
  <c r="S94" i="12"/>
  <c r="U94" i="12" s="1"/>
  <c r="R94" i="12"/>
  <c r="Q94" i="12"/>
  <c r="P94" i="12"/>
  <c r="O94" i="12"/>
  <c r="J94" i="12"/>
  <c r="I94" i="12"/>
  <c r="T93" i="12"/>
  <c r="V93" i="12" s="1"/>
  <c r="S93" i="12"/>
  <c r="U93" i="12" s="1"/>
  <c r="R93" i="12"/>
  <c r="Q93" i="12"/>
  <c r="P93" i="12"/>
  <c r="O93" i="12"/>
  <c r="J93" i="12"/>
  <c r="I93" i="12"/>
  <c r="T92" i="12"/>
  <c r="V92" i="12" s="1"/>
  <c r="S92" i="12"/>
  <c r="U92" i="12" s="1"/>
  <c r="R92" i="12"/>
  <c r="Q92" i="12"/>
  <c r="P92" i="12"/>
  <c r="O92" i="12"/>
  <c r="J92" i="12"/>
  <c r="I92" i="12"/>
  <c r="T91" i="12"/>
  <c r="V91" i="12" s="1"/>
  <c r="S91" i="12"/>
  <c r="U91" i="12" s="1"/>
  <c r="R91" i="12"/>
  <c r="Q91" i="12"/>
  <c r="P91" i="12"/>
  <c r="O91" i="12"/>
  <c r="J91" i="12"/>
  <c r="I91" i="12"/>
  <c r="T90" i="12"/>
  <c r="V90" i="12" s="1"/>
  <c r="S90" i="12"/>
  <c r="U90" i="12" s="1"/>
  <c r="R90" i="12"/>
  <c r="Q90" i="12"/>
  <c r="P90" i="12"/>
  <c r="O90" i="12"/>
  <c r="J90" i="12"/>
  <c r="I90" i="12"/>
  <c r="T89" i="12"/>
  <c r="V89" i="12" s="1"/>
  <c r="S89" i="12"/>
  <c r="U89" i="12" s="1"/>
  <c r="R89" i="12"/>
  <c r="Q89" i="12"/>
  <c r="P89" i="12"/>
  <c r="O89" i="12"/>
  <c r="T88" i="12"/>
  <c r="V88" i="12" s="1"/>
  <c r="S88" i="12"/>
  <c r="U88" i="12" s="1"/>
  <c r="R88" i="12"/>
  <c r="Q88" i="12"/>
  <c r="P88" i="12"/>
  <c r="O88" i="12"/>
  <c r="T87" i="12"/>
  <c r="V87" i="12" s="1"/>
  <c r="S87" i="12"/>
  <c r="U87" i="12" s="1"/>
  <c r="R87" i="12"/>
  <c r="Q87" i="12"/>
  <c r="P87" i="12"/>
  <c r="O87" i="12"/>
  <c r="T86" i="12"/>
  <c r="V86" i="12" s="1"/>
  <c r="S86" i="12"/>
  <c r="U86" i="12" s="1"/>
  <c r="R86" i="12"/>
  <c r="Q86" i="12"/>
  <c r="P86" i="12"/>
  <c r="O86" i="12"/>
  <c r="T85" i="12"/>
  <c r="V85" i="12" s="1"/>
  <c r="S85" i="12"/>
  <c r="U85" i="12" s="1"/>
  <c r="R85" i="12"/>
  <c r="Q85" i="12"/>
  <c r="P85" i="12"/>
  <c r="O85" i="12"/>
  <c r="J85" i="12"/>
  <c r="I85" i="12"/>
  <c r="T84" i="12"/>
  <c r="V84" i="12" s="1"/>
  <c r="S84" i="12"/>
  <c r="U84" i="12" s="1"/>
  <c r="R84" i="12"/>
  <c r="Q84" i="12"/>
  <c r="P84" i="12"/>
  <c r="O84" i="12"/>
  <c r="J84" i="12"/>
  <c r="I84" i="12"/>
  <c r="T83" i="12"/>
  <c r="V83" i="12" s="1"/>
  <c r="S83" i="12"/>
  <c r="U83" i="12" s="1"/>
  <c r="R83" i="12"/>
  <c r="Q83" i="12"/>
  <c r="P83" i="12"/>
  <c r="O83" i="12"/>
  <c r="J83" i="12"/>
  <c r="I83" i="12"/>
  <c r="T82" i="12"/>
  <c r="V82" i="12" s="1"/>
  <c r="S82" i="12"/>
  <c r="U82" i="12" s="1"/>
  <c r="R82" i="12"/>
  <c r="Q82" i="12"/>
  <c r="P82" i="12"/>
  <c r="O82" i="12"/>
  <c r="J82" i="12"/>
  <c r="I82" i="12"/>
  <c r="T81" i="12"/>
  <c r="V81" i="12" s="1"/>
  <c r="S81" i="12"/>
  <c r="U81" i="12" s="1"/>
  <c r="R81" i="12"/>
  <c r="Q81" i="12"/>
  <c r="P81" i="12"/>
  <c r="O81" i="12"/>
  <c r="J81" i="12"/>
  <c r="I81" i="12"/>
  <c r="T80" i="12"/>
  <c r="V80" i="12" s="1"/>
  <c r="S80" i="12"/>
  <c r="U80" i="12" s="1"/>
  <c r="R80" i="12"/>
  <c r="Q80" i="12"/>
  <c r="P80" i="12"/>
  <c r="O80" i="12"/>
  <c r="J80" i="12"/>
  <c r="I80" i="12"/>
  <c r="T79" i="12"/>
  <c r="V79" i="12" s="1"/>
  <c r="S79" i="12"/>
  <c r="U79" i="12" s="1"/>
  <c r="R79" i="12"/>
  <c r="Q79" i="12"/>
  <c r="P79" i="12"/>
  <c r="O79" i="12"/>
  <c r="J79" i="12"/>
  <c r="I79" i="12"/>
  <c r="T78" i="12"/>
  <c r="V78" i="12" s="1"/>
  <c r="S78" i="12"/>
  <c r="U78" i="12" s="1"/>
  <c r="R78" i="12"/>
  <c r="Q78" i="12"/>
  <c r="P78" i="12"/>
  <c r="O78" i="12"/>
  <c r="J78" i="12"/>
  <c r="I78" i="12"/>
  <c r="T77" i="12"/>
  <c r="V77" i="12" s="1"/>
  <c r="S77" i="12"/>
  <c r="U77" i="12" s="1"/>
  <c r="R77" i="12"/>
  <c r="Q77" i="12"/>
  <c r="P77" i="12"/>
  <c r="O77" i="12"/>
  <c r="J77" i="12"/>
  <c r="I77" i="12"/>
  <c r="T76" i="12"/>
  <c r="V76" i="12" s="1"/>
  <c r="S76" i="12"/>
  <c r="U76" i="12" s="1"/>
  <c r="R76" i="12"/>
  <c r="Q76" i="12"/>
  <c r="P76" i="12"/>
  <c r="O76" i="12"/>
  <c r="J76" i="12"/>
  <c r="I76" i="12"/>
  <c r="T75" i="12"/>
  <c r="V75" i="12" s="1"/>
  <c r="S75" i="12"/>
  <c r="U75" i="12" s="1"/>
  <c r="R75" i="12"/>
  <c r="Q75" i="12"/>
  <c r="P75" i="12"/>
  <c r="O75" i="12"/>
  <c r="J75" i="12"/>
  <c r="I75" i="12"/>
  <c r="T74" i="12"/>
  <c r="V74" i="12" s="1"/>
  <c r="S74" i="12"/>
  <c r="U74" i="12" s="1"/>
  <c r="R74" i="12"/>
  <c r="Q74" i="12"/>
  <c r="P74" i="12"/>
  <c r="O74" i="12"/>
  <c r="J74" i="12"/>
  <c r="I74" i="12"/>
  <c r="T73" i="12"/>
  <c r="V73" i="12" s="1"/>
  <c r="S73" i="12"/>
  <c r="U73" i="12" s="1"/>
  <c r="R73" i="12"/>
  <c r="Q73" i="12"/>
  <c r="P73" i="12"/>
  <c r="O73" i="12"/>
  <c r="T72" i="12"/>
  <c r="V72" i="12" s="1"/>
  <c r="S72" i="12"/>
  <c r="U72" i="12" s="1"/>
  <c r="R72" i="12"/>
  <c r="Q72" i="12"/>
  <c r="P72" i="12"/>
  <c r="O72" i="12"/>
  <c r="T71" i="12"/>
  <c r="V71" i="12" s="1"/>
  <c r="S71" i="12"/>
  <c r="U71" i="12" s="1"/>
  <c r="R71" i="12"/>
  <c r="Q71" i="12"/>
  <c r="P71" i="12"/>
  <c r="O71" i="12"/>
  <c r="T70" i="12"/>
  <c r="V70" i="12" s="1"/>
  <c r="S70" i="12"/>
  <c r="U70" i="12" s="1"/>
  <c r="R70" i="12"/>
  <c r="Q70" i="12"/>
  <c r="P70" i="12"/>
  <c r="O70" i="12"/>
  <c r="T69" i="12"/>
  <c r="V69" i="12" s="1"/>
  <c r="S69" i="12"/>
  <c r="U69" i="12" s="1"/>
  <c r="R69" i="12"/>
  <c r="Q69" i="12"/>
  <c r="P69" i="12"/>
  <c r="O69" i="12"/>
  <c r="T68" i="12"/>
  <c r="V68" i="12" s="1"/>
  <c r="S68" i="12"/>
  <c r="U68" i="12" s="1"/>
  <c r="R68" i="12"/>
  <c r="Q68" i="12"/>
  <c r="P68" i="12"/>
  <c r="O68" i="12"/>
  <c r="T67" i="12"/>
  <c r="V67" i="12" s="1"/>
  <c r="S67" i="12"/>
  <c r="U67" i="12" s="1"/>
  <c r="R67" i="12"/>
  <c r="Q67" i="12"/>
  <c r="P67" i="12"/>
  <c r="O67" i="12"/>
  <c r="T66" i="12"/>
  <c r="V66" i="12" s="1"/>
  <c r="S66" i="12"/>
  <c r="U66" i="12" s="1"/>
  <c r="R66" i="12"/>
  <c r="Q66" i="12"/>
  <c r="P66" i="12"/>
  <c r="O66" i="12"/>
  <c r="U107" i="12" l="1"/>
  <c r="U111" i="12"/>
  <c r="U113" i="12"/>
  <c r="U115" i="12"/>
  <c r="U117" i="12"/>
  <c r="U119" i="12"/>
  <c r="U121" i="12"/>
  <c r="U122" i="12"/>
  <c r="U124" i="12"/>
  <c r="U126" i="12"/>
  <c r="U128" i="12"/>
  <c r="U130" i="12"/>
  <c r="U132" i="12"/>
  <c r="U134" i="12"/>
  <c r="U136" i="12"/>
  <c r="U138" i="12"/>
  <c r="U140" i="12"/>
  <c r="U142" i="12"/>
  <c r="U144" i="12"/>
  <c r="U146" i="12"/>
  <c r="U148" i="12"/>
  <c r="U151" i="12"/>
  <c r="U153" i="12"/>
  <c r="U157" i="12"/>
  <c r="U159" i="12"/>
  <c r="U161" i="12"/>
  <c r="U163" i="12"/>
  <c r="U165" i="12"/>
  <c r="U167" i="12"/>
  <c r="U169" i="12"/>
  <c r="U171" i="12"/>
  <c r="U173" i="12"/>
  <c r="U175" i="12"/>
  <c r="U177" i="12"/>
  <c r="U179" i="12"/>
  <c r="U106" i="12"/>
  <c r="U108" i="12"/>
  <c r="U112" i="12"/>
  <c r="U114" i="12"/>
  <c r="U116" i="12"/>
  <c r="U118" i="12"/>
  <c r="U120" i="12"/>
  <c r="U123" i="12"/>
  <c r="U125" i="12"/>
  <c r="U127" i="12"/>
  <c r="U129" i="12"/>
  <c r="U131" i="12"/>
  <c r="U133" i="12"/>
  <c r="U135" i="12"/>
  <c r="U137" i="12"/>
  <c r="U139" i="12"/>
  <c r="U141" i="12"/>
  <c r="U143" i="12"/>
  <c r="U145" i="12"/>
  <c r="U147" i="12"/>
  <c r="U149" i="12"/>
  <c r="U152" i="12"/>
  <c r="U154" i="12"/>
  <c r="U158" i="12"/>
  <c r="U160" i="12"/>
  <c r="U162" i="12"/>
  <c r="U164" i="12"/>
  <c r="U166" i="12"/>
  <c r="U168" i="12"/>
  <c r="U170" i="12"/>
  <c r="U172" i="12"/>
  <c r="U174" i="12"/>
  <c r="U176" i="12"/>
  <c r="U178" i="12"/>
  <c r="U180" i="12"/>
  <c r="J66" i="12"/>
  <c r="I66" i="12"/>
  <c r="T65" i="12"/>
  <c r="V65" i="12" s="1"/>
  <c r="S65" i="12"/>
  <c r="U65" i="12" s="1"/>
  <c r="R65" i="12"/>
  <c r="Q65" i="12"/>
  <c r="P65" i="12"/>
  <c r="O65" i="12"/>
  <c r="J65" i="12"/>
  <c r="I65" i="12"/>
  <c r="T64" i="12"/>
  <c r="V64" i="12" s="1"/>
  <c r="S64" i="12"/>
  <c r="U64" i="12" s="1"/>
  <c r="R64" i="12"/>
  <c r="Q64" i="12"/>
  <c r="P64" i="12"/>
  <c r="O64" i="12"/>
  <c r="J64" i="12"/>
  <c r="I64" i="12"/>
  <c r="T63" i="12"/>
  <c r="V63" i="12" s="1"/>
  <c r="S63" i="12"/>
  <c r="U63" i="12" s="1"/>
  <c r="R63" i="12"/>
  <c r="Q63" i="12"/>
  <c r="P63" i="12"/>
  <c r="O63" i="12"/>
  <c r="J63" i="12"/>
  <c r="I63" i="12"/>
  <c r="T62" i="12"/>
  <c r="V62" i="12" s="1"/>
  <c r="S62" i="12"/>
  <c r="U62" i="12" s="1"/>
  <c r="R62" i="12"/>
  <c r="Q62" i="12"/>
  <c r="P62" i="12"/>
  <c r="O62" i="12"/>
  <c r="J62" i="12"/>
  <c r="I62" i="12"/>
  <c r="T61" i="12"/>
  <c r="V61" i="12" s="1"/>
  <c r="S61" i="12"/>
  <c r="U61" i="12" s="1"/>
  <c r="R61" i="12"/>
  <c r="Q61" i="12"/>
  <c r="P61" i="12"/>
  <c r="O61" i="12"/>
  <c r="J61" i="12"/>
  <c r="I61" i="12"/>
  <c r="T60" i="12"/>
  <c r="V60" i="12" s="1"/>
  <c r="S60" i="12"/>
  <c r="U60" i="12" s="1"/>
  <c r="R60" i="12"/>
  <c r="Q60" i="12"/>
  <c r="P60" i="12"/>
  <c r="O60" i="12"/>
  <c r="J60" i="12"/>
  <c r="I60" i="12"/>
  <c r="T59" i="12"/>
  <c r="V59" i="12" s="1"/>
  <c r="S59" i="12"/>
  <c r="U59" i="12" s="1"/>
  <c r="R59" i="12"/>
  <c r="Q59" i="12"/>
  <c r="P59" i="12"/>
  <c r="O59" i="12"/>
  <c r="J59" i="12"/>
  <c r="I59" i="12"/>
  <c r="T58" i="12"/>
  <c r="V58" i="12" s="1"/>
  <c r="S58" i="12"/>
  <c r="U58" i="12" s="1"/>
  <c r="R58" i="12"/>
  <c r="Q58" i="12"/>
  <c r="P58" i="12"/>
  <c r="O58" i="12"/>
  <c r="J58" i="12"/>
  <c r="I58" i="12"/>
  <c r="T57" i="12"/>
  <c r="V57" i="12" s="1"/>
  <c r="S57" i="12"/>
  <c r="U57" i="12" s="1"/>
  <c r="R57" i="12"/>
  <c r="Q57" i="12"/>
  <c r="P57" i="12"/>
  <c r="O57" i="12"/>
  <c r="J57" i="12"/>
  <c r="I57" i="12"/>
  <c r="T56" i="12"/>
  <c r="V56" i="12" s="1"/>
  <c r="S56" i="12"/>
  <c r="U56" i="12" s="1"/>
  <c r="R56" i="12"/>
  <c r="Q56" i="12"/>
  <c r="P56" i="12"/>
  <c r="O56" i="12"/>
  <c r="J56" i="12"/>
  <c r="I56" i="12"/>
  <c r="T55" i="12"/>
  <c r="V55" i="12" s="1"/>
  <c r="S55" i="12"/>
  <c r="U55" i="12" s="1"/>
  <c r="R55" i="12"/>
  <c r="Q55" i="12"/>
  <c r="P55" i="12"/>
  <c r="O55" i="12"/>
  <c r="J55" i="12"/>
  <c r="I55" i="12"/>
  <c r="T54" i="12"/>
  <c r="V54" i="12" s="1"/>
  <c r="S54" i="12"/>
  <c r="U54" i="12" s="1"/>
  <c r="R54" i="12"/>
  <c r="Q54" i="12"/>
  <c r="P54" i="12"/>
  <c r="O54" i="12"/>
  <c r="J54" i="12"/>
  <c r="I54" i="12"/>
  <c r="T53" i="12"/>
  <c r="V53" i="12" s="1"/>
  <c r="S53" i="12"/>
  <c r="U53" i="12" s="1"/>
  <c r="R53" i="12"/>
  <c r="Q53" i="12"/>
  <c r="P53" i="12"/>
  <c r="O53" i="12"/>
  <c r="J53" i="12"/>
  <c r="I53" i="12"/>
  <c r="T52" i="12"/>
  <c r="V52" i="12" s="1"/>
  <c r="S52" i="12"/>
  <c r="U52" i="12" s="1"/>
  <c r="R52" i="12"/>
  <c r="Q52" i="12"/>
  <c r="P52" i="12"/>
  <c r="O52" i="12"/>
  <c r="J52" i="12"/>
  <c r="I52" i="12"/>
  <c r="V51" i="12"/>
  <c r="T51" i="12"/>
  <c r="S51" i="12"/>
  <c r="U51" i="12" s="1"/>
  <c r="R51" i="12"/>
  <c r="Q51" i="12"/>
  <c r="P51" i="12"/>
  <c r="O51" i="12"/>
  <c r="J51" i="12"/>
  <c r="I51" i="12"/>
  <c r="T50" i="12"/>
  <c r="V50" i="12" s="1"/>
  <c r="S50" i="12"/>
  <c r="U50" i="12" s="1"/>
  <c r="R50" i="12"/>
  <c r="Q50" i="12"/>
  <c r="P50" i="12"/>
  <c r="O50" i="12"/>
  <c r="J50" i="12"/>
  <c r="I50" i="12"/>
  <c r="T49" i="12"/>
  <c r="V49" i="12" s="1"/>
  <c r="S49" i="12"/>
  <c r="U49" i="12" s="1"/>
  <c r="R49" i="12"/>
  <c r="Q49" i="12"/>
  <c r="P49" i="12"/>
  <c r="O49" i="12"/>
  <c r="J49" i="12"/>
  <c r="I49" i="12"/>
  <c r="T48" i="12"/>
  <c r="V48" i="12" s="1"/>
  <c r="S48" i="12"/>
  <c r="U48" i="12" s="1"/>
  <c r="R48" i="12"/>
  <c r="Q48" i="12"/>
  <c r="P48" i="12"/>
  <c r="O48" i="12"/>
  <c r="J48" i="12"/>
  <c r="I48" i="12"/>
  <c r="T47" i="12"/>
  <c r="V47" i="12" s="1"/>
  <c r="S47" i="12"/>
  <c r="U47" i="12" s="1"/>
  <c r="R47" i="12"/>
  <c r="Q47" i="12"/>
  <c r="P47" i="12"/>
  <c r="O47" i="12"/>
  <c r="J47" i="12"/>
  <c r="I47" i="12"/>
  <c r="T46" i="12"/>
  <c r="V46" i="12" s="1"/>
  <c r="S46" i="12"/>
  <c r="U46" i="12" s="1"/>
  <c r="R46" i="12"/>
  <c r="Q46" i="12"/>
  <c r="P46" i="12"/>
  <c r="O46" i="12"/>
  <c r="J46" i="12"/>
  <c r="I46" i="12"/>
  <c r="T45" i="12"/>
  <c r="V45" i="12" s="1"/>
  <c r="S45" i="12"/>
  <c r="U45" i="12" s="1"/>
  <c r="R45" i="12"/>
  <c r="Q45" i="12"/>
  <c r="P45" i="12"/>
  <c r="O45" i="12"/>
  <c r="J45" i="12"/>
  <c r="I45" i="12"/>
  <c r="T44" i="12"/>
  <c r="V44" i="12" s="1"/>
  <c r="S44" i="12"/>
  <c r="U44" i="12" s="1"/>
  <c r="R44" i="12"/>
  <c r="Q44" i="12"/>
  <c r="P44" i="12"/>
  <c r="O44" i="12"/>
  <c r="J44" i="12"/>
  <c r="I44" i="12"/>
  <c r="T43" i="12"/>
  <c r="V43" i="12" s="1"/>
  <c r="S43" i="12"/>
  <c r="U43" i="12" s="1"/>
  <c r="R43" i="12"/>
  <c r="Q43" i="12"/>
  <c r="P43" i="12"/>
  <c r="O43" i="12"/>
  <c r="J43" i="12"/>
  <c r="I43" i="12"/>
  <c r="T42" i="12"/>
  <c r="V42" i="12" s="1"/>
  <c r="S42" i="12"/>
  <c r="U42" i="12" s="1"/>
  <c r="R42" i="12"/>
  <c r="Q42" i="12"/>
  <c r="P42" i="12"/>
  <c r="O42" i="12"/>
  <c r="J42" i="12"/>
  <c r="I42" i="12"/>
  <c r="T41" i="12"/>
  <c r="V41" i="12" s="1"/>
  <c r="S41" i="12"/>
  <c r="U41" i="12" s="1"/>
  <c r="R41" i="12"/>
  <c r="Q41" i="12"/>
  <c r="P41" i="12"/>
  <c r="O41" i="12"/>
  <c r="J41" i="12"/>
  <c r="I41" i="12"/>
  <c r="T40" i="12"/>
  <c r="V40" i="12" s="1"/>
  <c r="S40" i="12"/>
  <c r="U40" i="12" s="1"/>
  <c r="R40" i="12"/>
  <c r="Q40" i="12"/>
  <c r="P40" i="12"/>
  <c r="O40" i="12"/>
  <c r="J40" i="12"/>
  <c r="I40" i="12"/>
  <c r="T39" i="12"/>
  <c r="V39" i="12" s="1"/>
  <c r="S39" i="12"/>
  <c r="U39" i="12" s="1"/>
  <c r="R39" i="12"/>
  <c r="Q39" i="12"/>
  <c r="P39" i="12"/>
  <c r="O39" i="12"/>
  <c r="J39" i="12"/>
  <c r="I39" i="12"/>
  <c r="T38" i="12"/>
  <c r="V38" i="12" s="1"/>
  <c r="S38" i="12"/>
  <c r="U38" i="12" s="1"/>
  <c r="R38" i="12"/>
  <c r="Q38" i="12"/>
  <c r="P38" i="12"/>
  <c r="O38" i="12"/>
  <c r="J38" i="12"/>
  <c r="I38" i="12"/>
  <c r="T37" i="12"/>
  <c r="V37" i="12" s="1"/>
  <c r="S37" i="12"/>
  <c r="U37" i="12" s="1"/>
  <c r="R37" i="12"/>
  <c r="Q37" i="12"/>
  <c r="P37" i="12"/>
  <c r="O37" i="12"/>
  <c r="J37" i="12"/>
  <c r="I37" i="12"/>
  <c r="T36" i="12"/>
  <c r="V36" i="12" s="1"/>
  <c r="S36" i="12"/>
  <c r="U36" i="12" s="1"/>
  <c r="R36" i="12"/>
  <c r="Q36" i="12"/>
  <c r="P36" i="12"/>
  <c r="O36" i="12"/>
  <c r="J36" i="12"/>
  <c r="I36" i="12"/>
  <c r="T35" i="12"/>
  <c r="V35" i="12" s="1"/>
  <c r="S35" i="12"/>
  <c r="U35" i="12" s="1"/>
  <c r="R35" i="12"/>
  <c r="Q35" i="12"/>
  <c r="P35" i="12"/>
  <c r="O35" i="12"/>
  <c r="J35" i="12"/>
  <c r="I35" i="12"/>
  <c r="T34" i="12"/>
  <c r="V34" i="12" s="1"/>
  <c r="S34" i="12"/>
  <c r="U34" i="12" s="1"/>
  <c r="R34" i="12"/>
  <c r="Q34" i="12"/>
  <c r="P34" i="12"/>
  <c r="O34" i="12"/>
  <c r="J34" i="12"/>
  <c r="I34" i="12"/>
  <c r="T33" i="12"/>
  <c r="V33" i="12" s="1"/>
  <c r="S33" i="12"/>
  <c r="U33" i="12" s="1"/>
  <c r="R33" i="12"/>
  <c r="Q33" i="12"/>
  <c r="P33" i="12"/>
  <c r="O33" i="12"/>
  <c r="J33" i="12"/>
  <c r="I33" i="12"/>
  <c r="T32" i="12"/>
  <c r="V32" i="12" s="1"/>
  <c r="S32" i="12"/>
  <c r="U32" i="12" s="1"/>
  <c r="R32" i="12"/>
  <c r="Q32" i="12"/>
  <c r="P32" i="12"/>
  <c r="O32" i="12"/>
  <c r="J32" i="12"/>
  <c r="I32" i="12"/>
  <c r="T31" i="12"/>
  <c r="V31" i="12" s="1"/>
  <c r="S31" i="12"/>
  <c r="U31" i="12" s="1"/>
  <c r="R31" i="12"/>
  <c r="Q31" i="12"/>
  <c r="P31" i="12"/>
  <c r="O31" i="12"/>
  <c r="J31" i="12"/>
  <c r="I31" i="12"/>
  <c r="T30" i="12"/>
  <c r="V30" i="12" s="1"/>
  <c r="S30" i="12"/>
  <c r="U30" i="12" s="1"/>
  <c r="R30" i="12"/>
  <c r="Q30" i="12"/>
  <c r="P30" i="12"/>
  <c r="O30" i="12"/>
  <c r="J30" i="12"/>
  <c r="I30" i="12"/>
  <c r="T29" i="12"/>
  <c r="V29" i="12" s="1"/>
  <c r="S29" i="12"/>
  <c r="U29" i="12" s="1"/>
  <c r="R29" i="12"/>
  <c r="Q29" i="12"/>
  <c r="P29" i="12"/>
  <c r="O29" i="12"/>
  <c r="J29" i="12"/>
  <c r="I29" i="12"/>
  <c r="T28" i="12"/>
  <c r="V28" i="12" s="1"/>
  <c r="S28" i="12"/>
  <c r="U28" i="12" s="1"/>
  <c r="R28" i="12"/>
  <c r="Q28" i="12"/>
  <c r="P28" i="12"/>
  <c r="O28" i="12"/>
  <c r="J28" i="12"/>
  <c r="I28" i="12"/>
  <c r="T27" i="12"/>
  <c r="V27" i="12" s="1"/>
  <c r="S27" i="12"/>
  <c r="U27" i="12" s="1"/>
  <c r="R27" i="12"/>
  <c r="Q27" i="12"/>
  <c r="P27" i="12"/>
  <c r="O27" i="12"/>
  <c r="J27" i="12"/>
  <c r="I27" i="12"/>
  <c r="T26" i="12"/>
  <c r="V26" i="12" s="1"/>
  <c r="S26" i="12"/>
  <c r="U26" i="12" s="1"/>
  <c r="R26" i="12"/>
  <c r="Q26" i="12"/>
  <c r="P26" i="12"/>
  <c r="O26" i="12"/>
  <c r="J26" i="12"/>
  <c r="I26" i="12"/>
  <c r="T25" i="12"/>
  <c r="V25" i="12" s="1"/>
  <c r="S25" i="12"/>
  <c r="U25" i="12" s="1"/>
  <c r="R25" i="12"/>
  <c r="Q25" i="12"/>
  <c r="P25" i="12"/>
  <c r="O25" i="12"/>
  <c r="J25" i="12"/>
  <c r="I25" i="12"/>
  <c r="T24" i="12"/>
  <c r="V24" i="12" s="1"/>
  <c r="S24" i="12"/>
  <c r="U24" i="12" s="1"/>
  <c r="R24" i="12"/>
  <c r="Q24" i="12"/>
  <c r="P24" i="12"/>
  <c r="O24" i="12"/>
  <c r="J24" i="12"/>
  <c r="I24" i="12"/>
  <c r="T23" i="12"/>
  <c r="V23" i="12" s="1"/>
  <c r="S23" i="12"/>
  <c r="U23" i="12" s="1"/>
  <c r="R23" i="12"/>
  <c r="Q23" i="12"/>
  <c r="P23" i="12"/>
  <c r="O23" i="12"/>
  <c r="J23" i="12"/>
  <c r="I23" i="12"/>
  <c r="T22" i="12"/>
  <c r="V22" i="12" s="1"/>
  <c r="S22" i="12"/>
  <c r="U22" i="12" s="1"/>
  <c r="R22" i="12"/>
  <c r="Q22" i="12"/>
  <c r="P22" i="12"/>
  <c r="O22" i="12"/>
  <c r="J22" i="12"/>
  <c r="I22" i="12"/>
  <c r="T21" i="12"/>
  <c r="V21" i="12" s="1"/>
  <c r="S21" i="12"/>
  <c r="U21" i="12" s="1"/>
  <c r="R21" i="12"/>
  <c r="Q21" i="12"/>
  <c r="P21" i="12"/>
  <c r="O21" i="12"/>
  <c r="J21" i="12"/>
  <c r="I21" i="12"/>
  <c r="T20" i="12"/>
  <c r="V20" i="12" s="1"/>
  <c r="S20" i="12"/>
  <c r="U20" i="12" s="1"/>
  <c r="R20" i="12"/>
  <c r="Q20" i="12"/>
  <c r="P20" i="12"/>
  <c r="O20" i="12"/>
  <c r="J20" i="12"/>
  <c r="I20" i="12"/>
  <c r="T19" i="12"/>
  <c r="V19" i="12" s="1"/>
  <c r="S19" i="12"/>
  <c r="U19" i="12" s="1"/>
  <c r="R19" i="12"/>
  <c r="Q19" i="12"/>
  <c r="P19" i="12"/>
  <c r="O19" i="12"/>
  <c r="J19" i="12"/>
  <c r="I19" i="12"/>
  <c r="T18" i="12"/>
  <c r="V18" i="12" s="1"/>
  <c r="S18" i="12"/>
  <c r="U18" i="12" s="1"/>
  <c r="R18" i="12"/>
  <c r="Q18" i="12"/>
  <c r="P18" i="12"/>
  <c r="O18" i="12"/>
  <c r="J18" i="12"/>
  <c r="I18" i="12"/>
  <c r="T17" i="12"/>
  <c r="V17" i="12" s="1"/>
  <c r="S17" i="12"/>
  <c r="U17" i="12" s="1"/>
  <c r="R17" i="12"/>
  <c r="Q17" i="12"/>
  <c r="P17" i="12"/>
  <c r="O17" i="12"/>
  <c r="J17" i="12"/>
  <c r="I17" i="12"/>
  <c r="T16" i="12"/>
  <c r="V16" i="12" s="1"/>
  <c r="S16" i="12"/>
  <c r="U16" i="12" s="1"/>
  <c r="R16" i="12"/>
  <c r="Q16" i="12"/>
  <c r="P16" i="12"/>
  <c r="O16" i="12" l="1"/>
  <c r="J16" i="12"/>
  <c r="I16" i="12"/>
  <c r="T15" i="12"/>
  <c r="S15" i="12"/>
  <c r="R15" i="12"/>
  <c r="Q15" i="12"/>
  <c r="P15" i="12"/>
  <c r="O15" i="12"/>
  <c r="J15" i="12"/>
  <c r="I15" i="12"/>
  <c r="T14" i="12"/>
  <c r="S14" i="12"/>
  <c r="R14" i="12"/>
  <c r="Q14" i="12"/>
  <c r="P14" i="12"/>
  <c r="O14" i="12"/>
  <c r="J14" i="12"/>
  <c r="I14" i="12"/>
  <c r="T13" i="12"/>
  <c r="S13" i="12"/>
  <c r="R13" i="12"/>
  <c r="Q13" i="12"/>
  <c r="P13" i="12"/>
  <c r="O13" i="12"/>
  <c r="J13" i="12"/>
  <c r="I13" i="12"/>
  <c r="T12" i="12"/>
  <c r="S12" i="12"/>
  <c r="R12" i="12"/>
  <c r="Q12" i="12"/>
  <c r="P12" i="12"/>
  <c r="O12" i="12"/>
  <c r="J12" i="12"/>
  <c r="I12" i="12"/>
  <c r="T11" i="12"/>
  <c r="S11" i="12"/>
  <c r="R11" i="12"/>
  <c r="Q11" i="12"/>
  <c r="P11" i="12"/>
  <c r="O11" i="12"/>
  <c r="J11" i="12"/>
  <c r="I11" i="12"/>
  <c r="V15" i="12" l="1"/>
  <c r="V14" i="12"/>
  <c r="V13" i="12"/>
  <c r="V12" i="12"/>
  <c r="V11" i="12"/>
  <c r="U11" i="12"/>
  <c r="U12" i="12"/>
  <c r="U13" i="12"/>
  <c r="U14" i="12"/>
  <c r="U15" i="12"/>
</calcChain>
</file>

<file path=xl/sharedStrings.xml><?xml version="1.0" encoding="utf-8"?>
<sst xmlns="http://schemas.openxmlformats.org/spreadsheetml/2006/main" count="606" uniqueCount="105">
  <si>
    <t>FAI Data Sheet - Enclosures MD</t>
  </si>
  <si>
    <t>Instructions</t>
  </si>
  <si>
    <t>Part Number :</t>
  </si>
  <si>
    <t>Supplier :</t>
  </si>
  <si>
    <t>Tool # / Cavity # / Trial Name :</t>
  </si>
  <si>
    <t>Part Description :</t>
  </si>
  <si>
    <t>Inspector :</t>
  </si>
  <si>
    <t>Notes/Comments :</t>
  </si>
  <si>
    <t>Revision :</t>
  </si>
  <si>
    <t>Manufacturing Date :</t>
  </si>
  <si>
    <t>CMM/OMM Program version :</t>
  </si>
  <si>
    <t>DRAWING SPECIFICATIONS</t>
  </si>
  <si>
    <t>INSPECTION RESULTS</t>
  </si>
  <si>
    <t>INSPECTION ANALYSIS</t>
  </si>
  <si>
    <t xml:space="preserve"> </t>
  </si>
  <si>
    <t>Inspection Method</t>
  </si>
  <si>
    <t>USL</t>
  </si>
  <si>
    <t>LSL</t>
  </si>
  <si>
    <t>Sample Number</t>
  </si>
  <si>
    <t>Deviation from Nominal</t>
  </si>
  <si>
    <t>Mean</t>
  </si>
  <si>
    <t>% Tolerance</t>
  </si>
  <si>
    <t>Alert/Reject</t>
  </si>
  <si>
    <t>FAI#</t>
  </si>
  <si>
    <t>Location</t>
  </si>
  <si>
    <t>Dimension Type</t>
  </si>
  <si>
    <t>Nominal</t>
  </si>
  <si>
    <r>
      <rPr>
        <sz val="9"/>
        <rFont val="Arial"/>
        <family val="2"/>
      </rPr>
      <t xml:space="preserve">+TOL
</t>
    </r>
    <r>
      <rPr>
        <sz val="8"/>
        <rFont val="Arial"/>
        <family val="2"/>
      </rPr>
      <t>(USL for one sided spec)</t>
    </r>
  </si>
  <si>
    <r>
      <rPr>
        <sz val="9"/>
        <rFont val="Arial"/>
        <family val="2"/>
      </rPr>
      <t xml:space="preserve">-TOL
</t>
    </r>
    <r>
      <rPr>
        <sz val="8"/>
        <rFont val="Arial"/>
        <family val="2"/>
      </rPr>
      <t>(LSL for one sided spec)</t>
    </r>
  </si>
  <si>
    <t>Upper</t>
  </si>
  <si>
    <t>Lower</t>
  </si>
  <si>
    <t>High</t>
  </si>
  <si>
    <t>Low</t>
  </si>
  <si>
    <t>Supplier Comment</t>
  </si>
  <si>
    <t>record of positions of data blocks</t>
  </si>
  <si>
    <t>list of inspection methods</t>
  </si>
  <si>
    <t>list of dimension types</t>
  </si>
  <si>
    <t>left</t>
  </si>
  <si>
    <t>top</t>
  </si>
  <si>
    <t>HG</t>
  </si>
  <si>
    <t>Tolerance</t>
  </si>
  <si>
    <t>MIC</t>
  </si>
  <si>
    <t>GD&amp;T</t>
  </si>
  <si>
    <t>CMM</t>
  </si>
  <si>
    <t>MIN</t>
  </si>
  <si>
    <t>OMM</t>
  </si>
  <si>
    <t>MAX</t>
  </si>
  <si>
    <t>TG</t>
  </si>
  <si>
    <t>HT</t>
  </si>
  <si>
    <t>PG</t>
  </si>
  <si>
    <t>FT</t>
  </si>
  <si>
    <t>DC</t>
  </si>
  <si>
    <t>P</t>
  </si>
  <si>
    <t>OC</t>
  </si>
  <si>
    <t>Other</t>
  </si>
  <si>
    <t>Revision</t>
  </si>
  <si>
    <t>Date</t>
  </si>
  <si>
    <t>Revised by</t>
  </si>
  <si>
    <t>Description of Changes</t>
  </si>
  <si>
    <t>Initial release</t>
  </si>
  <si>
    <t>COXON</t>
    <phoneticPr fontId="21" type="noConversion"/>
  </si>
  <si>
    <t xml:space="preserve">  </t>
    <phoneticPr fontId="20" type="noConversion"/>
  </si>
  <si>
    <t>STEPHEN LI</t>
    <phoneticPr fontId="20" type="noConversion"/>
  </si>
  <si>
    <t>Added  sheet3</t>
    <phoneticPr fontId="20" type="noConversion"/>
  </si>
  <si>
    <t>Ok2 tool release</t>
    <phoneticPr fontId="20" type="noConversion"/>
  </si>
  <si>
    <t>N021I-0004T</t>
    <phoneticPr fontId="21" type="noConversion"/>
  </si>
  <si>
    <t>UPPER SHELL</t>
    <phoneticPr fontId="27" type="noConversion"/>
  </si>
  <si>
    <t>HBI-0114</t>
    <phoneticPr fontId="27" type="noConversion"/>
  </si>
  <si>
    <t>左1</t>
    <phoneticPr fontId="27" type="noConversion"/>
  </si>
  <si>
    <t>右4</t>
    <phoneticPr fontId="27" type="noConversion"/>
  </si>
  <si>
    <t>左上</t>
    <phoneticPr fontId="27" type="noConversion"/>
  </si>
  <si>
    <t>下</t>
    <phoneticPr fontId="27" type="noConversion"/>
  </si>
  <si>
    <t>右上</t>
    <phoneticPr fontId="27" type="noConversion"/>
  </si>
  <si>
    <t>左</t>
    <phoneticPr fontId="27" type="noConversion"/>
  </si>
  <si>
    <t>右</t>
    <phoneticPr fontId="27" type="noConversion"/>
  </si>
  <si>
    <r>
      <rPr>
        <sz val="9"/>
        <rFont val="宋体"/>
      </rPr>
      <t>°</t>
    </r>
    <r>
      <rPr>
        <sz val="9"/>
        <rFont val="細明體"/>
        <family val="3"/>
        <charset val="136"/>
      </rPr>
      <t>左</t>
    </r>
    <phoneticPr fontId="27" type="noConversion"/>
  </si>
  <si>
    <t>端</t>
    <phoneticPr fontId="27" type="noConversion"/>
  </si>
  <si>
    <t>MIC</t>
    <phoneticPr fontId="27" type="noConversion"/>
  </si>
  <si>
    <t>HG</t>
    <phoneticPr fontId="27" type="noConversion"/>
  </si>
  <si>
    <r>
      <rPr>
        <sz val="9"/>
        <rFont val="Arial"/>
        <family val="2"/>
      </rPr>
      <t xml:space="preserve">Ø     </t>
    </r>
    <r>
      <rPr>
        <sz val="7.1"/>
        <rFont val="細明體"/>
        <family val="3"/>
        <charset val="136"/>
      </rPr>
      <t>左</t>
    </r>
    <phoneticPr fontId="27" type="noConversion"/>
  </si>
  <si>
    <t>Ø</t>
    <phoneticPr fontId="27" type="noConversion"/>
  </si>
  <si>
    <t>中</t>
    <phoneticPr fontId="27" type="noConversion"/>
  </si>
  <si>
    <t>MAX   左</t>
    <phoneticPr fontId="27" type="noConversion"/>
  </si>
  <si>
    <t>端左</t>
    <phoneticPr fontId="27" type="noConversion"/>
  </si>
  <si>
    <t>右1</t>
    <phoneticPr fontId="27" type="noConversion"/>
  </si>
  <si>
    <t>12-1</t>
    <phoneticPr fontId="27" type="noConversion"/>
  </si>
  <si>
    <t>13-1</t>
    <phoneticPr fontId="27" type="noConversion"/>
  </si>
  <si>
    <t>位置度 左</t>
    <phoneticPr fontId="27" type="noConversion"/>
  </si>
  <si>
    <t>实物只有三处</t>
    <phoneticPr fontId="27" type="noConversion"/>
  </si>
  <si>
    <t>Hulingling</t>
    <phoneticPr fontId="21" type="noConversion"/>
  </si>
  <si>
    <t>2019.07.10</t>
    <phoneticPr fontId="21" type="noConversion"/>
  </si>
  <si>
    <t>待印刷</t>
    <phoneticPr fontId="27" type="noConversion"/>
  </si>
  <si>
    <r>
      <rPr>
        <sz val="10"/>
        <rFont val="細明體"/>
        <family val="3"/>
        <charset val="136"/>
      </rPr>
      <t>卡位多膠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需要焊</t>
    </r>
    <phoneticPr fontId="27" type="noConversion"/>
  </si>
  <si>
    <r>
      <rPr>
        <sz val="10"/>
        <rFont val="細明體"/>
        <family val="3"/>
        <charset val="136"/>
      </rPr>
      <t>尖點寸法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修正困難</t>
    </r>
    <phoneticPr fontId="27" type="noConversion"/>
  </si>
  <si>
    <r>
      <rPr>
        <sz val="10"/>
        <rFont val="細明體"/>
        <family val="3"/>
        <charset val="136"/>
      </rPr>
      <t>公模仁追加</t>
    </r>
    <r>
      <rPr>
        <sz val="10"/>
        <rFont val="Arial"/>
        <family val="2"/>
      </rPr>
      <t>EDM</t>
    </r>
    <phoneticPr fontId="27" type="noConversion"/>
  </si>
  <si>
    <r>
      <rPr>
        <sz val="10"/>
        <rFont val="細明體"/>
        <family val="3"/>
        <charset val="136"/>
      </rPr>
      <t>修正困難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建議緩和</t>
    </r>
    <phoneticPr fontId="27" type="noConversion"/>
  </si>
  <si>
    <t>孔中心寸法,修正困難,建議緩和</t>
    <phoneticPr fontId="27" type="noConversion"/>
  </si>
  <si>
    <r>
      <rPr>
        <sz val="10"/>
        <rFont val="細明體"/>
        <family val="3"/>
        <charset val="136"/>
      </rPr>
      <t>位置度修正困難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建議不管控</t>
    </r>
    <phoneticPr fontId="27" type="noConversion"/>
  </si>
  <si>
    <r>
      <rPr>
        <sz val="10"/>
        <rFont val="細明體"/>
        <family val="3"/>
        <charset val="136"/>
      </rPr>
      <t>孔小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入子需要新規</t>
    </r>
    <phoneticPr fontId="27" type="noConversion"/>
  </si>
  <si>
    <r>
      <rPr>
        <sz val="10"/>
        <rFont val="細明體"/>
        <family val="3"/>
        <charset val="136"/>
      </rPr>
      <t>產品變形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建議實配確認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公差緩和</t>
    </r>
    <phoneticPr fontId="27" type="noConversion"/>
  </si>
  <si>
    <r>
      <rPr>
        <sz val="10"/>
        <rFont val="細明體"/>
        <family val="3"/>
        <charset val="136"/>
      </rPr>
      <t>卡扣位置寸法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建議緩和</t>
    </r>
    <phoneticPr fontId="27" type="noConversion"/>
  </si>
  <si>
    <r>
      <rPr>
        <sz val="10"/>
        <rFont val="細明體"/>
        <family val="3"/>
        <charset val="136"/>
      </rPr>
      <t>卡扣位置寸法</t>
    </r>
    <r>
      <rPr>
        <sz val="10"/>
        <rFont val="Arial"/>
        <family val="2"/>
      </rPr>
      <t>,,</t>
    </r>
    <r>
      <rPr>
        <sz val="10"/>
        <rFont val="細明體"/>
        <family val="3"/>
        <charset val="136"/>
      </rPr>
      <t>建議實配確認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公差緩和</t>
    </r>
    <phoneticPr fontId="27" type="noConversion"/>
  </si>
  <si>
    <t>端部寸法小</t>
    <phoneticPr fontId="27" type="noConversion"/>
  </si>
  <si>
    <r>
      <rPr>
        <sz val="10"/>
        <rFont val="細明體"/>
        <family val="3"/>
        <charset val="136"/>
      </rPr>
      <t>凸臺高度寸法大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需要焊</t>
    </r>
    <phoneticPr fontId="27" type="noConversion"/>
  </si>
  <si>
    <r>
      <rPr>
        <sz val="10"/>
        <rFont val="細明體"/>
        <family val="3"/>
        <charset val="136"/>
      </rPr>
      <t>凹槽深度寸法</t>
    </r>
    <r>
      <rPr>
        <sz val="10"/>
        <rFont val="Arial"/>
        <family val="2"/>
      </rPr>
      <t>,</t>
    </r>
    <r>
      <rPr>
        <sz val="10"/>
        <rFont val="細明體"/>
        <family val="3"/>
        <charset val="136"/>
      </rPr>
      <t>建議緩和</t>
    </r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</si>
</sst>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00"/>
    <numFmt numFmtId="177" formatCode="#,##0.0000"/>
    <numFmt numFmtId="178" formatCode="0.0%"/>
    <numFmt numFmtId="179" formatCode="0.00_);[Red]\(0.00\)"/>
    <numFmt numFmtId="180" formatCode="#,##0.000;[Blue]\-#,##0.000"/>
    <numFmt numFmtId="181" formatCode="m&quot;月&quot;d&quot;日&quot;"/>
  </numFmts>
  <fonts count="33">
    <font>
      <sz val="12"/>
      <color theme="1"/>
      <name val="新細明體"/>
      <charset val="134"/>
      <scheme val="minor"/>
    </font>
    <font>
      <b/>
      <u/>
      <sz val="16"/>
      <color theme="1"/>
      <name val="新細明體"/>
      <family val="3"/>
      <charset val="134"/>
      <scheme val="minor"/>
    </font>
    <font>
      <b/>
      <sz val="12"/>
      <color theme="1"/>
      <name val="新細明體"/>
      <family val="3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sz val="10"/>
      <color theme="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i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sz val="12"/>
      <name val="____"/>
      <family val="1"/>
    </font>
    <font>
      <sz val="12"/>
      <name val="Arial"/>
      <family val="2"/>
    </font>
    <font>
      <b/>
      <sz val="12"/>
      <name val="Arial"/>
      <family val="2"/>
    </font>
    <font>
      <sz val="12"/>
      <name val="宋体"/>
      <family val="3"/>
      <charset val="134"/>
    </font>
    <font>
      <sz val="10"/>
      <color indexed="8"/>
      <name val="Arial"/>
      <family val="2"/>
    </font>
    <font>
      <sz val="8"/>
      <name val="Arial"/>
      <family val="2"/>
    </font>
    <font>
      <sz val="12"/>
      <color rgb="FF000000"/>
      <name val="Calibri"/>
      <family val="2"/>
    </font>
    <font>
      <sz val="9"/>
      <name val="新細明體"/>
      <family val="3"/>
      <charset val="134"/>
      <scheme val="minor"/>
    </font>
    <font>
      <sz val="8"/>
      <name val="Calibri"/>
      <family val="2"/>
    </font>
    <font>
      <sz val="9"/>
      <name val="細明體"/>
      <family val="3"/>
      <charset val="136"/>
    </font>
    <font>
      <sz val="12"/>
      <color rgb="FF000000"/>
      <name val="Lucida Grande"/>
      <family val="2"/>
    </font>
    <font>
      <sz val="8"/>
      <color rgb="FF000000"/>
      <name val="Lucida Grande"/>
      <family val="2"/>
    </font>
    <font>
      <b/>
      <sz val="48"/>
      <color theme="1"/>
      <name val="新細明體"/>
      <family val="3"/>
      <charset val="134"/>
      <scheme val="minor"/>
    </font>
    <font>
      <sz val="48"/>
      <color theme="1"/>
      <name val="新細明體"/>
      <family val="1"/>
      <scheme val="minor"/>
    </font>
    <font>
      <sz val="9"/>
      <name val="新細明體"/>
      <family val="3"/>
      <charset val="136"/>
      <scheme val="minor"/>
    </font>
    <font>
      <sz val="10"/>
      <name val="MingLiU"/>
      <family val="3"/>
      <charset val="136"/>
    </font>
    <font>
      <sz val="9"/>
      <name val="宋体"/>
    </font>
    <font>
      <sz val="7.1"/>
      <name val="細明體"/>
      <family val="3"/>
      <charset val="136"/>
    </font>
    <font>
      <sz val="10"/>
      <name val="細明體"/>
      <family val="3"/>
      <charset val="136"/>
    </font>
    <font>
      <sz val="10"/>
      <name val="Arial"/>
      <family val="3"/>
      <charset val="136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13">
    <xf numFmtId="0" fontId="0" fillId="0" borderId="0"/>
    <xf numFmtId="177" fontId="3" fillId="0" borderId="0" applyFill="0" applyBorder="0" applyAlignment="0"/>
    <xf numFmtId="177" fontId="3" fillId="0" borderId="0" applyFill="0" applyBorder="0" applyAlignment="0"/>
    <xf numFmtId="0" fontId="14" fillId="0" borderId="0"/>
    <xf numFmtId="178" fontId="3" fillId="0" borderId="0" applyFill="0" applyBorder="0" applyAlignment="0"/>
    <xf numFmtId="177" fontId="3" fillId="0" borderId="0" applyFill="0" applyBorder="0" applyAlignment="0"/>
    <xf numFmtId="0" fontId="13" fillId="0" borderId="0"/>
    <xf numFmtId="0" fontId="14" fillId="0" borderId="0"/>
    <xf numFmtId="177" fontId="3" fillId="0" borderId="0" applyFill="0" applyBorder="0" applyAlignment="0"/>
    <xf numFmtId="0" fontId="15" fillId="0" borderId="12" applyNumberFormat="0" applyAlignment="0" applyProtection="0">
      <alignment horizontal="left" vertical="center"/>
    </xf>
    <xf numFmtId="0" fontId="15" fillId="0" borderId="4">
      <alignment horizontal="left" vertical="center"/>
    </xf>
    <xf numFmtId="9" fontId="16" fillId="0" borderId="0" applyFont="0" applyFill="0" applyBorder="0" applyAlignment="0" applyProtection="0"/>
    <xf numFmtId="49" fontId="17" fillId="0" borderId="0" applyFill="0" applyBorder="0" applyAlignment="0"/>
  </cellStyleXfs>
  <cellXfs count="1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 wrapText="1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vertical="center"/>
    </xf>
    <xf numFmtId="0" fontId="3" fillId="3" borderId="0" xfId="0" applyFont="1" applyFill="1" applyBorder="1" applyProtection="1">
      <protection locked="0"/>
    </xf>
    <xf numFmtId="0" fontId="3" fillId="3" borderId="0" xfId="0" applyFont="1" applyFill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3" fillId="0" borderId="0" xfId="0" applyFont="1" applyBorder="1" applyProtection="1">
      <protection locked="0"/>
    </xf>
    <xf numFmtId="0" fontId="3" fillId="3" borderId="0" xfId="0" applyFont="1" applyFill="1" applyBorder="1" applyProtection="1"/>
    <xf numFmtId="0" fontId="5" fillId="3" borderId="0" xfId="0" applyFont="1" applyFill="1" applyProtection="1"/>
    <xf numFmtId="0" fontId="3" fillId="3" borderId="0" xfId="0" applyFont="1" applyFill="1" applyProtection="1"/>
    <xf numFmtId="0" fontId="3" fillId="3" borderId="0" xfId="0" applyFont="1" applyFill="1" applyBorder="1" applyAlignment="1" applyProtection="1">
      <alignment horizontal="center"/>
    </xf>
    <xf numFmtId="0" fontId="3" fillId="3" borderId="0" xfId="0" applyFont="1" applyFill="1" applyAlignment="1" applyProtection="1">
      <alignment horizontal="center"/>
    </xf>
    <xf numFmtId="0" fontId="8" fillId="6" borderId="5" xfId="0" applyFont="1" applyFill="1" applyBorder="1" applyAlignment="1" applyProtection="1">
      <alignment horizontal="center"/>
    </xf>
    <xf numFmtId="0" fontId="8" fillId="2" borderId="6" xfId="0" applyFont="1" applyFill="1" applyBorder="1" applyProtection="1"/>
    <xf numFmtId="0" fontId="8" fillId="2" borderId="0" xfId="0" applyFont="1" applyFill="1" applyBorder="1" applyProtection="1"/>
    <xf numFmtId="179" fontId="8" fillId="2" borderId="0" xfId="0" applyNumberFormat="1" applyFont="1" applyFill="1" applyBorder="1" applyProtection="1"/>
    <xf numFmtId="0" fontId="9" fillId="6" borderId="7" xfId="0" applyFont="1" applyFill="1" applyBorder="1" applyAlignment="1" applyProtection="1">
      <alignment horizontal="center"/>
    </xf>
    <xf numFmtId="0" fontId="8" fillId="2" borderId="1" xfId="0" applyFont="1" applyFill="1" applyBorder="1" applyAlignment="1" applyProtection="1">
      <alignment horizontal="center"/>
    </xf>
    <xf numFmtId="179" fontId="8" fillId="2" borderId="1" xfId="0" applyNumberFormat="1" applyFont="1" applyFill="1" applyBorder="1" applyAlignment="1" applyProtection="1">
      <alignment horizontal="center" wrapText="1"/>
    </xf>
    <xf numFmtId="179" fontId="8" fillId="2" borderId="1" xfId="0" applyNumberFormat="1" applyFont="1" applyFill="1" applyBorder="1" applyAlignment="1" applyProtection="1">
      <alignment horizontal="center"/>
    </xf>
    <xf numFmtId="176" fontId="3" fillId="6" borderId="7" xfId="0" applyNumberFormat="1" applyFont="1" applyFill="1" applyBorder="1" applyAlignment="1" applyProtection="1">
      <alignment horizontal="center"/>
      <protection locked="0"/>
    </xf>
    <xf numFmtId="0" fontId="3" fillId="4" borderId="8" xfId="0" applyNumberFormat="1" applyFont="1" applyFill="1" applyBorder="1" applyAlignment="1" applyProtection="1">
      <alignment horizontal="center"/>
      <protection locked="0"/>
    </xf>
    <xf numFmtId="176" fontId="3" fillId="4" borderId="1" xfId="0" applyNumberFormat="1" applyFont="1" applyFill="1" applyBorder="1" applyAlignment="1" applyProtection="1">
      <alignment horizontal="center"/>
      <protection locked="0"/>
    </xf>
    <xf numFmtId="0" fontId="9" fillId="2" borderId="1" xfId="0" applyFont="1" applyFill="1" applyBorder="1" applyAlignment="1" applyProtection="1">
      <alignment horizontal="center"/>
    </xf>
    <xf numFmtId="0" fontId="9" fillId="2" borderId="8" xfId="0" applyFont="1" applyFill="1" applyBorder="1" applyAlignment="1" applyProtection="1">
      <alignment horizontal="center"/>
    </xf>
    <xf numFmtId="176" fontId="3" fillId="2" borderId="9" xfId="0" applyNumberFormat="1" applyFont="1" applyFill="1" applyBorder="1" applyAlignment="1" applyProtection="1">
      <alignment horizontal="center"/>
      <protection locked="0"/>
    </xf>
    <xf numFmtId="176" fontId="3" fillId="7" borderId="8" xfId="0" applyNumberFormat="1" applyFont="1" applyFill="1" applyBorder="1" applyAlignment="1" applyProtection="1">
      <alignment horizontal="center"/>
      <protection locked="0"/>
    </xf>
    <xf numFmtId="180" fontId="10" fillId="0" borderId="10" xfId="0" applyNumberFormat="1" applyFont="1" applyFill="1" applyBorder="1" applyAlignment="1" applyProtection="1">
      <alignment horizontal="center"/>
    </xf>
    <xf numFmtId="180" fontId="10" fillId="0" borderId="8" xfId="0" applyNumberFormat="1" applyFont="1" applyFill="1" applyBorder="1" applyAlignment="1" applyProtection="1">
      <alignment horizontal="center"/>
    </xf>
    <xf numFmtId="0" fontId="8" fillId="2" borderId="9" xfId="0" applyFont="1" applyFill="1" applyBorder="1" applyAlignment="1" applyProtection="1">
      <alignment horizontal="centerContinuous"/>
    </xf>
    <xf numFmtId="0" fontId="8" fillId="2" borderId="10" xfId="0" applyFont="1" applyFill="1" applyBorder="1" applyAlignment="1" applyProtection="1">
      <alignment horizontal="centerContinuous"/>
    </xf>
    <xf numFmtId="0" fontId="8" fillId="2" borderId="11" xfId="0" applyFont="1" applyFill="1" applyBorder="1" applyAlignment="1" applyProtection="1">
      <alignment horizontal="centerContinuous"/>
    </xf>
    <xf numFmtId="0" fontId="8" fillId="2" borderId="5" xfId="0" applyFont="1" applyFill="1" applyBorder="1" applyProtection="1"/>
    <xf numFmtId="0" fontId="8" fillId="2" borderId="10" xfId="0" applyFont="1" applyFill="1" applyBorder="1" applyAlignment="1" applyProtection="1">
      <alignment horizontal="center"/>
    </xf>
    <xf numFmtId="0" fontId="8" fillId="2" borderId="8" xfId="0" applyFont="1" applyFill="1" applyBorder="1" applyAlignment="1" applyProtection="1">
      <alignment horizontal="center"/>
    </xf>
    <xf numFmtId="176" fontId="10" fillId="0" borderId="8" xfId="0" applyNumberFormat="1" applyFont="1" applyFill="1" applyBorder="1" applyAlignment="1" applyProtection="1">
      <alignment horizontal="center"/>
    </xf>
    <xf numFmtId="9" fontId="11" fillId="0" borderId="8" xfId="0" applyNumberFormat="1" applyFont="1" applyFill="1" applyBorder="1" applyAlignment="1" applyProtection="1">
      <alignment horizontal="center"/>
    </xf>
    <xf numFmtId="176" fontId="12" fillId="0" borderId="8" xfId="0" applyNumberFormat="1" applyFont="1" applyFill="1" applyBorder="1" applyAlignment="1" applyProtection="1">
      <alignment horizontal="center"/>
    </xf>
    <xf numFmtId="49" fontId="3" fillId="4" borderId="8" xfId="0" applyNumberFormat="1" applyFont="1" applyFill="1" applyBorder="1" applyAlignment="1" applyProtection="1">
      <alignment horizontal="center" wrapText="1"/>
      <protection locked="0"/>
    </xf>
    <xf numFmtId="49" fontId="3" fillId="4" borderId="1" xfId="0" applyNumberFormat="1" applyFont="1" applyFill="1" applyBorder="1" applyAlignment="1" applyProtection="1">
      <alignment horizontal="center" wrapText="1"/>
      <protection locked="0"/>
    </xf>
    <xf numFmtId="0" fontId="8" fillId="2" borderId="1" xfId="0" quotePrefix="1" applyFont="1" applyFill="1" applyBorder="1" applyAlignment="1" applyProtection="1">
      <alignment horizontal="center" wrapText="1"/>
    </xf>
    <xf numFmtId="0" fontId="3" fillId="8" borderId="8" xfId="0" applyNumberFormat="1" applyFont="1" applyFill="1" applyBorder="1" applyAlignment="1" applyProtection="1">
      <alignment horizontal="center"/>
      <protection locked="0"/>
    </xf>
    <xf numFmtId="49" fontId="3" fillId="8" borderId="9" xfId="0" applyNumberFormat="1" applyFont="1" applyFill="1" applyBorder="1" applyAlignment="1" applyProtection="1">
      <alignment horizontal="center"/>
      <protection locked="0"/>
    </xf>
    <xf numFmtId="2" fontId="3" fillId="8" borderId="1" xfId="0" applyNumberFormat="1" applyFont="1" applyFill="1" applyBorder="1" applyAlignment="1" applyProtection="1">
      <alignment horizontal="center" vertical="center"/>
      <protection locked="0"/>
    </xf>
    <xf numFmtId="2" fontId="6" fillId="8" borderId="1" xfId="0" applyNumberFormat="1" applyFont="1" applyFill="1" applyBorder="1" applyAlignment="1" applyProtection="1">
      <alignment horizontal="center"/>
      <protection locked="0"/>
    </xf>
    <xf numFmtId="0" fontId="22" fillId="8" borderId="8" xfId="0" applyNumberFormat="1" applyFont="1" applyFill="1" applyBorder="1" applyAlignment="1" applyProtection="1">
      <alignment horizontal="center"/>
      <protection locked="0"/>
    </xf>
    <xf numFmtId="0" fontId="25" fillId="2" borderId="0" xfId="0" applyFont="1" applyFill="1"/>
    <xf numFmtId="0" fontId="26" fillId="2" borderId="0" xfId="0" applyFont="1" applyFill="1"/>
    <xf numFmtId="0" fontId="22" fillId="8" borderId="8" xfId="0" applyNumberFormat="1" applyFont="1" applyFill="1" applyBorder="1" applyAlignment="1" applyProtection="1">
      <alignment horizontal="right"/>
      <protection locked="0"/>
    </xf>
    <xf numFmtId="176" fontId="3" fillId="8" borderId="1" xfId="0" applyNumberFormat="1" applyFont="1" applyFill="1" applyBorder="1" applyAlignment="1" applyProtection="1">
      <alignment horizontal="center" vertical="center"/>
      <protection locked="0"/>
    </xf>
    <xf numFmtId="181" fontId="22" fillId="8" borderId="8" xfId="0" applyNumberFormat="1" applyFont="1" applyFill="1" applyBorder="1" applyAlignment="1" applyProtection="1">
      <alignment horizontal="center"/>
      <protection locked="0"/>
    </xf>
    <xf numFmtId="0" fontId="22" fillId="8" borderId="8" xfId="0" applyNumberFormat="1" applyFont="1" applyFill="1" applyBorder="1" applyAlignment="1" applyProtection="1">
      <alignment horizontal="center" vertical="top"/>
      <protection locked="0"/>
    </xf>
    <xf numFmtId="0" fontId="8" fillId="8" borderId="8" xfId="0" applyNumberFormat="1" applyFont="1" applyFill="1" applyBorder="1" applyAlignment="1" applyProtection="1">
      <alignment horizontal="center" vertical="top"/>
      <protection locked="0"/>
    </xf>
    <xf numFmtId="0" fontId="8" fillId="8" borderId="8" xfId="0" applyNumberFormat="1" applyFont="1" applyFill="1" applyBorder="1" applyAlignment="1" applyProtection="1">
      <alignment horizontal="center"/>
      <protection locked="0"/>
    </xf>
    <xf numFmtId="1" fontId="6" fillId="8" borderId="1" xfId="0" applyNumberFormat="1" applyFont="1" applyFill="1" applyBorder="1" applyAlignment="1" applyProtection="1">
      <alignment horizontal="center"/>
      <protection locked="0"/>
    </xf>
    <xf numFmtId="49" fontId="28" fillId="4" borderId="1" xfId="0" applyNumberFormat="1" applyFont="1" applyFill="1" applyBorder="1" applyAlignment="1" applyProtection="1">
      <alignment horizontal="center" wrapText="1"/>
      <protection locked="0"/>
    </xf>
    <xf numFmtId="49" fontId="3" fillId="8" borderId="8" xfId="0" applyNumberFormat="1" applyFont="1" applyFill="1" applyBorder="1" applyAlignment="1" applyProtection="1">
      <alignment horizontal="center"/>
      <protection locked="0"/>
    </xf>
    <xf numFmtId="0" fontId="4" fillId="3" borderId="0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3" fillId="3" borderId="2" xfId="0" applyFont="1" applyFill="1" applyBorder="1" applyAlignment="1" applyProtection="1">
      <alignment horizontal="right"/>
    </xf>
    <xf numFmtId="0" fontId="3" fillId="3" borderId="3" xfId="0" applyFont="1" applyFill="1" applyBorder="1" applyAlignment="1" applyProtection="1">
      <alignment horizontal="right"/>
    </xf>
    <xf numFmtId="14" fontId="6" fillId="8" borderId="2" xfId="0" applyNumberFormat="1" applyFont="1" applyFill="1" applyBorder="1" applyAlignment="1" applyProtection="1">
      <alignment horizontal="left"/>
      <protection locked="0"/>
    </xf>
    <xf numFmtId="14" fontId="6" fillId="8" borderId="4" xfId="0" applyNumberFormat="1" applyFont="1" applyFill="1" applyBorder="1" applyAlignment="1" applyProtection="1">
      <alignment horizontal="left"/>
      <protection locked="0"/>
    </xf>
    <xf numFmtId="14" fontId="6" fillId="8" borderId="3" xfId="0" applyNumberFormat="1" applyFont="1" applyFill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right"/>
    </xf>
    <xf numFmtId="0" fontId="3" fillId="0" borderId="3" xfId="0" applyFont="1" applyBorder="1" applyAlignment="1" applyProtection="1">
      <alignment horizontal="right"/>
    </xf>
    <xf numFmtId="14" fontId="6" fillId="8" borderId="2" xfId="0" applyNumberFormat="1" applyFont="1" applyFill="1" applyBorder="1" applyAlignment="1" applyProtection="1">
      <alignment horizontal="center"/>
      <protection locked="0"/>
    </xf>
    <xf numFmtId="14" fontId="6" fillId="8" borderId="4" xfId="0" applyNumberFormat="1" applyFont="1" applyFill="1" applyBorder="1" applyAlignment="1" applyProtection="1">
      <alignment horizontal="center"/>
      <protection locked="0"/>
    </xf>
    <xf numFmtId="14" fontId="6" fillId="8" borderId="3" xfId="0" applyNumberFormat="1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0" borderId="3" xfId="0" applyBorder="1"/>
    <xf numFmtId="14" fontId="6" fillId="4" borderId="2" xfId="0" applyNumberFormat="1" applyFont="1" applyFill="1" applyBorder="1" applyAlignment="1" applyProtection="1">
      <alignment horizontal="left"/>
      <protection locked="0"/>
    </xf>
    <xf numFmtId="14" fontId="6" fillId="4" borderId="4" xfId="0" applyNumberFormat="1" applyFont="1" applyFill="1" applyBorder="1" applyAlignment="1" applyProtection="1">
      <alignment horizontal="left"/>
      <protection locked="0"/>
    </xf>
    <xf numFmtId="14" fontId="6" fillId="4" borderId="3" xfId="0" applyNumberFormat="1" applyFont="1" applyFill="1" applyBorder="1" applyAlignment="1" applyProtection="1">
      <alignment horizontal="left"/>
      <protection locked="0"/>
    </xf>
    <xf numFmtId="0" fontId="3" fillId="4" borderId="2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left"/>
    </xf>
    <xf numFmtId="0" fontId="3" fillId="4" borderId="3" xfId="0" applyFont="1" applyFill="1" applyBorder="1" applyAlignment="1" applyProtection="1">
      <alignment horizontal="left"/>
    </xf>
    <xf numFmtId="14" fontId="6" fillId="4" borderId="2" xfId="0" applyNumberFormat="1" applyFont="1" applyFill="1" applyBorder="1" applyAlignment="1" applyProtection="1">
      <alignment horizontal="center"/>
      <protection locked="0"/>
    </xf>
    <xf numFmtId="14" fontId="6" fillId="4" borderId="4" xfId="0" applyNumberFormat="1" applyFont="1" applyFill="1" applyBorder="1" applyAlignment="1" applyProtection="1">
      <alignment horizontal="center"/>
      <protection locked="0"/>
    </xf>
    <xf numFmtId="14" fontId="6" fillId="4" borderId="3" xfId="0" applyNumberFormat="1" applyFont="1" applyFill="1" applyBorder="1" applyAlignment="1" applyProtection="1">
      <alignment horizontal="center"/>
      <protection locked="0"/>
    </xf>
    <xf numFmtId="0" fontId="3" fillId="3" borderId="4" xfId="0" applyFont="1" applyFill="1" applyBorder="1" applyAlignment="1" applyProtection="1">
      <alignment horizontal="right"/>
    </xf>
    <xf numFmtId="0" fontId="6" fillId="8" borderId="2" xfId="0" applyNumberFormat="1" applyFont="1" applyFill="1" applyBorder="1" applyAlignment="1" applyProtection="1">
      <alignment horizontal="left"/>
      <protection locked="0"/>
    </xf>
    <xf numFmtId="0" fontId="6" fillId="8" borderId="4" xfId="0" applyNumberFormat="1" applyFont="1" applyFill="1" applyBorder="1" applyAlignment="1" applyProtection="1">
      <alignment horizontal="left"/>
      <protection locked="0"/>
    </xf>
    <xf numFmtId="0" fontId="6" fillId="8" borderId="3" xfId="0" applyNumberFormat="1" applyFont="1" applyFill="1" applyBorder="1" applyAlignment="1" applyProtection="1">
      <alignment horizontal="left"/>
      <protection locked="0"/>
    </xf>
    <xf numFmtId="0" fontId="7" fillId="5" borderId="2" xfId="0" applyFont="1" applyFill="1" applyBorder="1" applyAlignment="1" applyProtection="1">
      <alignment horizontal="center"/>
    </xf>
    <xf numFmtId="0" fontId="7" fillId="5" borderId="4" xfId="0" applyFont="1" applyFill="1" applyBorder="1" applyAlignment="1" applyProtection="1">
      <alignment horizontal="center"/>
    </xf>
    <xf numFmtId="0" fontId="7" fillId="5" borderId="3" xfId="0" applyFont="1" applyFill="1" applyBorder="1" applyAlignment="1" applyProtection="1">
      <alignment horizontal="center"/>
    </xf>
    <xf numFmtId="0" fontId="8" fillId="5" borderId="2" xfId="0" applyFont="1" applyFill="1" applyBorder="1" applyAlignment="1" applyProtection="1">
      <alignment horizontal="center"/>
    </xf>
    <xf numFmtId="0" fontId="8" fillId="5" borderId="3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 vertical="center" wrapText="1"/>
    </xf>
    <xf numFmtId="0" fontId="8" fillId="2" borderId="8" xfId="0" applyFont="1" applyFill="1" applyBorder="1" applyAlignment="1" applyProtection="1">
      <alignment horizontal="center" vertical="center" wrapText="1"/>
    </xf>
    <xf numFmtId="0" fontId="9" fillId="2" borderId="5" xfId="0" applyFont="1" applyFill="1" applyBorder="1" applyAlignment="1" applyProtection="1">
      <alignment horizontal="center" vertical="center" wrapText="1"/>
    </xf>
    <xf numFmtId="0" fontId="9" fillId="2" borderId="8" xfId="0" applyFont="1" applyFill="1" applyBorder="1" applyAlignment="1" applyProtection="1">
      <alignment horizontal="center" vertical="center" wrapText="1"/>
    </xf>
    <xf numFmtId="0" fontId="8" fillId="2" borderId="2" xfId="0" applyFont="1" applyFill="1" applyBorder="1" applyAlignment="1" applyProtection="1">
      <alignment horizontal="center"/>
    </xf>
    <xf numFmtId="0" fontId="8" fillId="2" borderId="4" xfId="0" applyFont="1" applyFill="1" applyBorder="1" applyAlignment="1" applyProtection="1">
      <alignment horizontal="center"/>
    </xf>
    <xf numFmtId="0" fontId="8" fillId="2" borderId="3" xfId="0" applyFont="1" applyFill="1" applyBorder="1" applyAlignment="1" applyProtection="1">
      <alignment horizontal="center"/>
    </xf>
    <xf numFmtId="0" fontId="8" fillId="2" borderId="5" xfId="0" applyFont="1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2" fillId="0" borderId="0" xfId="0" applyFont="1" applyAlignment="1">
      <alignment horizontal="center" wrapText="1"/>
    </xf>
    <xf numFmtId="0" fontId="1" fillId="0" borderId="0" xfId="0" applyFont="1" applyAlignment="1">
      <alignment horizontal="center" vertical="center"/>
    </xf>
    <xf numFmtId="49" fontId="32" fillId="4" borderId="1" xfId="0" applyNumberFormat="1" applyFont="1" applyFill="1" applyBorder="1" applyAlignment="1" applyProtection="1">
      <alignment horizontal="center" wrapText="1"/>
      <protection locked="0"/>
    </xf>
    <xf numFmtId="49" fontId="31" fillId="4" borderId="1" xfId="0" applyNumberFormat="1" applyFont="1" applyFill="1" applyBorder="1" applyAlignment="1" applyProtection="1">
      <alignment horizontal="center" wrapText="1"/>
      <protection locked="0"/>
    </xf>
  </cellXfs>
  <cellStyles count="13">
    <cellStyle name="___CPK__" xfId="6" xr:uid="{00000000-0005-0000-0000-000000000000}"/>
    <cellStyle name="Calc Percent (0)" xfId="4" xr:uid="{00000000-0005-0000-0000-000001000000}"/>
    <cellStyle name="Enter Currency (0)" xfId="8" xr:uid="{00000000-0005-0000-0000-000002000000}"/>
    <cellStyle name="Header1" xfId="9" xr:uid="{00000000-0005-0000-0000-000003000000}"/>
    <cellStyle name="Header2" xfId="10" xr:uid="{00000000-0005-0000-0000-000004000000}"/>
    <cellStyle name="Link Currency (0)" xfId="5" xr:uid="{00000000-0005-0000-0000-000005000000}"/>
    <cellStyle name="Normal 2" xfId="7" xr:uid="{00000000-0005-0000-0000-000006000000}"/>
    <cellStyle name="Normal 2 2" xfId="3" xr:uid="{00000000-0005-0000-0000-000007000000}"/>
    <cellStyle name="Percent 2" xfId="11" xr:uid="{00000000-0005-0000-0000-000008000000}"/>
    <cellStyle name="PrePop Currency (0)" xfId="1" xr:uid="{00000000-0005-0000-0000-000009000000}"/>
    <cellStyle name="Text Indent A" xfId="12" xr:uid="{00000000-0005-0000-0000-00000A000000}"/>
    <cellStyle name="Text Indent B" xfId="2" xr:uid="{00000000-0005-0000-0000-00000B000000}"/>
    <cellStyle name="常规" xfId="0" builtinId="0"/>
  </cellStyles>
  <dxfs count="7110"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auto="1"/>
      </font>
      <fill>
        <patternFill patternType="solid">
          <fgColor indexed="64"/>
          <bgColor theme="3" tint="0.59999389629810485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theme="7" tint="0.79998168889431442"/>
        </patternFill>
      </fill>
    </dxf>
    <dxf>
      <font>
        <color auto="1"/>
      </font>
      <fill>
        <patternFill patternType="none">
          <fgColor indexed="64"/>
          <bgColor auto="1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auto="1"/>
      </font>
      <fill>
        <patternFill patternType="solid">
          <bgColor theme="0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color auto="1"/>
      </font>
      <fill>
        <patternFill patternType="solid">
          <bgColor rgb="FFFFFF66"/>
        </patternFill>
      </fill>
    </dxf>
    <dxf>
      <font>
        <color auto="1"/>
      </font>
      <fill>
        <patternFill patternType="solid">
          <bgColor theme="3" tint="0.59999389629810485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b/>
        <i val="0"/>
        <u val="none"/>
        <color theme="5"/>
      </font>
      <fill>
        <patternFill patternType="none"/>
      </fill>
    </dxf>
    <dxf>
      <font>
        <b val="0"/>
        <i val="0"/>
        <color theme="9"/>
      </font>
      <fill>
        <patternFill patternType="none"/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 patternType="solid">
          <bgColor theme="7" tint="0.79995117038483843"/>
        </patternFill>
      </fill>
    </dxf>
    <dxf>
      <font>
        <color auto="1"/>
      </font>
      <fill>
        <patternFill patternType="none"/>
      </fill>
    </dxf>
    <dxf>
      <font>
        <color auto="1"/>
      </font>
      <fill>
        <patternFill patternType="solid">
          <bgColor rgb="FFFF0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0</xdr:row>
          <xdr:rowOff>76200</xdr:rowOff>
        </xdr:from>
        <xdr:to>
          <xdr:col>3</xdr:col>
          <xdr:colOff>457200</xdr:colOff>
          <xdr:row>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 Data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0</xdr:rowOff>
    </xdr:from>
    <xdr:to>
      <xdr:col>16</xdr:col>
      <xdr:colOff>564543</xdr:colOff>
      <xdr:row>38</xdr:row>
      <xdr:rowOff>166977</xdr:rowOff>
    </xdr:to>
    <xdr:pic>
      <xdr:nvPicPr>
        <xdr:cNvPr id="1033" name="Picture 9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461176"/>
          <a:ext cx="10742212" cy="7609398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40</xdr:row>
      <xdr:rowOff>0</xdr:rowOff>
    </xdr:from>
    <xdr:to>
      <xdr:col>16</xdr:col>
      <xdr:colOff>556591</xdr:colOff>
      <xdr:row>76</xdr:row>
      <xdr:rowOff>119270</xdr:rowOff>
    </xdr:to>
    <xdr:pic>
      <xdr:nvPicPr>
        <xdr:cNvPr id="1034" name="Picture 10">
          <a:extLst>
            <a:ext uri="{FF2B5EF4-FFF2-40B4-BE49-F238E27FC236}">
              <a16:creationId xmlns:a16="http://schemas.microsoft.com/office/drawing/2014/main" id="{00000000-0008-0000-01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8317064"/>
          <a:ext cx="10734261" cy="756169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16</xdr:col>
      <xdr:colOff>540689</xdr:colOff>
      <xdr:row>114</xdr:row>
      <xdr:rowOff>143123</xdr:rowOff>
    </xdr:to>
    <xdr:pic>
      <xdr:nvPicPr>
        <xdr:cNvPr id="1035" name="Picture 11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0" y="16172953"/>
          <a:ext cx="10718358" cy="7585544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16</xdr:col>
      <xdr:colOff>556591</xdr:colOff>
      <xdr:row>153</xdr:row>
      <xdr:rowOff>127221</xdr:rowOff>
    </xdr:to>
    <xdr:pic>
      <xdr:nvPicPr>
        <xdr:cNvPr id="1036" name="Picture 12"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0" y="24235576"/>
          <a:ext cx="10734261" cy="756964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0</xdr:row>
          <xdr:rowOff>0</xdr:rowOff>
        </xdr:from>
        <xdr:to>
          <xdr:col>3</xdr:col>
          <xdr:colOff>990600</xdr:colOff>
          <xdr:row>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Dim Blocks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1</xdr:col>
          <xdr:colOff>990600</xdr:colOff>
          <xdr:row>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Circles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0</xdr:rowOff>
        </xdr:from>
        <xdr:to>
          <xdr:col>7</xdr:col>
          <xdr:colOff>628650</xdr:colOff>
          <xdr:row>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Lucida Grande"/>
                </a:rPr>
                <a:t>Clear blocks &amp; positions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685800</xdr:colOff>
          <xdr:row>0</xdr:row>
          <xdr:rowOff>19050</xdr:rowOff>
        </xdr:from>
        <xdr:to>
          <xdr:col>9</xdr:col>
          <xdr:colOff>228600</xdr:colOff>
          <xdr:row>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800" b="0" i="0" u="none" strike="noStrike" baseline="0">
                  <a:solidFill>
                    <a:srgbClr val="000000"/>
                  </a:solidFill>
                  <a:latin typeface="Lucida Grande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/AppData/Local/Microsoft/Windows/INetCache/Content.Outlook/A23YJQCL/Enhanced%20Cpk%20Template%20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pk"/>
      <sheetName val="Drawing"/>
      <sheetName val="Setup"/>
      <sheetName val="Revision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AC180"/>
  <sheetViews>
    <sheetView tabSelected="1" zoomScale="67" zoomScaleNormal="67" workbookViewId="0">
      <selection activeCell="L192" sqref="L192"/>
    </sheetView>
  </sheetViews>
  <sheetFormatPr defaultColWidth="12.625" defaultRowHeight="12.75" customHeight="1"/>
  <cols>
    <col min="1" max="1" width="0.875" style="14" customWidth="1"/>
    <col min="2" max="2" width="9" style="14" customWidth="1"/>
    <col min="3" max="3" width="19.5" style="14" customWidth="1"/>
    <col min="4" max="8" width="9" style="14" customWidth="1"/>
    <col min="9" max="10" width="9" style="14" hidden="1" customWidth="1"/>
    <col min="11" max="13" width="9" style="14" customWidth="1"/>
    <col min="14" max="14" width="0.875" style="14" customWidth="1"/>
    <col min="15" max="22" width="9" style="14" customWidth="1"/>
    <col min="23" max="23" width="36" style="14" customWidth="1"/>
    <col min="24" max="24" width="0.875" style="14" customWidth="1"/>
    <col min="25" max="16384" width="12.625" style="14"/>
  </cols>
  <sheetData>
    <row r="1" spans="1:29" s="11" customFormat="1" ht="21.95" customHeight="1">
      <c r="A1" s="65" t="s">
        <v>0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</row>
    <row r="2" spans="1:29" s="12" customFormat="1" ht="14.1" customHeight="1">
      <c r="A2" s="15"/>
      <c r="B2" s="16">
        <v>7</v>
      </c>
      <c r="C2" s="16"/>
      <c r="D2" s="17"/>
      <c r="E2" s="17"/>
      <c r="F2" s="17"/>
      <c r="I2" s="17"/>
      <c r="J2" s="17"/>
      <c r="K2" s="15"/>
      <c r="L2" s="15"/>
      <c r="M2" s="15"/>
      <c r="N2" s="15"/>
      <c r="O2" s="17"/>
      <c r="P2" s="9"/>
      <c r="Q2" s="9"/>
      <c r="R2" s="9"/>
      <c r="S2" s="9"/>
      <c r="T2" s="9"/>
      <c r="U2" s="66" t="s">
        <v>1</v>
      </c>
      <c r="V2" s="66"/>
      <c r="W2" s="17"/>
      <c r="X2" s="15"/>
    </row>
    <row r="3" spans="1:29" s="12" customFormat="1" ht="9.1999999999999993" customHeight="1">
      <c r="A3" s="15"/>
      <c r="B3" s="17"/>
      <c r="C3" s="17"/>
      <c r="D3" s="15"/>
      <c r="E3" s="15"/>
      <c r="F3" s="17"/>
      <c r="G3" s="17"/>
      <c r="H3" s="17"/>
      <c r="I3" s="17"/>
      <c r="J3" s="17"/>
      <c r="K3" s="15"/>
      <c r="L3" s="15"/>
      <c r="M3" s="15"/>
      <c r="N3" s="15"/>
      <c r="O3" s="17"/>
      <c r="P3" s="17"/>
      <c r="Q3" s="17"/>
      <c r="R3" s="17"/>
      <c r="S3" s="17"/>
      <c r="T3" s="15"/>
      <c r="U3" s="15"/>
      <c r="V3" s="17"/>
      <c r="W3" s="17"/>
      <c r="X3" s="15"/>
    </row>
    <row r="4" spans="1:29" s="12" customFormat="1" ht="18.75" customHeight="1">
      <c r="A4" s="9"/>
      <c r="B4" s="67" t="s">
        <v>2</v>
      </c>
      <c r="C4" s="68"/>
      <c r="D4" s="69" t="s">
        <v>67</v>
      </c>
      <c r="E4" s="70"/>
      <c r="F4" s="70"/>
      <c r="G4" s="70"/>
      <c r="H4" s="71"/>
      <c r="I4" s="17"/>
      <c r="J4" s="17"/>
      <c r="K4" s="72" t="s">
        <v>3</v>
      </c>
      <c r="L4" s="73"/>
      <c r="M4" s="74" t="s">
        <v>60</v>
      </c>
      <c r="N4" s="75"/>
      <c r="O4" s="75"/>
      <c r="P4" s="75"/>
      <c r="Q4" s="76"/>
      <c r="R4" s="67" t="s">
        <v>4</v>
      </c>
      <c r="S4" s="77"/>
      <c r="T4" s="78"/>
      <c r="U4" s="79" t="s">
        <v>65</v>
      </c>
      <c r="V4" s="80"/>
      <c r="W4" s="80"/>
      <c r="X4" s="81"/>
      <c r="Y4" s="9"/>
      <c r="Z4" s="9"/>
      <c r="AA4" s="9"/>
      <c r="AB4" s="9"/>
      <c r="AC4" s="9"/>
    </row>
    <row r="5" spans="1:29" s="12" customFormat="1" ht="18.75" customHeight="1">
      <c r="A5" s="9"/>
      <c r="B5" s="67" t="s">
        <v>5</v>
      </c>
      <c r="C5" s="68"/>
      <c r="D5" s="69" t="s">
        <v>66</v>
      </c>
      <c r="E5" s="70"/>
      <c r="F5" s="70"/>
      <c r="G5" s="70"/>
      <c r="H5" s="71"/>
      <c r="I5" s="17"/>
      <c r="J5" s="17"/>
      <c r="K5" s="72" t="s">
        <v>6</v>
      </c>
      <c r="L5" s="73"/>
      <c r="M5" s="85" t="s">
        <v>89</v>
      </c>
      <c r="N5" s="86"/>
      <c r="O5" s="86"/>
      <c r="P5" s="86"/>
      <c r="Q5" s="87"/>
      <c r="R5" s="67" t="s">
        <v>7</v>
      </c>
      <c r="S5" s="88"/>
      <c r="T5" s="68"/>
      <c r="U5" s="82"/>
      <c r="V5" s="83"/>
      <c r="W5" s="83"/>
      <c r="X5" s="84"/>
      <c r="Y5" s="9"/>
      <c r="Z5" s="9"/>
      <c r="AA5" s="9"/>
      <c r="AB5" s="9"/>
      <c r="AC5" s="9"/>
    </row>
    <row r="6" spans="1:29" s="12" customFormat="1" ht="18.75" customHeight="1">
      <c r="A6" s="9"/>
      <c r="B6" s="67" t="s">
        <v>8</v>
      </c>
      <c r="C6" s="68"/>
      <c r="D6" s="89">
        <v>1</v>
      </c>
      <c r="E6" s="90"/>
      <c r="F6" s="90"/>
      <c r="G6" s="90"/>
      <c r="H6" s="91"/>
      <c r="I6" s="17"/>
      <c r="J6" s="17"/>
      <c r="K6" s="72" t="s">
        <v>9</v>
      </c>
      <c r="L6" s="73"/>
      <c r="M6" s="85" t="s">
        <v>90</v>
      </c>
      <c r="N6" s="86"/>
      <c r="O6" s="86"/>
      <c r="P6" s="86"/>
      <c r="Q6" s="87"/>
      <c r="R6" s="67" t="s">
        <v>10</v>
      </c>
      <c r="S6" s="88"/>
      <c r="T6" s="68"/>
      <c r="U6" s="82"/>
      <c r="V6" s="83"/>
      <c r="W6" s="83"/>
      <c r="X6" s="84"/>
      <c r="Y6" s="9"/>
      <c r="Z6" s="9"/>
      <c r="AA6" s="9"/>
      <c r="AB6" s="9"/>
      <c r="AC6" s="9"/>
    </row>
    <row r="7" spans="1:29" s="12" customFormat="1" ht="9.1999999999999993" customHeight="1">
      <c r="A7" s="18"/>
      <c r="B7" s="19"/>
      <c r="C7" s="18"/>
      <c r="D7" s="19"/>
      <c r="E7" s="19"/>
      <c r="F7" s="18"/>
      <c r="G7" s="19"/>
      <c r="H7" s="18"/>
      <c r="I7" s="19"/>
      <c r="J7" s="18"/>
      <c r="K7" s="19"/>
      <c r="L7" s="18"/>
      <c r="M7" s="19"/>
      <c r="N7" s="18"/>
      <c r="O7" s="19"/>
      <c r="P7" s="18"/>
      <c r="Q7" s="19"/>
      <c r="R7" s="18"/>
      <c r="S7" s="19"/>
      <c r="T7" s="18"/>
      <c r="U7" s="19"/>
      <c r="V7" s="18"/>
      <c r="W7" s="19"/>
      <c r="X7" s="15"/>
    </row>
    <row r="8" spans="1:29" s="13" customFormat="1" ht="15" customHeight="1">
      <c r="A8" s="92" t="s">
        <v>11</v>
      </c>
      <c r="B8" s="93"/>
      <c r="C8" s="93"/>
      <c r="D8" s="93"/>
      <c r="E8" s="93"/>
      <c r="F8" s="93"/>
      <c r="G8" s="93"/>
      <c r="H8" s="93"/>
      <c r="I8" s="93"/>
      <c r="J8" s="94"/>
      <c r="K8" s="92" t="s">
        <v>12</v>
      </c>
      <c r="L8" s="93"/>
      <c r="M8" s="93"/>
      <c r="N8" s="93"/>
      <c r="O8" s="93"/>
      <c r="P8" s="93"/>
      <c r="Q8" s="94"/>
      <c r="R8" s="92" t="s">
        <v>13</v>
      </c>
      <c r="S8" s="93"/>
      <c r="T8" s="93"/>
      <c r="U8" s="93"/>
      <c r="V8" s="94"/>
      <c r="W8" s="95" t="s">
        <v>14</v>
      </c>
      <c r="X8" s="96"/>
    </row>
    <row r="9" spans="1:29" s="12" customFormat="1" ht="15" customHeight="1">
      <c r="A9" s="20"/>
      <c r="B9" s="21"/>
      <c r="C9" s="22"/>
      <c r="D9" s="23"/>
      <c r="E9" s="23"/>
      <c r="F9" s="22"/>
      <c r="G9" s="22"/>
      <c r="H9" s="97" t="s">
        <v>15</v>
      </c>
      <c r="I9" s="99" t="s">
        <v>16</v>
      </c>
      <c r="J9" s="99" t="s">
        <v>17</v>
      </c>
      <c r="K9" s="101" t="s">
        <v>18</v>
      </c>
      <c r="L9" s="102"/>
      <c r="M9" s="103"/>
      <c r="N9" s="20"/>
      <c r="O9" s="101" t="s">
        <v>19</v>
      </c>
      <c r="P9" s="102"/>
      <c r="Q9" s="103"/>
      <c r="R9" s="104" t="s">
        <v>20</v>
      </c>
      <c r="S9" s="37" t="s">
        <v>21</v>
      </c>
      <c r="T9" s="38"/>
      <c r="U9" s="39" t="s">
        <v>22</v>
      </c>
      <c r="V9" s="38"/>
      <c r="W9" s="40"/>
      <c r="X9" s="20"/>
    </row>
    <row r="10" spans="1:29" s="12" customFormat="1" ht="35.1" customHeight="1">
      <c r="A10" s="24"/>
      <c r="B10" s="25" t="s">
        <v>23</v>
      </c>
      <c r="C10" s="25" t="s">
        <v>24</v>
      </c>
      <c r="D10" s="26" t="s">
        <v>25</v>
      </c>
      <c r="E10" s="27" t="s">
        <v>26</v>
      </c>
      <c r="F10" s="48" t="s">
        <v>27</v>
      </c>
      <c r="G10" s="48" t="s">
        <v>28</v>
      </c>
      <c r="H10" s="98"/>
      <c r="I10" s="100"/>
      <c r="J10" s="100"/>
      <c r="K10" s="31">
        <v>1</v>
      </c>
      <c r="L10" s="31">
        <v>2</v>
      </c>
      <c r="M10" s="31">
        <v>3</v>
      </c>
      <c r="N10" s="24"/>
      <c r="O10" s="32">
        <v>1</v>
      </c>
      <c r="P10" s="32">
        <v>2</v>
      </c>
      <c r="Q10" s="32">
        <v>3</v>
      </c>
      <c r="R10" s="105"/>
      <c r="S10" s="25" t="s">
        <v>29</v>
      </c>
      <c r="T10" s="41" t="s">
        <v>30</v>
      </c>
      <c r="U10" s="25" t="s">
        <v>31</v>
      </c>
      <c r="V10" s="41" t="s">
        <v>32</v>
      </c>
      <c r="W10" s="42" t="s">
        <v>33</v>
      </c>
      <c r="X10" s="24"/>
    </row>
    <row r="11" spans="1:29" s="12" customFormat="1" ht="18" customHeight="1">
      <c r="A11" s="28"/>
      <c r="B11" s="49">
        <v>1</v>
      </c>
      <c r="C11" s="53" t="s">
        <v>68</v>
      </c>
      <c r="D11" s="30" t="s">
        <v>40</v>
      </c>
      <c r="E11" s="52">
        <v>3.51</v>
      </c>
      <c r="F11" s="51">
        <v>0.03</v>
      </c>
      <c r="G11" s="51">
        <v>-0.03</v>
      </c>
      <c r="H11" s="50" t="s">
        <v>45</v>
      </c>
      <c r="I11" s="33">
        <f>IF(AND(E11="",F11=""),"",IF(E11="",F11,E11+F11))</f>
        <v>3.5399999999999996</v>
      </c>
      <c r="J11" s="33">
        <f>IF(AND(E11="",G11=""),"",IF(E11="",G11,E11+G11))</f>
        <v>3.48</v>
      </c>
      <c r="K11" s="34">
        <v>3.54</v>
      </c>
      <c r="L11" s="34">
        <v>3.54</v>
      </c>
      <c r="M11" s="34">
        <v>3.5369999999999999</v>
      </c>
      <c r="N11" s="28"/>
      <c r="O11" s="35">
        <f>IF(ISERR(K11/K11)=TRUE," ",K11-$E11)</f>
        <v>3.0000000000000249E-2</v>
      </c>
      <c r="P11" s="36">
        <f>IF(ISERR(L11/L11)=TRUE," ",L11-$E11)</f>
        <v>3.0000000000000249E-2</v>
      </c>
      <c r="Q11" s="36">
        <f>IF(ISERR(M11/M11)=TRUE," ",M11-$E11)</f>
        <v>2.7000000000000135E-2</v>
      </c>
      <c r="R11" s="43">
        <f>IF(ISERR(K11/K11)=TRUE," ",AVERAGE(K11:M11))</f>
        <v>3.5390000000000001</v>
      </c>
      <c r="S11" s="44">
        <f>IF(ISERR(F11/F11)=TRUE," ",IF(ISERR(K11/K11)=TRUE," ",IF(ISNUMBER($K11)=FALSE," ",IF(MAX($K11:$M11)&lt;$E11,0,(MAX($K11:$M11)-$E11)/$F11))))</f>
        <v>1.0000000000000084</v>
      </c>
      <c r="T11" s="44">
        <f>IF(ISERR(G11/E11)=TRUE," ",IF(ISERR(G11/G11)=TRUE," ",IF(ISERR(K11/K11)=TRUE," ",IF(ISNUMBER(K11)=FALSE," ",IF(MIN(K11:M11)&gt;$E11,0,($E11-MIN(K11:M11))/-G11)))))</f>
        <v>0</v>
      </c>
      <c r="U11" s="45" t="str">
        <f t="shared" ref="U11:U108" si="0">IF(ISNUMBER($S11)=TRUE,IF($S11&gt;0.651,IF($S11&gt;1.001,"Reject","Alert")," ")," ")</f>
        <v>Alert</v>
      </c>
      <c r="V11" s="45" t="str">
        <f>IF(K11="","",IF(ISERR(G11/G11)=TRUE," ",IF(ISERR(G11/E11)=TRUE,IF((G11-MIN(K11:M11))&gt;0.001,"Reject",""),IF(ISNUMBER($T11)=TRUE,IF($T11&gt;0.651,IF($T11&gt;1.001,"Reject","Alert")," ")," "))))</f>
        <v xml:space="preserve"> </v>
      </c>
      <c r="W11" s="46"/>
      <c r="X11" s="28"/>
    </row>
    <row r="12" spans="1:29" s="12" customFormat="1" ht="18" customHeight="1">
      <c r="A12" s="28"/>
      <c r="B12" s="49"/>
      <c r="C12" s="53">
        <v>2</v>
      </c>
      <c r="D12" s="30" t="s">
        <v>40</v>
      </c>
      <c r="E12" s="52">
        <v>3.51</v>
      </c>
      <c r="F12" s="51">
        <v>0.03</v>
      </c>
      <c r="G12" s="51">
        <v>-0.03</v>
      </c>
      <c r="H12" s="50" t="s">
        <v>45</v>
      </c>
      <c r="I12" s="33">
        <f t="shared" ref="I12:I68" si="1">IF(AND(E12="",F12=""),"",IF(E12="",F12,E12+F12))</f>
        <v>3.5399999999999996</v>
      </c>
      <c r="J12" s="33">
        <f t="shared" ref="J12:J68" si="2">IF(AND(E12="",G12=""),"",IF(E12="",G12,E12+G12))</f>
        <v>3.48</v>
      </c>
      <c r="K12" s="34">
        <v>3.5329999999999999</v>
      </c>
      <c r="L12" s="34">
        <v>3.5379999999999998</v>
      </c>
      <c r="M12" s="34">
        <v>3.5350000000000001</v>
      </c>
      <c r="N12" s="28"/>
      <c r="O12" s="35">
        <f t="shared" ref="O12:Q15" si="3">IF(ISERR(K12/K12)=TRUE," ",K12-$E12)</f>
        <v>2.3000000000000131E-2</v>
      </c>
      <c r="P12" s="36">
        <f t="shared" si="3"/>
        <v>2.8000000000000025E-2</v>
      </c>
      <c r="Q12" s="36">
        <f t="shared" si="3"/>
        <v>2.5000000000000355E-2</v>
      </c>
      <c r="R12" s="43">
        <f>IF(ISERR(K12/K12)=TRUE," ",AVERAGE(K12:M12))</f>
        <v>3.5353333333333334</v>
      </c>
      <c r="S12" s="44">
        <f>IF(ISERR(F12/F12)=TRUE," ",IF(ISERR(K12/K12)=TRUE," ",IF(ISNUMBER($K12)=FALSE," ",IF(MAX($K12:$M12)&lt;$E12,0,(MAX($K12:$M12)-$E12)/$F12))))</f>
        <v>0.93333333333333424</v>
      </c>
      <c r="T12" s="44">
        <f>IF(ISERR(G12/E12)=TRUE," ",IF(ISERR(G12/G12)=TRUE," ",IF(ISERR(K12/K12)=TRUE," ",IF(ISNUMBER(K12)=FALSE," ",IF(MIN(K12:M12)&gt;$E12,0,($E12-MIN(K12:M12))/-G12)))))</f>
        <v>0</v>
      </c>
      <c r="U12" s="45" t="str">
        <f t="shared" si="0"/>
        <v>Alert</v>
      </c>
      <c r="V12" s="45" t="str">
        <f>IF(K12="","",IF(ISERR(G12/G12)=TRUE," ",IF(ISERR(G12/E12)=TRUE,IF((G12-MIN(K12:M12))&gt;0.001,"Reject",""),IF(ISNUMBER($T12)=TRUE,IF($T12&gt;0.651,IF($T12&gt;1.001,"Reject","Alert")," ")," "))))</f>
        <v xml:space="preserve"> </v>
      </c>
      <c r="W12" s="46"/>
      <c r="X12" s="28"/>
    </row>
    <row r="13" spans="1:29" s="12" customFormat="1" ht="18" customHeight="1">
      <c r="A13" s="28"/>
      <c r="B13" s="49"/>
      <c r="C13" s="53">
        <v>3</v>
      </c>
      <c r="D13" s="30" t="s">
        <v>40</v>
      </c>
      <c r="E13" s="52">
        <v>3.51</v>
      </c>
      <c r="F13" s="51">
        <v>0.03</v>
      </c>
      <c r="G13" s="51">
        <v>-0.03</v>
      </c>
      <c r="H13" s="50" t="s">
        <v>45</v>
      </c>
      <c r="I13" s="33">
        <f t="shared" si="1"/>
        <v>3.5399999999999996</v>
      </c>
      <c r="J13" s="33">
        <f t="shared" si="2"/>
        <v>3.48</v>
      </c>
      <c r="K13" s="34">
        <v>3.5310000000000001</v>
      </c>
      <c r="L13" s="34">
        <v>3.5329999999999999</v>
      </c>
      <c r="M13" s="34">
        <v>3.5179999999999998</v>
      </c>
      <c r="N13" s="28"/>
      <c r="O13" s="35">
        <f t="shared" si="3"/>
        <v>2.1000000000000352E-2</v>
      </c>
      <c r="P13" s="36">
        <f t="shared" si="3"/>
        <v>2.3000000000000131E-2</v>
      </c>
      <c r="Q13" s="36">
        <f t="shared" si="3"/>
        <v>8.0000000000000071E-3</v>
      </c>
      <c r="R13" s="43">
        <f>IF(ISERR(K13/K13)=TRUE," ",AVERAGE(K13:M13))</f>
        <v>3.5273333333333334</v>
      </c>
      <c r="S13" s="44">
        <f>IF(ISERR(F13/F13)=TRUE," ",IF(ISERR(K13/K13)=TRUE," ",IF(ISNUMBER($K13)=FALSE," ",IF(MAX($K13:$M13)&lt;$E13,0,(MAX($K13:$M13)-$E13)/$F13))))</f>
        <v>0.76666666666667105</v>
      </c>
      <c r="T13" s="44">
        <f>IF(ISERR(G13/E13)=TRUE," ",IF(ISERR(G13/G13)=TRUE," ",IF(ISERR(K13/K13)=TRUE," ",IF(ISNUMBER(K13)=FALSE," ",IF(MIN(K13:M13)&gt;$E13,0,($E13-MIN(K13:M13))/-G13)))))</f>
        <v>0</v>
      </c>
      <c r="U13" s="45" t="str">
        <f t="shared" si="0"/>
        <v>Alert</v>
      </c>
      <c r="V13" s="45" t="str">
        <f>IF(K13="","",IF(ISERR(G13/G13)=TRUE," ",IF(ISERR(G13/E13)=TRUE,IF((G13-MIN(K13:M13))&gt;0.001,"Reject",""),IF(ISNUMBER($T13)=TRUE,IF($T13&gt;0.651,IF($T13&gt;1.001,"Reject","Alert")," ")," "))))</f>
        <v xml:space="preserve"> </v>
      </c>
      <c r="W13" s="46"/>
      <c r="X13" s="28"/>
    </row>
    <row r="14" spans="1:29" s="12" customFormat="1" ht="18" customHeight="1">
      <c r="A14" s="28"/>
      <c r="B14" s="49"/>
      <c r="C14" s="53" t="s">
        <v>69</v>
      </c>
      <c r="D14" s="30" t="s">
        <v>40</v>
      </c>
      <c r="E14" s="52">
        <v>3.51</v>
      </c>
      <c r="F14" s="51">
        <v>0.03</v>
      </c>
      <c r="G14" s="51">
        <v>-0.03</v>
      </c>
      <c r="H14" s="50" t="s">
        <v>45</v>
      </c>
      <c r="I14" s="33">
        <f>IF(AND(E14="",F14=""),"",IF(E14="",F14,E14+F14))</f>
        <v>3.5399999999999996</v>
      </c>
      <c r="J14" s="33">
        <f>IF(AND(E14="",G14=""),"",IF(E14="",G14,E14+G14))</f>
        <v>3.48</v>
      </c>
      <c r="K14" s="34">
        <v>3.4950000000000001</v>
      </c>
      <c r="L14" s="34">
        <v>3.51</v>
      </c>
      <c r="M14" s="34">
        <v>3.5089999999999999</v>
      </c>
      <c r="N14" s="28"/>
      <c r="O14" s="35">
        <f t="shared" si="3"/>
        <v>-1.499999999999968E-2</v>
      </c>
      <c r="P14" s="36">
        <f t="shared" si="3"/>
        <v>0</v>
      </c>
      <c r="Q14" s="36">
        <f t="shared" si="3"/>
        <v>-9.9999999999988987E-4</v>
      </c>
      <c r="R14" s="43">
        <f>IF(ISERR(K14/K14)=TRUE," ",AVERAGE(K14:M14))</f>
        <v>3.5046666666666666</v>
      </c>
      <c r="S14" s="44">
        <f>IF(ISERR(F14/F14)=TRUE," ",IF(ISERR(K14/K14)=TRUE," ",IF(ISNUMBER($K14)=FALSE," ",IF(MAX($K14:$M14)&lt;$E14,0,(MAX($K14:$M14)-$E14)/$F14))))</f>
        <v>0</v>
      </c>
      <c r="T14" s="44">
        <f>IF(ISERR(G14/E14)=TRUE," ",IF(ISERR(G14/G14)=TRUE," ",IF(ISERR(K14/K14)=TRUE," ",IF(ISNUMBER(K14)=FALSE," ",IF(MIN(K14:M14)&gt;$E14,0,($E14-MIN(K14:M14))/-G14)))))</f>
        <v>0.49999999999998934</v>
      </c>
      <c r="U14" s="45" t="str">
        <f t="shared" si="0"/>
        <v xml:space="preserve"> </v>
      </c>
      <c r="V14" s="45" t="str">
        <f>IF(K14="","",IF(ISERR(G14/G14)=TRUE," ",IF(ISERR(G14/E14)=TRUE,IF((G14-MIN(K14:M14))&gt;0.001,"Reject",""),IF(ISNUMBER($T14)=TRUE,IF($T14&gt;0.651,IF($T14&gt;1.001,"Reject","Alert")," ")," "))))</f>
        <v xml:space="preserve"> </v>
      </c>
      <c r="W14" s="47"/>
      <c r="X14" s="28"/>
    </row>
    <row r="15" spans="1:29" s="12" customFormat="1" ht="18" customHeight="1">
      <c r="A15" s="28"/>
      <c r="B15" s="49"/>
      <c r="C15" s="53">
        <v>5</v>
      </c>
      <c r="D15" s="30" t="s">
        <v>40</v>
      </c>
      <c r="E15" s="52">
        <v>3.51</v>
      </c>
      <c r="F15" s="51">
        <v>0.03</v>
      </c>
      <c r="G15" s="51">
        <v>-0.03</v>
      </c>
      <c r="H15" s="50" t="s">
        <v>45</v>
      </c>
      <c r="I15" s="33">
        <f>IF(AND(E15="",F15=""),"",IF(E15="",F15,E15+F15))</f>
        <v>3.5399999999999996</v>
      </c>
      <c r="J15" s="33">
        <f>IF(AND(E15="",G15=""),"",IF(E15="",G15,E15+G15))</f>
        <v>3.48</v>
      </c>
      <c r="K15" s="34">
        <v>3.48</v>
      </c>
      <c r="L15" s="34">
        <v>3.484</v>
      </c>
      <c r="M15" s="34">
        <v>3.492</v>
      </c>
      <c r="N15" s="28"/>
      <c r="O15" s="35">
        <f t="shared" si="3"/>
        <v>-2.9999999999999805E-2</v>
      </c>
      <c r="P15" s="36">
        <f t="shared" si="3"/>
        <v>-2.5999999999999801E-2</v>
      </c>
      <c r="Q15" s="36">
        <f t="shared" si="3"/>
        <v>-1.7999999999999794E-2</v>
      </c>
      <c r="R15" s="43">
        <f>IF(ISERR(K15/K15)=TRUE," ",AVERAGE(K15:M15))</f>
        <v>3.4853333333333332</v>
      </c>
      <c r="S15" s="44">
        <f>IF(ISERR(F15/F15)=TRUE," ",IF(ISERR(K15/K15)=TRUE," ",IF(ISNUMBER($K15)=FALSE," ",IF(MAX($K15:$M15)&lt;$E15,0,(MAX($K15:$M15)-$E15)/$F15))))</f>
        <v>0</v>
      </c>
      <c r="T15" s="44">
        <f>IF(ISERR(G15/E15)=TRUE," ",IF(ISERR(G15/G15)=TRUE," ",IF(ISERR(K15/K15)=TRUE," ",IF(ISNUMBER(K15)=FALSE," ",IF(MIN(K15:M15)&gt;$E15,0,($E15-MIN(K15:M15))/-G15)))))</f>
        <v>0.99999999999999356</v>
      </c>
      <c r="U15" s="45" t="str">
        <f t="shared" si="0"/>
        <v xml:space="preserve"> </v>
      </c>
      <c r="V15" s="45" t="str">
        <f>IF(K15="","",IF(ISERR(G15/G15)=TRUE," ",IF(ISERR(G15/E15)=TRUE,IF((G15-MIN(K15:M15))&gt;0.001,"Reject",""),IF(ISNUMBER($T15)=TRUE,IF($T15&gt;0.651,IF($T15&gt;1.001,"Reject","Alert")," ")," "))))</f>
        <v>Alert</v>
      </c>
      <c r="W15" s="47"/>
      <c r="X15" s="28"/>
    </row>
    <row r="16" spans="1:29" s="12" customFormat="1" ht="18" customHeight="1">
      <c r="A16" s="28"/>
      <c r="B16" s="49"/>
      <c r="C16" s="53">
        <v>6</v>
      </c>
      <c r="D16" s="30" t="s">
        <v>40</v>
      </c>
      <c r="E16" s="52">
        <v>3.51</v>
      </c>
      <c r="F16" s="51">
        <v>0.03</v>
      </c>
      <c r="G16" s="51">
        <v>-0.03</v>
      </c>
      <c r="H16" s="50" t="s">
        <v>45</v>
      </c>
      <c r="I16" s="33">
        <f t="shared" si="1"/>
        <v>3.5399999999999996</v>
      </c>
      <c r="J16" s="33">
        <f t="shared" si="2"/>
        <v>3.48</v>
      </c>
      <c r="K16" s="34">
        <v>3.5049999999999999</v>
      </c>
      <c r="L16" s="34">
        <v>3.5139999999999998</v>
      </c>
      <c r="M16" s="34">
        <v>3.5179999999999998</v>
      </c>
      <c r="N16" s="28"/>
      <c r="O16" s="35">
        <f t="shared" ref="O16:O78" si="4">IF(ISERR(K16/K16)=TRUE," ",K16-$E16)</f>
        <v>-4.9999999999998934E-3</v>
      </c>
      <c r="P16" s="36">
        <f t="shared" ref="P16:P78" si="5">IF(ISERR(L16/L16)=TRUE," ",L16-$E16)</f>
        <v>4.0000000000000036E-3</v>
      </c>
      <c r="Q16" s="36">
        <f t="shared" ref="Q16:Q78" si="6">IF(ISERR(M16/M16)=TRUE," ",M16-$E16)</f>
        <v>8.0000000000000071E-3</v>
      </c>
      <c r="R16" s="43">
        <f t="shared" ref="R16:R78" si="7">IF(ISERR(K16/K16)=TRUE," ",AVERAGE(K16:M16))</f>
        <v>3.5123333333333329</v>
      </c>
      <c r="S16" s="44">
        <f t="shared" ref="S16:S78" si="8">IF(ISERR(F16/F16)=TRUE," ",IF(ISERR(K16/K16)=TRUE," ",IF(ISNUMBER($K16)=FALSE," ",IF(MAX($K16:$M16)&lt;$E16,0,(MAX($K16:$M16)-$E16)/$F16))))</f>
        <v>0.26666666666666694</v>
      </c>
      <c r="T16" s="44">
        <f t="shared" ref="T16:T78" si="9">IF(ISERR(G16/E16)=TRUE," ",IF(ISERR(G16/G16)=TRUE," ",IF(ISERR(K16/K16)=TRUE," ",IF(ISNUMBER(K16)=FALSE," ",IF(MIN(K16:M16)&gt;$E16,0,($E16-MIN(K16:M16))/-G16)))))</f>
        <v>0.16666666666666313</v>
      </c>
      <c r="U16" s="45" t="str">
        <f t="shared" si="0"/>
        <v xml:space="preserve"> </v>
      </c>
      <c r="V16" s="45" t="str">
        <f t="shared" ref="V16:V78" si="10">IF(K16="","",IF(ISERR(G16/G16)=TRUE," ",IF(ISERR(G16/E16)=TRUE,IF((G16-MIN(K16:M16))&gt;0.001,"Reject",""),IF(ISNUMBER($T16)=TRUE,IF($T16&gt;0.651,IF($T16&gt;1.001,"Reject","Alert")," ")," "))))</f>
        <v xml:space="preserve"> </v>
      </c>
      <c r="W16" s="47"/>
      <c r="X16" s="28"/>
    </row>
    <row r="17" spans="1:24" s="12" customFormat="1" ht="18" customHeight="1">
      <c r="A17" s="28"/>
      <c r="B17" s="49">
        <v>2</v>
      </c>
      <c r="C17" s="53" t="s">
        <v>70</v>
      </c>
      <c r="D17" s="30" t="s">
        <v>40</v>
      </c>
      <c r="E17" s="52">
        <v>1.65</v>
      </c>
      <c r="F17" s="51">
        <v>0.03</v>
      </c>
      <c r="G17" s="51">
        <v>-0.03</v>
      </c>
      <c r="H17" s="50" t="s">
        <v>45</v>
      </c>
      <c r="I17" s="33">
        <f t="shared" si="1"/>
        <v>1.68</v>
      </c>
      <c r="J17" s="33">
        <f t="shared" si="2"/>
        <v>1.6199999999999999</v>
      </c>
      <c r="K17" s="34">
        <v>1.5529999999999999</v>
      </c>
      <c r="L17" s="34">
        <v>1.5569999999999999</v>
      </c>
      <c r="M17" s="34">
        <v>1.56</v>
      </c>
      <c r="N17" s="28"/>
      <c r="O17" s="35">
        <f t="shared" si="4"/>
        <v>-9.6999999999999975E-2</v>
      </c>
      <c r="P17" s="36">
        <f t="shared" si="5"/>
        <v>-9.2999999999999972E-2</v>
      </c>
      <c r="Q17" s="36">
        <f t="shared" si="6"/>
        <v>-8.9999999999999858E-2</v>
      </c>
      <c r="R17" s="43">
        <f t="shared" si="7"/>
        <v>1.5566666666666666</v>
      </c>
      <c r="S17" s="44">
        <f t="shared" si="8"/>
        <v>0</v>
      </c>
      <c r="T17" s="44">
        <f t="shared" si="9"/>
        <v>3.2333333333333325</v>
      </c>
      <c r="U17" s="45" t="str">
        <f t="shared" si="0"/>
        <v xml:space="preserve"> </v>
      </c>
      <c r="V17" s="45" t="str">
        <f t="shared" si="10"/>
        <v>Reject</v>
      </c>
      <c r="W17" s="108" t="s">
        <v>92</v>
      </c>
      <c r="X17" s="28"/>
    </row>
    <row r="18" spans="1:24" s="12" customFormat="1" ht="18" customHeight="1">
      <c r="A18" s="28"/>
      <c r="B18" s="49"/>
      <c r="C18" s="53" t="s">
        <v>71</v>
      </c>
      <c r="D18" s="30" t="s">
        <v>40</v>
      </c>
      <c r="E18" s="52">
        <v>1.65</v>
      </c>
      <c r="F18" s="51">
        <v>0.03</v>
      </c>
      <c r="G18" s="51">
        <v>-0.03</v>
      </c>
      <c r="H18" s="50" t="s">
        <v>45</v>
      </c>
      <c r="I18" s="33">
        <f t="shared" si="1"/>
        <v>1.68</v>
      </c>
      <c r="J18" s="33">
        <f t="shared" si="2"/>
        <v>1.6199999999999999</v>
      </c>
      <c r="K18" s="34">
        <v>1.5640000000000001</v>
      </c>
      <c r="L18" s="34">
        <v>1.5640000000000001</v>
      </c>
      <c r="M18" s="34">
        <v>1.571</v>
      </c>
      <c r="N18" s="28"/>
      <c r="O18" s="35">
        <f t="shared" si="4"/>
        <v>-8.5999999999999854E-2</v>
      </c>
      <c r="P18" s="36">
        <f t="shared" si="5"/>
        <v>-8.5999999999999854E-2</v>
      </c>
      <c r="Q18" s="36">
        <f t="shared" si="6"/>
        <v>-7.8999999999999959E-2</v>
      </c>
      <c r="R18" s="43">
        <f t="shared" si="7"/>
        <v>1.5663333333333334</v>
      </c>
      <c r="S18" s="44">
        <f t="shared" si="8"/>
        <v>0</v>
      </c>
      <c r="T18" s="44">
        <f t="shared" si="9"/>
        <v>2.8666666666666618</v>
      </c>
      <c r="U18" s="45" t="str">
        <f t="shared" si="0"/>
        <v xml:space="preserve"> </v>
      </c>
      <c r="V18" s="45" t="str">
        <f t="shared" si="10"/>
        <v>Reject</v>
      </c>
      <c r="W18" s="108" t="s">
        <v>92</v>
      </c>
      <c r="X18" s="28"/>
    </row>
    <row r="19" spans="1:24" s="12" customFormat="1" ht="18" customHeight="1">
      <c r="A19" s="28"/>
      <c r="B19" s="49"/>
      <c r="C19" s="53" t="s">
        <v>72</v>
      </c>
      <c r="D19" s="30" t="s">
        <v>40</v>
      </c>
      <c r="E19" s="52">
        <v>1.65</v>
      </c>
      <c r="F19" s="51">
        <v>0.03</v>
      </c>
      <c r="G19" s="51">
        <v>-0.03</v>
      </c>
      <c r="H19" s="50" t="s">
        <v>45</v>
      </c>
      <c r="I19" s="33">
        <f t="shared" si="1"/>
        <v>1.68</v>
      </c>
      <c r="J19" s="33">
        <f t="shared" si="2"/>
        <v>1.6199999999999999</v>
      </c>
      <c r="K19" s="34">
        <v>1.5669999999999999</v>
      </c>
      <c r="L19" s="34">
        <v>1.571</v>
      </c>
      <c r="M19" s="34">
        <v>1.5740000000000001</v>
      </c>
      <c r="N19" s="28"/>
      <c r="O19" s="35">
        <f t="shared" si="4"/>
        <v>-8.2999999999999963E-2</v>
      </c>
      <c r="P19" s="36">
        <f t="shared" si="5"/>
        <v>-7.8999999999999959E-2</v>
      </c>
      <c r="Q19" s="36">
        <f t="shared" si="6"/>
        <v>-7.5999999999999845E-2</v>
      </c>
      <c r="R19" s="43">
        <f t="shared" si="7"/>
        <v>1.5706666666666667</v>
      </c>
      <c r="S19" s="44">
        <f t="shared" si="8"/>
        <v>0</v>
      </c>
      <c r="T19" s="44">
        <f t="shared" si="9"/>
        <v>2.7666666666666657</v>
      </c>
      <c r="U19" s="45" t="str">
        <f t="shared" si="0"/>
        <v xml:space="preserve"> </v>
      </c>
      <c r="V19" s="45" t="str">
        <f t="shared" si="10"/>
        <v>Reject</v>
      </c>
      <c r="W19" s="108" t="s">
        <v>92</v>
      </c>
      <c r="X19" s="28"/>
    </row>
    <row r="20" spans="1:24" s="12" customFormat="1" ht="18" customHeight="1">
      <c r="A20" s="28"/>
      <c r="B20" s="49"/>
      <c r="C20" s="53" t="s">
        <v>71</v>
      </c>
      <c r="D20" s="30" t="s">
        <v>40</v>
      </c>
      <c r="E20" s="52">
        <v>1.65</v>
      </c>
      <c r="F20" s="51">
        <v>0.03</v>
      </c>
      <c r="G20" s="51">
        <v>-0.03</v>
      </c>
      <c r="H20" s="50" t="s">
        <v>45</v>
      </c>
      <c r="I20" s="33">
        <f t="shared" si="1"/>
        <v>1.68</v>
      </c>
      <c r="J20" s="33">
        <f t="shared" si="2"/>
        <v>1.6199999999999999</v>
      </c>
      <c r="K20" s="34">
        <v>1.5509999999999999</v>
      </c>
      <c r="L20" s="34">
        <v>1.5640000000000001</v>
      </c>
      <c r="M20" s="34">
        <v>1.5589999999999999</v>
      </c>
      <c r="N20" s="28"/>
      <c r="O20" s="35">
        <f t="shared" si="4"/>
        <v>-9.8999999999999977E-2</v>
      </c>
      <c r="P20" s="36">
        <f t="shared" si="5"/>
        <v>-8.5999999999999854E-2</v>
      </c>
      <c r="Q20" s="36">
        <f t="shared" si="6"/>
        <v>-9.099999999999997E-2</v>
      </c>
      <c r="R20" s="43">
        <f t="shared" si="7"/>
        <v>1.5580000000000001</v>
      </c>
      <c r="S20" s="44">
        <f t="shared" si="8"/>
        <v>0</v>
      </c>
      <c r="T20" s="44">
        <f t="shared" si="9"/>
        <v>3.2999999999999994</v>
      </c>
      <c r="U20" s="45" t="str">
        <f t="shared" si="0"/>
        <v xml:space="preserve"> </v>
      </c>
      <c r="V20" s="45" t="str">
        <f t="shared" si="10"/>
        <v>Reject</v>
      </c>
      <c r="W20" s="108" t="s">
        <v>92</v>
      </c>
      <c r="X20" s="28"/>
    </row>
    <row r="21" spans="1:24" s="12" customFormat="1" ht="18" customHeight="1">
      <c r="A21" s="28"/>
      <c r="B21" s="49">
        <v>3</v>
      </c>
      <c r="C21" s="53" t="s">
        <v>73</v>
      </c>
      <c r="D21" s="30" t="s">
        <v>40</v>
      </c>
      <c r="E21" s="52">
        <v>1.1599999999999999</v>
      </c>
      <c r="F21" s="51">
        <v>0.03</v>
      </c>
      <c r="G21" s="51">
        <v>-0.03</v>
      </c>
      <c r="H21" s="50" t="s">
        <v>45</v>
      </c>
      <c r="I21" s="33">
        <f t="shared" si="1"/>
        <v>1.19</v>
      </c>
      <c r="J21" s="33">
        <f t="shared" si="2"/>
        <v>1.1299999999999999</v>
      </c>
      <c r="K21" s="34">
        <v>1.2150000000000001</v>
      </c>
      <c r="L21" s="34">
        <v>1.2110000000000001</v>
      </c>
      <c r="M21" s="34">
        <v>1.22</v>
      </c>
      <c r="N21" s="28"/>
      <c r="O21" s="35">
        <f t="shared" si="4"/>
        <v>5.500000000000016E-2</v>
      </c>
      <c r="P21" s="36">
        <f t="shared" si="5"/>
        <v>5.1000000000000156E-2</v>
      </c>
      <c r="Q21" s="36">
        <f t="shared" si="6"/>
        <v>6.0000000000000053E-2</v>
      </c>
      <c r="R21" s="43">
        <f t="shared" si="7"/>
        <v>1.2153333333333334</v>
      </c>
      <c r="S21" s="44">
        <f t="shared" si="8"/>
        <v>2.0000000000000018</v>
      </c>
      <c r="T21" s="44">
        <f t="shared" si="9"/>
        <v>0</v>
      </c>
      <c r="U21" s="45" t="str">
        <f t="shared" si="0"/>
        <v>Reject</v>
      </c>
      <c r="V21" s="45" t="str">
        <f t="shared" si="10"/>
        <v xml:space="preserve"> </v>
      </c>
      <c r="W21" s="108" t="s">
        <v>92</v>
      </c>
      <c r="X21" s="28"/>
    </row>
    <row r="22" spans="1:24" s="12" customFormat="1" ht="18" customHeight="1">
      <c r="A22" s="28"/>
      <c r="B22" s="49"/>
      <c r="C22" s="53" t="s">
        <v>74</v>
      </c>
      <c r="D22" s="30" t="s">
        <v>40</v>
      </c>
      <c r="E22" s="52">
        <v>1.1599999999999999</v>
      </c>
      <c r="F22" s="51">
        <v>0.03</v>
      </c>
      <c r="G22" s="51">
        <v>-0.03</v>
      </c>
      <c r="H22" s="50" t="s">
        <v>45</v>
      </c>
      <c r="I22" s="33">
        <f t="shared" si="1"/>
        <v>1.19</v>
      </c>
      <c r="J22" s="33">
        <f t="shared" si="2"/>
        <v>1.1299999999999999</v>
      </c>
      <c r="K22" s="34">
        <v>1.155</v>
      </c>
      <c r="L22" s="34">
        <v>1.1599999999999999</v>
      </c>
      <c r="M22" s="34">
        <v>1.1639999999999999</v>
      </c>
      <c r="N22" s="28"/>
      <c r="O22" s="35">
        <f t="shared" si="4"/>
        <v>-4.9999999999998934E-3</v>
      </c>
      <c r="P22" s="36">
        <f t="shared" si="5"/>
        <v>0</v>
      </c>
      <c r="Q22" s="36">
        <f t="shared" si="6"/>
        <v>4.0000000000000036E-3</v>
      </c>
      <c r="R22" s="43">
        <f t="shared" si="7"/>
        <v>1.1596666666666666</v>
      </c>
      <c r="S22" s="44">
        <f t="shared" si="8"/>
        <v>0.13333333333333347</v>
      </c>
      <c r="T22" s="44">
        <f t="shared" si="9"/>
        <v>0.16666666666666313</v>
      </c>
      <c r="U22" s="45" t="str">
        <f t="shared" si="0"/>
        <v xml:space="preserve"> </v>
      </c>
      <c r="V22" s="45" t="str">
        <f t="shared" si="10"/>
        <v xml:space="preserve"> </v>
      </c>
      <c r="W22" s="47"/>
      <c r="X22" s="28"/>
    </row>
    <row r="23" spans="1:24" s="12" customFormat="1" ht="18" customHeight="1">
      <c r="A23" s="28"/>
      <c r="B23" s="49">
        <v>4</v>
      </c>
      <c r="C23" s="53" t="s">
        <v>73</v>
      </c>
      <c r="D23" s="30" t="s">
        <v>40</v>
      </c>
      <c r="E23" s="52">
        <v>8.32</v>
      </c>
      <c r="F23" s="51">
        <v>0.05</v>
      </c>
      <c r="G23" s="51">
        <v>-0.05</v>
      </c>
      <c r="H23" s="50" t="s">
        <v>45</v>
      </c>
      <c r="I23" s="33">
        <f t="shared" si="1"/>
        <v>8.370000000000001</v>
      </c>
      <c r="J23" s="33">
        <f t="shared" si="2"/>
        <v>8.27</v>
      </c>
      <c r="K23" s="34">
        <v>8.3539999999999992</v>
      </c>
      <c r="L23" s="34">
        <v>8.3480000000000008</v>
      </c>
      <c r="M23" s="34">
        <v>8.3569999999999993</v>
      </c>
      <c r="N23" s="28"/>
      <c r="O23" s="35">
        <f t="shared" si="4"/>
        <v>3.399999999999892E-2</v>
      </c>
      <c r="P23" s="36">
        <f t="shared" si="5"/>
        <v>2.8000000000000469E-2</v>
      </c>
      <c r="Q23" s="36">
        <f t="shared" si="6"/>
        <v>3.6999999999999034E-2</v>
      </c>
      <c r="R23" s="43">
        <f t="shared" si="7"/>
        <v>8.3529999999999998</v>
      </c>
      <c r="S23" s="44">
        <f t="shared" si="8"/>
        <v>0.73999999999998067</v>
      </c>
      <c r="T23" s="44">
        <f t="shared" si="9"/>
        <v>0</v>
      </c>
      <c r="U23" s="45" t="str">
        <f t="shared" si="0"/>
        <v>Alert</v>
      </c>
      <c r="V23" s="45" t="str">
        <f t="shared" si="10"/>
        <v xml:space="preserve"> </v>
      </c>
      <c r="W23" s="47"/>
      <c r="X23" s="28"/>
    </row>
    <row r="24" spans="1:24" s="12" customFormat="1" ht="18" customHeight="1">
      <c r="A24" s="28"/>
      <c r="B24" s="49"/>
      <c r="C24" s="53" t="s">
        <v>74</v>
      </c>
      <c r="D24" s="30" t="s">
        <v>40</v>
      </c>
      <c r="E24" s="52">
        <v>8.32</v>
      </c>
      <c r="F24" s="51">
        <v>0.05</v>
      </c>
      <c r="G24" s="51">
        <v>-0.05</v>
      </c>
      <c r="H24" s="50" t="s">
        <v>45</v>
      </c>
      <c r="I24" s="33">
        <f t="shared" si="1"/>
        <v>8.370000000000001</v>
      </c>
      <c r="J24" s="33">
        <f t="shared" si="2"/>
        <v>8.27</v>
      </c>
      <c r="K24" s="34">
        <v>8.33</v>
      </c>
      <c r="L24" s="34">
        <v>8.3360000000000003</v>
      </c>
      <c r="M24" s="34">
        <v>8.34</v>
      </c>
      <c r="N24" s="28"/>
      <c r="O24" s="35">
        <f t="shared" si="4"/>
        <v>9.9999999999997868E-3</v>
      </c>
      <c r="P24" s="36">
        <f t="shared" si="5"/>
        <v>1.6000000000000014E-2</v>
      </c>
      <c r="Q24" s="36">
        <f t="shared" si="6"/>
        <v>1.9999999999999574E-2</v>
      </c>
      <c r="R24" s="43">
        <f t="shared" si="7"/>
        <v>8.3353333333333328</v>
      </c>
      <c r="S24" s="44">
        <f t="shared" si="8"/>
        <v>0.39999999999999147</v>
      </c>
      <c r="T24" s="44">
        <f t="shared" si="9"/>
        <v>0</v>
      </c>
      <c r="U24" s="45" t="str">
        <f t="shared" si="0"/>
        <v xml:space="preserve"> </v>
      </c>
      <c r="V24" s="45" t="str">
        <f t="shared" si="10"/>
        <v xml:space="preserve"> </v>
      </c>
      <c r="W24" s="47"/>
      <c r="X24" s="28"/>
    </row>
    <row r="25" spans="1:24" s="12" customFormat="1" ht="18" customHeight="1">
      <c r="A25" s="28"/>
      <c r="B25" s="49">
        <v>5</v>
      </c>
      <c r="C25" s="53" t="s">
        <v>73</v>
      </c>
      <c r="D25" s="30" t="s">
        <v>40</v>
      </c>
      <c r="E25" s="52">
        <v>6.01</v>
      </c>
      <c r="F25" s="51">
        <v>0.05</v>
      </c>
      <c r="G25" s="51">
        <v>-0.05</v>
      </c>
      <c r="H25" s="50" t="s">
        <v>45</v>
      </c>
      <c r="I25" s="33">
        <f t="shared" si="1"/>
        <v>6.06</v>
      </c>
      <c r="J25" s="33">
        <f t="shared" si="2"/>
        <v>5.96</v>
      </c>
      <c r="K25" s="34">
        <v>6.06</v>
      </c>
      <c r="L25" s="34">
        <v>6.06</v>
      </c>
      <c r="M25" s="34">
        <v>6.0549999999999997</v>
      </c>
      <c r="N25" s="28"/>
      <c r="O25" s="35">
        <f t="shared" si="4"/>
        <v>4.9999999999999822E-2</v>
      </c>
      <c r="P25" s="36">
        <f t="shared" si="5"/>
        <v>4.9999999999999822E-2</v>
      </c>
      <c r="Q25" s="36">
        <f t="shared" si="6"/>
        <v>4.4999999999999929E-2</v>
      </c>
      <c r="R25" s="43">
        <f t="shared" si="7"/>
        <v>6.0583333333333327</v>
      </c>
      <c r="S25" s="44">
        <f t="shared" si="8"/>
        <v>0.99999999999999645</v>
      </c>
      <c r="T25" s="44">
        <f t="shared" si="9"/>
        <v>0</v>
      </c>
      <c r="U25" s="45" t="str">
        <f t="shared" si="0"/>
        <v>Alert</v>
      </c>
      <c r="V25" s="45" t="str">
        <f t="shared" si="10"/>
        <v xml:space="preserve"> </v>
      </c>
      <c r="W25" s="47"/>
      <c r="X25" s="28"/>
    </row>
    <row r="26" spans="1:24" s="12" customFormat="1" ht="18" customHeight="1">
      <c r="A26" s="28"/>
      <c r="B26" s="49"/>
      <c r="C26" s="53" t="s">
        <v>74</v>
      </c>
      <c r="D26" s="30" t="s">
        <v>40</v>
      </c>
      <c r="E26" s="52">
        <v>6.01</v>
      </c>
      <c r="F26" s="51">
        <v>0.05</v>
      </c>
      <c r="G26" s="51">
        <v>-0.05</v>
      </c>
      <c r="H26" s="50" t="s">
        <v>45</v>
      </c>
      <c r="I26" s="33">
        <f t="shared" si="1"/>
        <v>6.06</v>
      </c>
      <c r="J26" s="33">
        <f t="shared" si="2"/>
        <v>5.96</v>
      </c>
      <c r="K26" s="34">
        <v>6.1710000000000003</v>
      </c>
      <c r="L26" s="34">
        <v>6.1609999999999996</v>
      </c>
      <c r="M26" s="34">
        <v>6.1660000000000004</v>
      </c>
      <c r="N26" s="28"/>
      <c r="O26" s="35">
        <f t="shared" si="4"/>
        <v>0.16100000000000048</v>
      </c>
      <c r="P26" s="36">
        <f t="shared" si="5"/>
        <v>0.1509999999999998</v>
      </c>
      <c r="Q26" s="36">
        <f t="shared" si="6"/>
        <v>0.15600000000000058</v>
      </c>
      <c r="R26" s="43">
        <f t="shared" si="7"/>
        <v>6.1660000000000004</v>
      </c>
      <c r="S26" s="44">
        <f t="shared" si="8"/>
        <v>3.2200000000000095</v>
      </c>
      <c r="T26" s="44">
        <f t="shared" si="9"/>
        <v>0</v>
      </c>
      <c r="U26" s="45" t="str">
        <f t="shared" si="0"/>
        <v>Reject</v>
      </c>
      <c r="V26" s="45" t="str">
        <f t="shared" si="10"/>
        <v xml:space="preserve"> </v>
      </c>
      <c r="W26" s="108" t="s">
        <v>92</v>
      </c>
      <c r="X26" s="28"/>
    </row>
    <row r="27" spans="1:24" s="12" customFormat="1" ht="18" customHeight="1">
      <c r="A27" s="28"/>
      <c r="B27" s="49">
        <v>7</v>
      </c>
      <c r="C27" s="53" t="s">
        <v>73</v>
      </c>
      <c r="D27" s="30" t="s">
        <v>40</v>
      </c>
      <c r="E27" s="52">
        <v>25.27</v>
      </c>
      <c r="F27" s="51">
        <v>0.05</v>
      </c>
      <c r="G27" s="51">
        <v>-0.05</v>
      </c>
      <c r="H27" s="50" t="s">
        <v>45</v>
      </c>
      <c r="I27" s="33">
        <f t="shared" si="1"/>
        <v>25.32</v>
      </c>
      <c r="J27" s="33">
        <f t="shared" si="2"/>
        <v>25.22</v>
      </c>
      <c r="K27" s="34">
        <v>25.204999999999998</v>
      </c>
      <c r="L27" s="34">
        <v>25.21</v>
      </c>
      <c r="M27" s="34">
        <v>25.209</v>
      </c>
      <c r="N27" s="28"/>
      <c r="O27" s="35">
        <f t="shared" si="4"/>
        <v>-6.5000000000001279E-2</v>
      </c>
      <c r="P27" s="36">
        <f t="shared" si="5"/>
        <v>-5.9999999999998721E-2</v>
      </c>
      <c r="Q27" s="36">
        <f t="shared" si="6"/>
        <v>-6.0999999999999943E-2</v>
      </c>
      <c r="R27" s="43">
        <f t="shared" si="7"/>
        <v>25.207999999999998</v>
      </c>
      <c r="S27" s="44">
        <f t="shared" si="8"/>
        <v>0</v>
      </c>
      <c r="T27" s="44">
        <f t="shared" si="9"/>
        <v>1.3000000000000256</v>
      </c>
      <c r="U27" s="45" t="str">
        <f t="shared" si="0"/>
        <v xml:space="preserve"> </v>
      </c>
      <c r="V27" s="45" t="str">
        <f t="shared" si="10"/>
        <v>Reject</v>
      </c>
      <c r="W27" s="108" t="s">
        <v>93</v>
      </c>
      <c r="X27" s="28"/>
    </row>
    <row r="28" spans="1:24" s="12" customFormat="1" ht="18" customHeight="1">
      <c r="A28" s="28"/>
      <c r="B28" s="49"/>
      <c r="C28" s="53" t="s">
        <v>74</v>
      </c>
      <c r="D28" s="30" t="s">
        <v>40</v>
      </c>
      <c r="E28" s="52">
        <v>25.27</v>
      </c>
      <c r="F28" s="51">
        <v>0.05</v>
      </c>
      <c r="G28" s="51">
        <v>-0.05</v>
      </c>
      <c r="H28" s="50" t="s">
        <v>45</v>
      </c>
      <c r="I28" s="33">
        <f>IF(AND(E28="",F28=""),"",IF(E28="",F28,E28+F28))</f>
        <v>25.32</v>
      </c>
      <c r="J28" s="33">
        <f>IF(AND(E28="",G28=""),"",IF(E28="",G28,E28+G28))</f>
        <v>25.22</v>
      </c>
      <c r="K28" s="34">
        <v>25.274000000000001</v>
      </c>
      <c r="L28" s="34">
        <v>25.28</v>
      </c>
      <c r="M28" s="34">
        <v>25.274000000000001</v>
      </c>
      <c r="N28" s="28"/>
      <c r="O28" s="35">
        <f t="shared" si="4"/>
        <v>4.0000000000013358E-3</v>
      </c>
      <c r="P28" s="36">
        <f t="shared" si="5"/>
        <v>1.0000000000001563E-2</v>
      </c>
      <c r="Q28" s="36">
        <f t="shared" si="6"/>
        <v>4.0000000000013358E-3</v>
      </c>
      <c r="R28" s="43">
        <f t="shared" si="7"/>
        <v>25.276</v>
      </c>
      <c r="S28" s="44">
        <f t="shared" si="8"/>
        <v>0.20000000000003126</v>
      </c>
      <c r="T28" s="44">
        <f t="shared" si="9"/>
        <v>0</v>
      </c>
      <c r="U28" s="45" t="str">
        <f t="shared" si="0"/>
        <v xml:space="preserve"> </v>
      </c>
      <c r="V28" s="45" t="str">
        <f t="shared" si="10"/>
        <v xml:space="preserve"> </v>
      </c>
      <c r="W28" s="47"/>
      <c r="X28" s="28"/>
    </row>
    <row r="29" spans="1:24" s="12" customFormat="1" ht="18" customHeight="1">
      <c r="A29" s="28"/>
      <c r="B29" s="49">
        <v>8</v>
      </c>
      <c r="C29" s="53" t="s">
        <v>75</v>
      </c>
      <c r="D29" s="30" t="s">
        <v>40</v>
      </c>
      <c r="E29" s="52">
        <v>45</v>
      </c>
      <c r="F29" s="51">
        <v>1</v>
      </c>
      <c r="G29" s="51">
        <v>-1</v>
      </c>
      <c r="H29" s="50" t="s">
        <v>45</v>
      </c>
      <c r="I29" s="33">
        <f>IF(AND(E29="",F29=""),"",IF(E29="",F29,E29+F29))</f>
        <v>46</v>
      </c>
      <c r="J29" s="33">
        <f>IF(AND(E29="",G29=""),"",IF(E29="",G29,E29+G29))</f>
        <v>44</v>
      </c>
      <c r="K29" s="34">
        <v>45.268000000000001</v>
      </c>
      <c r="L29" s="34">
        <v>45.396000000000001</v>
      </c>
      <c r="M29" s="34">
        <v>45.411000000000001</v>
      </c>
      <c r="N29" s="28"/>
      <c r="O29" s="35">
        <f t="shared" si="4"/>
        <v>0.26800000000000068</v>
      </c>
      <c r="P29" s="36">
        <f t="shared" si="5"/>
        <v>0.3960000000000008</v>
      </c>
      <c r="Q29" s="36">
        <f t="shared" si="6"/>
        <v>0.41100000000000136</v>
      </c>
      <c r="R29" s="43">
        <f t="shared" si="7"/>
        <v>45.358333333333327</v>
      </c>
      <c r="S29" s="44">
        <f t="shared" si="8"/>
        <v>0.41100000000000136</v>
      </c>
      <c r="T29" s="44">
        <f t="shared" si="9"/>
        <v>0</v>
      </c>
      <c r="U29" s="45" t="str">
        <f t="shared" si="0"/>
        <v xml:space="preserve"> </v>
      </c>
      <c r="V29" s="45" t="str">
        <f t="shared" si="10"/>
        <v xml:space="preserve"> </v>
      </c>
      <c r="W29" s="47"/>
      <c r="X29" s="28"/>
    </row>
    <row r="30" spans="1:24" s="12" customFormat="1" ht="18" customHeight="1">
      <c r="A30" s="28"/>
      <c r="B30" s="49"/>
      <c r="C30" s="53" t="s">
        <v>74</v>
      </c>
      <c r="D30" s="30" t="s">
        <v>40</v>
      </c>
      <c r="E30" s="52">
        <v>45</v>
      </c>
      <c r="F30" s="51">
        <v>1</v>
      </c>
      <c r="G30" s="51">
        <v>-1</v>
      </c>
      <c r="H30" s="50" t="s">
        <v>45</v>
      </c>
      <c r="I30" s="33">
        <f t="shared" si="1"/>
        <v>46</v>
      </c>
      <c r="J30" s="33">
        <f t="shared" si="2"/>
        <v>44</v>
      </c>
      <c r="K30" s="34">
        <v>45.411000000000001</v>
      </c>
      <c r="L30" s="34">
        <v>45.561999999999998</v>
      </c>
      <c r="M30" s="34">
        <v>45.195999999999998</v>
      </c>
      <c r="N30" s="28"/>
      <c r="O30" s="35">
        <f t="shared" si="4"/>
        <v>0.41100000000000136</v>
      </c>
      <c r="P30" s="36">
        <f t="shared" si="5"/>
        <v>0.56199999999999761</v>
      </c>
      <c r="Q30" s="36">
        <f t="shared" si="6"/>
        <v>0.19599999999999795</v>
      </c>
      <c r="R30" s="43">
        <f t="shared" si="7"/>
        <v>45.389666666666663</v>
      </c>
      <c r="S30" s="44">
        <f t="shared" si="8"/>
        <v>0.56199999999999761</v>
      </c>
      <c r="T30" s="44">
        <f t="shared" si="9"/>
        <v>0</v>
      </c>
      <c r="U30" s="45" t="str">
        <f t="shared" si="0"/>
        <v xml:space="preserve"> </v>
      </c>
      <c r="V30" s="45" t="str">
        <f t="shared" si="10"/>
        <v xml:space="preserve"> </v>
      </c>
      <c r="W30" s="47"/>
      <c r="X30" s="28"/>
    </row>
    <row r="31" spans="1:24" s="12" customFormat="1" ht="18" customHeight="1">
      <c r="A31" s="28"/>
      <c r="B31" s="49">
        <v>9</v>
      </c>
      <c r="C31" s="53" t="s">
        <v>70</v>
      </c>
      <c r="D31" s="30" t="s">
        <v>40</v>
      </c>
      <c r="E31" s="52">
        <v>1.36</v>
      </c>
      <c r="F31" s="51">
        <v>0.03</v>
      </c>
      <c r="G31" s="51">
        <v>-0.03</v>
      </c>
      <c r="H31" s="50" t="s">
        <v>45</v>
      </c>
      <c r="I31" s="33">
        <f t="shared" si="1"/>
        <v>1.3900000000000001</v>
      </c>
      <c r="J31" s="33">
        <f t="shared" si="2"/>
        <v>1.33</v>
      </c>
      <c r="K31" s="34">
        <v>1.42</v>
      </c>
      <c r="L31" s="34">
        <v>1.423</v>
      </c>
      <c r="M31" s="34">
        <v>1.427</v>
      </c>
      <c r="N31" s="28"/>
      <c r="O31" s="35">
        <f t="shared" si="4"/>
        <v>5.9999999999999831E-2</v>
      </c>
      <c r="P31" s="36">
        <f t="shared" si="5"/>
        <v>6.2999999999999945E-2</v>
      </c>
      <c r="Q31" s="36">
        <f t="shared" si="6"/>
        <v>6.6999999999999948E-2</v>
      </c>
      <c r="R31" s="43">
        <f t="shared" si="7"/>
        <v>1.4233333333333331</v>
      </c>
      <c r="S31" s="44">
        <f t="shared" si="8"/>
        <v>2.2333333333333316</v>
      </c>
      <c r="T31" s="44">
        <f t="shared" si="9"/>
        <v>0</v>
      </c>
      <c r="U31" s="45" t="str">
        <f t="shared" si="0"/>
        <v>Reject</v>
      </c>
      <c r="V31" s="45" t="str">
        <f t="shared" si="10"/>
        <v xml:space="preserve"> </v>
      </c>
      <c r="W31" s="108" t="s">
        <v>94</v>
      </c>
      <c r="X31" s="28"/>
    </row>
    <row r="32" spans="1:24" s="12" customFormat="1" ht="18" customHeight="1">
      <c r="A32" s="28"/>
      <c r="B32" s="49"/>
      <c r="C32" s="53" t="s">
        <v>71</v>
      </c>
      <c r="D32" s="30" t="s">
        <v>40</v>
      </c>
      <c r="E32" s="52">
        <v>1.36</v>
      </c>
      <c r="F32" s="51">
        <v>0.03</v>
      </c>
      <c r="G32" s="51">
        <v>-0.03</v>
      </c>
      <c r="H32" s="50" t="s">
        <v>45</v>
      </c>
      <c r="I32" s="33">
        <f t="shared" si="1"/>
        <v>1.3900000000000001</v>
      </c>
      <c r="J32" s="33">
        <f t="shared" si="2"/>
        <v>1.33</v>
      </c>
      <c r="K32" s="34">
        <v>1.4750000000000001</v>
      </c>
      <c r="L32" s="34">
        <v>1.466</v>
      </c>
      <c r="M32" s="34">
        <v>1.468</v>
      </c>
      <c r="N32" s="28"/>
      <c r="O32" s="35">
        <f t="shared" si="4"/>
        <v>0.11499999999999999</v>
      </c>
      <c r="P32" s="36">
        <f t="shared" si="5"/>
        <v>0.10599999999999987</v>
      </c>
      <c r="Q32" s="36">
        <f t="shared" si="6"/>
        <v>0.10799999999999987</v>
      </c>
      <c r="R32" s="43">
        <f t="shared" si="7"/>
        <v>1.4696666666666667</v>
      </c>
      <c r="S32" s="44">
        <f t="shared" si="8"/>
        <v>3.833333333333333</v>
      </c>
      <c r="T32" s="44">
        <f t="shared" si="9"/>
        <v>0</v>
      </c>
      <c r="U32" s="45" t="str">
        <f t="shared" si="0"/>
        <v>Reject</v>
      </c>
      <c r="V32" s="45" t="str">
        <f t="shared" si="10"/>
        <v xml:space="preserve"> </v>
      </c>
      <c r="W32" s="108" t="s">
        <v>94</v>
      </c>
      <c r="X32" s="28"/>
    </row>
    <row r="33" spans="1:24" s="12" customFormat="1" ht="18" customHeight="1">
      <c r="A33" s="28"/>
      <c r="B33" s="49"/>
      <c r="C33" s="53" t="s">
        <v>72</v>
      </c>
      <c r="D33" s="30" t="s">
        <v>40</v>
      </c>
      <c r="E33" s="52">
        <v>1.36</v>
      </c>
      <c r="F33" s="51">
        <v>0.03</v>
      </c>
      <c r="G33" s="51">
        <v>-0.03</v>
      </c>
      <c r="H33" s="50" t="s">
        <v>45</v>
      </c>
      <c r="I33" s="33">
        <f t="shared" si="1"/>
        <v>1.3900000000000001</v>
      </c>
      <c r="J33" s="33">
        <f t="shared" si="2"/>
        <v>1.33</v>
      </c>
      <c r="K33" s="34">
        <v>1.431</v>
      </c>
      <c r="L33" s="34">
        <v>1.44</v>
      </c>
      <c r="M33" s="34">
        <v>1.4370000000000001</v>
      </c>
      <c r="N33" s="28"/>
      <c r="O33" s="35">
        <f t="shared" si="4"/>
        <v>7.0999999999999952E-2</v>
      </c>
      <c r="P33" s="36">
        <f t="shared" si="5"/>
        <v>7.9999999999999849E-2</v>
      </c>
      <c r="Q33" s="36">
        <f t="shared" si="6"/>
        <v>7.6999999999999957E-2</v>
      </c>
      <c r="R33" s="43">
        <f t="shared" si="7"/>
        <v>1.4359999999999999</v>
      </c>
      <c r="S33" s="44">
        <f t="shared" si="8"/>
        <v>2.6666666666666616</v>
      </c>
      <c r="T33" s="44">
        <f t="shared" si="9"/>
        <v>0</v>
      </c>
      <c r="U33" s="45" t="str">
        <f t="shared" si="0"/>
        <v>Reject</v>
      </c>
      <c r="V33" s="45" t="str">
        <f t="shared" si="10"/>
        <v xml:space="preserve"> </v>
      </c>
      <c r="W33" s="108" t="s">
        <v>94</v>
      </c>
      <c r="X33" s="28"/>
    </row>
    <row r="34" spans="1:24" s="12" customFormat="1" ht="18" customHeight="1">
      <c r="A34" s="28"/>
      <c r="B34" s="49"/>
      <c r="C34" s="53" t="s">
        <v>71</v>
      </c>
      <c r="D34" s="30" t="s">
        <v>40</v>
      </c>
      <c r="E34" s="52">
        <v>1.36</v>
      </c>
      <c r="F34" s="51">
        <v>0.03</v>
      </c>
      <c r="G34" s="51">
        <v>-0.03</v>
      </c>
      <c r="H34" s="50" t="s">
        <v>45</v>
      </c>
      <c r="I34" s="33">
        <f t="shared" si="1"/>
        <v>1.3900000000000001</v>
      </c>
      <c r="J34" s="33">
        <f t="shared" si="2"/>
        <v>1.33</v>
      </c>
      <c r="K34" s="34">
        <v>1.5209999999999999</v>
      </c>
      <c r="L34" s="34">
        <v>1.514</v>
      </c>
      <c r="M34" s="34">
        <v>1.5229999999999999</v>
      </c>
      <c r="N34" s="28"/>
      <c r="O34" s="35">
        <f t="shared" si="4"/>
        <v>0.16099999999999981</v>
      </c>
      <c r="P34" s="36">
        <f t="shared" si="5"/>
        <v>0.15399999999999991</v>
      </c>
      <c r="Q34" s="36">
        <f t="shared" si="6"/>
        <v>0.16299999999999981</v>
      </c>
      <c r="R34" s="43">
        <f t="shared" si="7"/>
        <v>1.5193333333333332</v>
      </c>
      <c r="S34" s="44">
        <f t="shared" si="8"/>
        <v>5.4333333333333274</v>
      </c>
      <c r="T34" s="44">
        <f t="shared" si="9"/>
        <v>0</v>
      </c>
      <c r="U34" s="45" t="str">
        <f t="shared" si="0"/>
        <v>Reject</v>
      </c>
      <c r="V34" s="45" t="str">
        <f t="shared" si="10"/>
        <v xml:space="preserve"> </v>
      </c>
      <c r="W34" s="108" t="s">
        <v>94</v>
      </c>
      <c r="X34" s="28"/>
    </row>
    <row r="35" spans="1:24" s="12" customFormat="1" ht="18" customHeight="1">
      <c r="A35" s="28"/>
      <c r="B35" s="49">
        <v>10</v>
      </c>
      <c r="C35" s="53" t="s">
        <v>73</v>
      </c>
      <c r="D35" s="30" t="s">
        <v>40</v>
      </c>
      <c r="E35" s="52">
        <v>48.05</v>
      </c>
      <c r="F35" s="51">
        <v>0.05</v>
      </c>
      <c r="G35" s="51">
        <v>-0.05</v>
      </c>
      <c r="H35" s="50" t="s">
        <v>45</v>
      </c>
      <c r="I35" s="33">
        <f t="shared" si="1"/>
        <v>48.099999999999994</v>
      </c>
      <c r="J35" s="33">
        <f t="shared" si="2"/>
        <v>48</v>
      </c>
      <c r="K35" s="34">
        <v>48.018000000000001</v>
      </c>
      <c r="L35" s="34">
        <v>48.021000000000001</v>
      </c>
      <c r="M35" s="34">
        <v>48.024000000000001</v>
      </c>
      <c r="N35" s="28"/>
      <c r="O35" s="35">
        <f t="shared" si="4"/>
        <v>-3.1999999999996476E-2</v>
      </c>
      <c r="P35" s="36">
        <f t="shared" si="5"/>
        <v>-2.8999999999996362E-2</v>
      </c>
      <c r="Q35" s="36">
        <f t="shared" si="6"/>
        <v>-2.5999999999996248E-2</v>
      </c>
      <c r="R35" s="43">
        <f t="shared" si="7"/>
        <v>48.020999999999994</v>
      </c>
      <c r="S35" s="44">
        <f t="shared" si="8"/>
        <v>0</v>
      </c>
      <c r="T35" s="44">
        <f t="shared" si="9"/>
        <v>0.63999999999992951</v>
      </c>
      <c r="U35" s="45" t="str">
        <f t="shared" si="0"/>
        <v xml:space="preserve"> </v>
      </c>
      <c r="V35" s="45" t="str">
        <f t="shared" si="10"/>
        <v xml:space="preserve"> </v>
      </c>
      <c r="W35" s="47"/>
      <c r="X35" s="28"/>
    </row>
    <row r="36" spans="1:24" s="12" customFormat="1" ht="18" customHeight="1">
      <c r="A36" s="28"/>
      <c r="B36" s="49"/>
      <c r="C36" s="53" t="s">
        <v>74</v>
      </c>
      <c r="D36" s="30" t="s">
        <v>40</v>
      </c>
      <c r="E36" s="52">
        <v>48.05</v>
      </c>
      <c r="F36" s="51">
        <v>0.05</v>
      </c>
      <c r="G36" s="51">
        <v>-0.05</v>
      </c>
      <c r="H36" s="50" t="s">
        <v>45</v>
      </c>
      <c r="I36" s="33">
        <f t="shared" si="1"/>
        <v>48.099999999999994</v>
      </c>
      <c r="J36" s="33">
        <f t="shared" si="2"/>
        <v>48</v>
      </c>
      <c r="K36" s="34">
        <v>48.064</v>
      </c>
      <c r="L36" s="34">
        <v>48.051000000000002</v>
      </c>
      <c r="M36" s="34">
        <v>48.048999999999999</v>
      </c>
      <c r="N36" s="28"/>
      <c r="O36" s="35">
        <f t="shared" si="4"/>
        <v>1.4000000000002899E-2</v>
      </c>
      <c r="P36" s="36">
        <f t="shared" si="5"/>
        <v>1.0000000000047748E-3</v>
      </c>
      <c r="Q36" s="36">
        <f t="shared" si="6"/>
        <v>-9.9999999999766942E-4</v>
      </c>
      <c r="R36" s="43">
        <f t="shared" si="7"/>
        <v>48.05466666666667</v>
      </c>
      <c r="S36" s="44">
        <f t="shared" si="8"/>
        <v>0.28000000000005798</v>
      </c>
      <c r="T36" s="44">
        <f t="shared" si="9"/>
        <v>1.9999999999953388E-2</v>
      </c>
      <c r="U36" s="45" t="str">
        <f t="shared" si="0"/>
        <v xml:space="preserve"> </v>
      </c>
      <c r="V36" s="45" t="str">
        <f t="shared" si="10"/>
        <v xml:space="preserve"> </v>
      </c>
      <c r="W36" s="47"/>
      <c r="X36" s="28"/>
    </row>
    <row r="37" spans="1:24" s="12" customFormat="1" ht="18" customHeight="1">
      <c r="A37" s="28"/>
      <c r="B37" s="49">
        <v>11</v>
      </c>
      <c r="C37" s="53" t="s">
        <v>73</v>
      </c>
      <c r="D37" s="30" t="s">
        <v>40</v>
      </c>
      <c r="E37" s="52">
        <v>49.63</v>
      </c>
      <c r="F37" s="51">
        <v>0.05</v>
      </c>
      <c r="G37" s="51">
        <v>-0.05</v>
      </c>
      <c r="H37" s="50" t="s">
        <v>45</v>
      </c>
      <c r="I37" s="33">
        <f t="shared" si="1"/>
        <v>49.68</v>
      </c>
      <c r="J37" s="33">
        <f t="shared" si="2"/>
        <v>49.580000000000005</v>
      </c>
      <c r="K37" s="34">
        <v>49.595999999999997</v>
      </c>
      <c r="L37" s="34">
        <v>49.603999999999999</v>
      </c>
      <c r="M37" s="34">
        <v>49.610999999999997</v>
      </c>
      <c r="N37" s="28"/>
      <c r="O37" s="35">
        <f t="shared" si="4"/>
        <v>-3.4000000000006025E-2</v>
      </c>
      <c r="P37" s="36">
        <f t="shared" si="5"/>
        <v>-2.6000000000003354E-2</v>
      </c>
      <c r="Q37" s="36">
        <f t="shared" si="6"/>
        <v>-1.9000000000005457E-2</v>
      </c>
      <c r="R37" s="43">
        <f t="shared" si="7"/>
        <v>49.603666666666662</v>
      </c>
      <c r="S37" s="44">
        <f t="shared" si="8"/>
        <v>0</v>
      </c>
      <c r="T37" s="44">
        <f t="shared" si="9"/>
        <v>0.68000000000012051</v>
      </c>
      <c r="U37" s="45" t="str">
        <f t="shared" si="0"/>
        <v xml:space="preserve"> </v>
      </c>
      <c r="V37" s="45" t="str">
        <f t="shared" si="10"/>
        <v>Alert</v>
      </c>
      <c r="W37" s="47"/>
      <c r="X37" s="28"/>
    </row>
    <row r="38" spans="1:24" s="12" customFormat="1" ht="18" customHeight="1">
      <c r="A38" s="28"/>
      <c r="B38" s="49"/>
      <c r="C38" s="53" t="s">
        <v>74</v>
      </c>
      <c r="D38" s="30" t="s">
        <v>40</v>
      </c>
      <c r="E38" s="52">
        <v>49.63</v>
      </c>
      <c r="F38" s="51">
        <v>0.05</v>
      </c>
      <c r="G38" s="51">
        <v>-0.05</v>
      </c>
      <c r="H38" s="50" t="s">
        <v>45</v>
      </c>
      <c r="I38" s="33">
        <f t="shared" si="1"/>
        <v>49.68</v>
      </c>
      <c r="J38" s="33">
        <f t="shared" si="2"/>
        <v>49.580000000000005</v>
      </c>
      <c r="K38" s="34">
        <v>49.63</v>
      </c>
      <c r="L38" s="34">
        <v>49.627000000000002</v>
      </c>
      <c r="M38" s="34">
        <v>49.64</v>
      </c>
      <c r="N38" s="28"/>
      <c r="O38" s="35">
        <f t="shared" si="4"/>
        <v>0</v>
      </c>
      <c r="P38" s="36">
        <f t="shared" si="5"/>
        <v>-3.0000000000001137E-3</v>
      </c>
      <c r="Q38" s="36">
        <f t="shared" si="6"/>
        <v>9.9999999999980105E-3</v>
      </c>
      <c r="R38" s="43">
        <f t="shared" si="7"/>
        <v>49.632333333333328</v>
      </c>
      <c r="S38" s="44">
        <f t="shared" si="8"/>
        <v>0.19999999999996021</v>
      </c>
      <c r="T38" s="44">
        <f t="shared" si="9"/>
        <v>6.0000000000002274E-2</v>
      </c>
      <c r="U38" s="45" t="str">
        <f t="shared" si="0"/>
        <v xml:space="preserve"> </v>
      </c>
      <c r="V38" s="45" t="str">
        <f t="shared" si="10"/>
        <v xml:space="preserve"> </v>
      </c>
      <c r="W38" s="47"/>
      <c r="X38" s="28"/>
    </row>
    <row r="39" spans="1:24" s="12" customFormat="1" ht="18" customHeight="1">
      <c r="A39" s="28"/>
      <c r="B39" s="49">
        <v>12</v>
      </c>
      <c r="C39" s="53"/>
      <c r="D39" s="30" t="s">
        <v>40</v>
      </c>
      <c r="E39" s="52">
        <v>3.75</v>
      </c>
      <c r="F39" s="51">
        <v>0.05</v>
      </c>
      <c r="G39" s="51">
        <v>-0.05</v>
      </c>
      <c r="H39" s="50" t="s">
        <v>45</v>
      </c>
      <c r="I39" s="33">
        <f t="shared" si="1"/>
        <v>3.8</v>
      </c>
      <c r="J39" s="33">
        <f t="shared" si="2"/>
        <v>3.7</v>
      </c>
      <c r="K39" s="34">
        <v>3.766</v>
      </c>
      <c r="L39" s="34">
        <v>3.7610000000000001</v>
      </c>
      <c r="M39" s="34">
        <v>3.77</v>
      </c>
      <c r="N39" s="28"/>
      <c r="O39" s="35">
        <f t="shared" si="4"/>
        <v>1.6000000000000014E-2</v>
      </c>
      <c r="P39" s="36">
        <f t="shared" si="5"/>
        <v>1.1000000000000121E-2</v>
      </c>
      <c r="Q39" s="36">
        <f t="shared" si="6"/>
        <v>2.0000000000000018E-2</v>
      </c>
      <c r="R39" s="43">
        <f t="shared" si="7"/>
        <v>3.7656666666666667</v>
      </c>
      <c r="S39" s="44">
        <f t="shared" si="8"/>
        <v>0.40000000000000036</v>
      </c>
      <c r="T39" s="44">
        <f t="shared" si="9"/>
        <v>0</v>
      </c>
      <c r="U39" s="45" t="str">
        <f t="shared" si="0"/>
        <v xml:space="preserve"> </v>
      </c>
      <c r="V39" s="45" t="str">
        <f t="shared" si="10"/>
        <v xml:space="preserve"> </v>
      </c>
      <c r="W39" s="47"/>
      <c r="X39" s="28"/>
    </row>
    <row r="40" spans="1:24" s="12" customFormat="1" ht="18" customHeight="1">
      <c r="A40" s="28"/>
      <c r="B40" s="49">
        <v>13</v>
      </c>
      <c r="C40" s="53" t="s">
        <v>76</v>
      </c>
      <c r="D40" s="30" t="s">
        <v>40</v>
      </c>
      <c r="E40" s="52">
        <v>0.9</v>
      </c>
      <c r="F40" s="51">
        <v>0.03</v>
      </c>
      <c r="G40" s="51">
        <v>-0.03</v>
      </c>
      <c r="H40" s="50" t="s">
        <v>45</v>
      </c>
      <c r="I40" s="33">
        <f t="shared" si="1"/>
        <v>0.93</v>
      </c>
      <c r="J40" s="33">
        <f t="shared" si="2"/>
        <v>0.87</v>
      </c>
      <c r="K40" s="34">
        <v>0.92100000000000004</v>
      </c>
      <c r="L40" s="34">
        <v>0.92400000000000004</v>
      </c>
      <c r="M40" s="34">
        <v>0.92800000000000005</v>
      </c>
      <c r="N40" s="28"/>
      <c r="O40" s="35">
        <f t="shared" si="4"/>
        <v>2.1000000000000019E-2</v>
      </c>
      <c r="P40" s="36">
        <f t="shared" si="5"/>
        <v>2.4000000000000021E-2</v>
      </c>
      <c r="Q40" s="36">
        <f t="shared" si="6"/>
        <v>2.8000000000000025E-2</v>
      </c>
      <c r="R40" s="43">
        <f t="shared" si="7"/>
        <v>0.92433333333333334</v>
      </c>
      <c r="S40" s="44">
        <f t="shared" si="8"/>
        <v>0.93333333333333424</v>
      </c>
      <c r="T40" s="44">
        <f t="shared" si="9"/>
        <v>0</v>
      </c>
      <c r="U40" s="45" t="str">
        <f t="shared" si="0"/>
        <v>Alert</v>
      </c>
      <c r="V40" s="45" t="str">
        <f t="shared" si="10"/>
        <v xml:space="preserve"> </v>
      </c>
      <c r="W40" s="47"/>
      <c r="X40" s="28"/>
    </row>
    <row r="41" spans="1:24" s="12" customFormat="1" ht="18" customHeight="1">
      <c r="A41" s="28"/>
      <c r="B41" s="49">
        <v>14</v>
      </c>
      <c r="C41" s="53"/>
      <c r="D41" s="30" t="s">
        <v>40</v>
      </c>
      <c r="E41" s="52">
        <v>1.8</v>
      </c>
      <c r="F41" s="51">
        <v>0.03</v>
      </c>
      <c r="G41" s="51">
        <v>-0.03</v>
      </c>
      <c r="H41" s="50" t="s">
        <v>77</v>
      </c>
      <c r="I41" s="33">
        <f t="shared" si="1"/>
        <v>1.83</v>
      </c>
      <c r="J41" s="33">
        <f t="shared" si="2"/>
        <v>1.77</v>
      </c>
      <c r="K41" s="34">
        <v>1.841</v>
      </c>
      <c r="L41" s="34">
        <v>1.8440000000000001</v>
      </c>
      <c r="M41" s="34">
        <v>1.847</v>
      </c>
      <c r="N41" s="28"/>
      <c r="O41" s="35">
        <f t="shared" si="4"/>
        <v>4.0999999999999925E-2</v>
      </c>
      <c r="P41" s="36">
        <f t="shared" si="5"/>
        <v>4.4000000000000039E-2</v>
      </c>
      <c r="Q41" s="36">
        <f t="shared" si="6"/>
        <v>4.6999999999999931E-2</v>
      </c>
      <c r="R41" s="43">
        <f t="shared" si="7"/>
        <v>1.8440000000000001</v>
      </c>
      <c r="S41" s="44">
        <f t="shared" si="8"/>
        <v>1.5666666666666644</v>
      </c>
      <c r="T41" s="44">
        <f t="shared" si="9"/>
        <v>0</v>
      </c>
      <c r="U41" s="45" t="str">
        <f t="shared" si="0"/>
        <v>Reject</v>
      </c>
      <c r="V41" s="45" t="str">
        <f t="shared" si="10"/>
        <v xml:space="preserve"> </v>
      </c>
      <c r="W41" s="108" t="s">
        <v>95</v>
      </c>
      <c r="X41" s="28"/>
    </row>
    <row r="42" spans="1:24" s="12" customFormat="1" ht="18" customHeight="1">
      <c r="A42" s="28"/>
      <c r="B42" s="49">
        <v>15</v>
      </c>
      <c r="C42" s="53"/>
      <c r="D42" s="30" t="s">
        <v>40</v>
      </c>
      <c r="E42" s="52">
        <v>32.97</v>
      </c>
      <c r="F42" s="51">
        <v>0.06</v>
      </c>
      <c r="G42" s="51">
        <v>-0.06</v>
      </c>
      <c r="H42" s="50" t="s">
        <v>45</v>
      </c>
      <c r="I42" s="33">
        <f t="shared" si="1"/>
        <v>33.03</v>
      </c>
      <c r="J42" s="33">
        <f t="shared" si="2"/>
        <v>32.909999999999997</v>
      </c>
      <c r="K42" s="34">
        <v>33.174999999999997</v>
      </c>
      <c r="L42" s="34">
        <v>33.121000000000002</v>
      </c>
      <c r="M42" s="34">
        <v>33.204000000000001</v>
      </c>
      <c r="N42" s="28"/>
      <c r="O42" s="35">
        <f t="shared" si="4"/>
        <v>0.20499999999999829</v>
      </c>
      <c r="P42" s="36">
        <f t="shared" si="5"/>
        <v>0.15100000000000335</v>
      </c>
      <c r="Q42" s="36">
        <f t="shared" si="6"/>
        <v>0.23400000000000176</v>
      </c>
      <c r="R42" s="43">
        <f t="shared" si="7"/>
        <v>33.166666666666664</v>
      </c>
      <c r="S42" s="44">
        <f t="shared" si="8"/>
        <v>3.9000000000000297</v>
      </c>
      <c r="T42" s="44">
        <f t="shared" si="9"/>
        <v>0</v>
      </c>
      <c r="U42" s="45" t="str">
        <f t="shared" si="0"/>
        <v>Reject</v>
      </c>
      <c r="V42" s="45" t="str">
        <f t="shared" si="10"/>
        <v xml:space="preserve"> </v>
      </c>
      <c r="W42" s="108" t="s">
        <v>95</v>
      </c>
      <c r="X42" s="28"/>
    </row>
    <row r="43" spans="1:24" s="12" customFormat="1" ht="18" customHeight="1">
      <c r="A43" s="28"/>
      <c r="B43" s="64" t="s">
        <v>85</v>
      </c>
      <c r="C43" s="58"/>
      <c r="D43" s="30" t="s">
        <v>40</v>
      </c>
      <c r="E43" s="52">
        <v>1.8</v>
      </c>
      <c r="F43" s="51">
        <v>0.03</v>
      </c>
      <c r="G43" s="51">
        <v>-0.03</v>
      </c>
      <c r="H43" s="50" t="s">
        <v>77</v>
      </c>
      <c r="I43" s="33">
        <f t="shared" si="1"/>
        <v>1.83</v>
      </c>
      <c r="J43" s="33">
        <f t="shared" si="2"/>
        <v>1.77</v>
      </c>
      <c r="K43" s="34">
        <v>1.841</v>
      </c>
      <c r="L43" s="34">
        <v>1.8440000000000001</v>
      </c>
      <c r="M43" s="34">
        <v>1.847</v>
      </c>
      <c r="N43" s="28"/>
      <c r="O43" s="35">
        <f t="shared" si="4"/>
        <v>4.0999999999999925E-2</v>
      </c>
      <c r="P43" s="36">
        <f t="shared" si="5"/>
        <v>4.4000000000000039E-2</v>
      </c>
      <c r="Q43" s="36">
        <f t="shared" si="6"/>
        <v>4.6999999999999931E-2</v>
      </c>
      <c r="R43" s="43">
        <f t="shared" si="7"/>
        <v>1.8440000000000001</v>
      </c>
      <c r="S43" s="44">
        <f t="shared" si="8"/>
        <v>1.5666666666666644</v>
      </c>
      <c r="T43" s="44">
        <f t="shared" si="9"/>
        <v>0</v>
      </c>
      <c r="U43" s="45" t="str">
        <f t="shared" si="0"/>
        <v>Reject</v>
      </c>
      <c r="V43" s="45" t="str">
        <f t="shared" si="10"/>
        <v xml:space="preserve"> </v>
      </c>
      <c r="W43" s="108" t="s">
        <v>95</v>
      </c>
      <c r="X43" s="28"/>
    </row>
    <row r="44" spans="1:24" s="12" customFormat="1" ht="18" customHeight="1">
      <c r="A44" s="28"/>
      <c r="B44" s="64" t="s">
        <v>86</v>
      </c>
      <c r="C44" s="53"/>
      <c r="D44" s="30" t="s">
        <v>40</v>
      </c>
      <c r="E44" s="52">
        <v>0.5</v>
      </c>
      <c r="F44" s="51">
        <v>0.03</v>
      </c>
      <c r="G44" s="51">
        <v>-0.03</v>
      </c>
      <c r="H44" s="50" t="s">
        <v>78</v>
      </c>
      <c r="I44" s="33">
        <f t="shared" si="1"/>
        <v>0.53</v>
      </c>
      <c r="J44" s="33">
        <f t="shared" si="2"/>
        <v>0.47</v>
      </c>
      <c r="K44" s="34">
        <v>0.54</v>
      </c>
      <c r="L44" s="34">
        <v>0.54</v>
      </c>
      <c r="M44" s="34">
        <v>0.54100000000000004</v>
      </c>
      <c r="N44" s="28"/>
      <c r="O44" s="35">
        <f t="shared" si="4"/>
        <v>4.0000000000000036E-2</v>
      </c>
      <c r="P44" s="36">
        <f t="shared" si="5"/>
        <v>4.0000000000000036E-2</v>
      </c>
      <c r="Q44" s="36">
        <f t="shared" si="6"/>
        <v>4.1000000000000036E-2</v>
      </c>
      <c r="R44" s="43">
        <f t="shared" si="7"/>
        <v>0.54033333333333333</v>
      </c>
      <c r="S44" s="44">
        <f t="shared" si="8"/>
        <v>1.366666666666668</v>
      </c>
      <c r="T44" s="44">
        <f t="shared" si="9"/>
        <v>0</v>
      </c>
      <c r="U44" s="45" t="str">
        <f t="shared" si="0"/>
        <v>Reject</v>
      </c>
      <c r="V44" s="45" t="str">
        <f t="shared" si="10"/>
        <v xml:space="preserve"> </v>
      </c>
      <c r="W44" s="108" t="s">
        <v>95</v>
      </c>
      <c r="X44" s="28"/>
    </row>
    <row r="45" spans="1:24" s="12" customFormat="1" ht="18" customHeight="1">
      <c r="A45" s="28"/>
      <c r="B45" s="49">
        <v>16</v>
      </c>
      <c r="C45" s="53" t="s">
        <v>73</v>
      </c>
      <c r="D45" s="30" t="s">
        <v>40</v>
      </c>
      <c r="E45" s="51">
        <v>0.9</v>
      </c>
      <c r="F45" s="51">
        <v>0.03</v>
      </c>
      <c r="G45" s="51">
        <v>-0.03</v>
      </c>
      <c r="H45" s="50" t="s">
        <v>78</v>
      </c>
      <c r="I45" s="33">
        <f t="shared" si="1"/>
        <v>0.93</v>
      </c>
      <c r="J45" s="33">
        <f t="shared" si="2"/>
        <v>0.87</v>
      </c>
      <c r="K45" s="34">
        <v>0.93</v>
      </c>
      <c r="L45" s="34">
        <v>0.92600000000000005</v>
      </c>
      <c r="M45" s="34">
        <v>0.93</v>
      </c>
      <c r="N45" s="28"/>
      <c r="O45" s="35">
        <f t="shared" si="4"/>
        <v>3.0000000000000027E-2</v>
      </c>
      <c r="P45" s="36">
        <f t="shared" si="5"/>
        <v>2.6000000000000023E-2</v>
      </c>
      <c r="Q45" s="36">
        <f t="shared" si="6"/>
        <v>3.0000000000000027E-2</v>
      </c>
      <c r="R45" s="43">
        <f t="shared" si="7"/>
        <v>0.92866666666666664</v>
      </c>
      <c r="S45" s="44">
        <f t="shared" si="8"/>
        <v>1.0000000000000009</v>
      </c>
      <c r="T45" s="44">
        <f t="shared" si="9"/>
        <v>0</v>
      </c>
      <c r="U45" s="45" t="str">
        <f t="shared" si="0"/>
        <v>Alert</v>
      </c>
      <c r="V45" s="45" t="str">
        <f t="shared" si="10"/>
        <v xml:space="preserve"> </v>
      </c>
      <c r="W45" s="47"/>
      <c r="X45" s="28"/>
    </row>
    <row r="46" spans="1:24" s="12" customFormat="1" ht="18" customHeight="1">
      <c r="A46" s="28"/>
      <c r="B46" s="49"/>
      <c r="C46" s="53" t="s">
        <v>74</v>
      </c>
      <c r="D46" s="30" t="s">
        <v>40</v>
      </c>
      <c r="E46" s="51">
        <v>0.9</v>
      </c>
      <c r="F46" s="51">
        <v>0.03</v>
      </c>
      <c r="G46" s="51">
        <v>-0.03</v>
      </c>
      <c r="H46" s="50" t="s">
        <v>78</v>
      </c>
      <c r="I46" s="33">
        <f t="shared" si="1"/>
        <v>0.93</v>
      </c>
      <c r="J46" s="33">
        <f t="shared" si="2"/>
        <v>0.87</v>
      </c>
      <c r="K46" s="34">
        <v>0.93</v>
      </c>
      <c r="L46" s="34">
        <v>0.92800000000000005</v>
      </c>
      <c r="M46" s="34">
        <v>0.93</v>
      </c>
      <c r="N46" s="28"/>
      <c r="O46" s="35">
        <f t="shared" si="4"/>
        <v>3.0000000000000027E-2</v>
      </c>
      <c r="P46" s="36">
        <f t="shared" si="5"/>
        <v>2.8000000000000025E-2</v>
      </c>
      <c r="Q46" s="36">
        <f t="shared" si="6"/>
        <v>3.0000000000000027E-2</v>
      </c>
      <c r="R46" s="43">
        <f t="shared" si="7"/>
        <v>0.92933333333333346</v>
      </c>
      <c r="S46" s="44">
        <f t="shared" si="8"/>
        <v>1.0000000000000009</v>
      </c>
      <c r="T46" s="44">
        <f t="shared" si="9"/>
        <v>0</v>
      </c>
      <c r="U46" s="45" t="str">
        <f t="shared" si="0"/>
        <v>Alert</v>
      </c>
      <c r="V46" s="45" t="str">
        <f t="shared" si="10"/>
        <v xml:space="preserve"> </v>
      </c>
      <c r="W46" s="47"/>
      <c r="X46" s="28"/>
    </row>
    <row r="47" spans="1:24" s="12" customFormat="1" ht="18" customHeight="1">
      <c r="A47" s="28"/>
      <c r="B47" s="49">
        <v>18</v>
      </c>
      <c r="C47" s="53"/>
      <c r="D47" s="30" t="s">
        <v>40</v>
      </c>
      <c r="E47" s="52">
        <v>50</v>
      </c>
      <c r="F47" s="51">
        <v>0.05</v>
      </c>
      <c r="G47" s="51">
        <v>-0.05</v>
      </c>
      <c r="H47" s="50" t="s">
        <v>45</v>
      </c>
      <c r="I47" s="33">
        <f t="shared" si="1"/>
        <v>50.05</v>
      </c>
      <c r="J47" s="33">
        <f t="shared" si="2"/>
        <v>49.95</v>
      </c>
      <c r="K47" s="34">
        <v>50.171999999999997</v>
      </c>
      <c r="L47" s="34">
        <v>50.164000000000001</v>
      </c>
      <c r="M47" s="34">
        <v>50.155000000000001</v>
      </c>
      <c r="N47" s="28"/>
      <c r="O47" s="35">
        <f t="shared" si="4"/>
        <v>0.17199999999999704</v>
      </c>
      <c r="P47" s="36">
        <f t="shared" si="5"/>
        <v>0.16400000000000148</v>
      </c>
      <c r="Q47" s="36">
        <f t="shared" si="6"/>
        <v>0.15500000000000114</v>
      </c>
      <c r="R47" s="43">
        <f t="shared" si="7"/>
        <v>50.163666666666664</v>
      </c>
      <c r="S47" s="44">
        <f t="shared" si="8"/>
        <v>3.4399999999999409</v>
      </c>
      <c r="T47" s="44">
        <f t="shared" si="9"/>
        <v>0</v>
      </c>
      <c r="U47" s="45" t="str">
        <f t="shared" si="0"/>
        <v>Reject</v>
      </c>
      <c r="V47" s="45" t="str">
        <f t="shared" si="10"/>
        <v xml:space="preserve"> </v>
      </c>
      <c r="W47" s="109" t="s">
        <v>96</v>
      </c>
      <c r="X47" s="28"/>
    </row>
    <row r="48" spans="1:24" s="12" customFormat="1" ht="18" customHeight="1">
      <c r="A48" s="28"/>
      <c r="B48" s="49">
        <v>19</v>
      </c>
      <c r="C48" s="53"/>
      <c r="D48" s="30" t="s">
        <v>40</v>
      </c>
      <c r="E48" s="52">
        <v>42</v>
      </c>
      <c r="F48" s="51">
        <v>0.05</v>
      </c>
      <c r="G48" s="51">
        <v>-0.05</v>
      </c>
      <c r="H48" s="50" t="s">
        <v>45</v>
      </c>
      <c r="I48" s="33">
        <f t="shared" si="1"/>
        <v>42.05</v>
      </c>
      <c r="J48" s="33">
        <f t="shared" si="2"/>
        <v>41.95</v>
      </c>
      <c r="K48" s="34">
        <v>42.146999999999998</v>
      </c>
      <c r="L48" s="34">
        <v>42.152999999999999</v>
      </c>
      <c r="M48" s="34">
        <v>42.155000000000001</v>
      </c>
      <c r="N48" s="28"/>
      <c r="O48" s="35">
        <f t="shared" si="4"/>
        <v>0.14699999999999847</v>
      </c>
      <c r="P48" s="36">
        <f t="shared" si="5"/>
        <v>0.15299999999999869</v>
      </c>
      <c r="Q48" s="36">
        <f t="shared" si="6"/>
        <v>0.15500000000000114</v>
      </c>
      <c r="R48" s="43">
        <f t="shared" si="7"/>
        <v>42.151666666666664</v>
      </c>
      <c r="S48" s="44">
        <f t="shared" si="8"/>
        <v>3.1000000000000227</v>
      </c>
      <c r="T48" s="44">
        <f t="shared" si="9"/>
        <v>0</v>
      </c>
      <c r="U48" s="45" t="str">
        <f t="shared" si="0"/>
        <v>Reject</v>
      </c>
      <c r="V48" s="45" t="str">
        <f t="shared" si="10"/>
        <v xml:space="preserve"> </v>
      </c>
      <c r="W48" s="109" t="s">
        <v>96</v>
      </c>
      <c r="X48" s="28"/>
    </row>
    <row r="49" spans="1:24" s="12" customFormat="1" ht="18" customHeight="1">
      <c r="A49" s="28"/>
      <c r="B49" s="49">
        <v>20</v>
      </c>
      <c r="C49" s="53"/>
      <c r="D49" s="30" t="s">
        <v>40</v>
      </c>
      <c r="E49" s="52">
        <v>1.1000000000000001</v>
      </c>
      <c r="F49" s="51">
        <v>0.03</v>
      </c>
      <c r="G49" s="51">
        <v>-0.03</v>
      </c>
      <c r="H49" s="50" t="s">
        <v>45</v>
      </c>
      <c r="I49" s="33">
        <f t="shared" si="1"/>
        <v>1.1300000000000001</v>
      </c>
      <c r="J49" s="33">
        <f t="shared" si="2"/>
        <v>1.07</v>
      </c>
      <c r="K49" s="34">
        <v>1.1080000000000001</v>
      </c>
      <c r="L49" s="34">
        <v>1.1100000000000001</v>
      </c>
      <c r="M49" s="34">
        <v>1.109</v>
      </c>
      <c r="N49" s="28"/>
      <c r="O49" s="35">
        <f t="shared" si="4"/>
        <v>8.0000000000000071E-3</v>
      </c>
      <c r="P49" s="36">
        <f t="shared" si="5"/>
        <v>1.0000000000000009E-2</v>
      </c>
      <c r="Q49" s="36">
        <f t="shared" si="6"/>
        <v>8.999999999999897E-3</v>
      </c>
      <c r="R49" s="43">
        <f t="shared" si="7"/>
        <v>1.109</v>
      </c>
      <c r="S49" s="44">
        <f t="shared" si="8"/>
        <v>0.33333333333333365</v>
      </c>
      <c r="T49" s="44">
        <f t="shared" si="9"/>
        <v>0</v>
      </c>
      <c r="U49" s="45" t="str">
        <f t="shared" si="0"/>
        <v xml:space="preserve"> </v>
      </c>
      <c r="V49" s="45" t="str">
        <f t="shared" si="10"/>
        <v xml:space="preserve"> </v>
      </c>
      <c r="W49" s="47"/>
      <c r="X49" s="28"/>
    </row>
    <row r="50" spans="1:24" s="12" customFormat="1" ht="18" customHeight="1">
      <c r="A50" s="28"/>
      <c r="B50" s="49">
        <v>21</v>
      </c>
      <c r="C50" s="53" t="s">
        <v>87</v>
      </c>
      <c r="D50" s="30" t="s">
        <v>40</v>
      </c>
      <c r="E50" s="52">
        <v>0</v>
      </c>
      <c r="F50" s="51">
        <v>0.05</v>
      </c>
      <c r="G50" s="51">
        <v>0</v>
      </c>
      <c r="H50" s="50" t="s">
        <v>45</v>
      </c>
      <c r="I50" s="33">
        <f t="shared" si="1"/>
        <v>0.05</v>
      </c>
      <c r="J50" s="33">
        <f t="shared" si="2"/>
        <v>0</v>
      </c>
      <c r="K50" s="34">
        <v>0.32600000000000001</v>
      </c>
      <c r="L50" s="34">
        <v>0.33600000000000002</v>
      </c>
      <c r="M50" s="34">
        <v>0.33600000000000002</v>
      </c>
      <c r="N50" s="28"/>
      <c r="O50" s="35">
        <f t="shared" si="4"/>
        <v>0.32600000000000001</v>
      </c>
      <c r="P50" s="36">
        <f t="shared" si="5"/>
        <v>0.33600000000000002</v>
      </c>
      <c r="Q50" s="36">
        <f t="shared" si="6"/>
        <v>0.33600000000000002</v>
      </c>
      <c r="R50" s="43">
        <f t="shared" si="7"/>
        <v>0.33266666666666667</v>
      </c>
      <c r="S50" s="44">
        <f t="shared" si="8"/>
        <v>6.72</v>
      </c>
      <c r="T50" s="44" t="str">
        <f t="shared" si="9"/>
        <v xml:space="preserve"> </v>
      </c>
      <c r="U50" s="45" t="str">
        <f t="shared" si="0"/>
        <v>Reject</v>
      </c>
      <c r="V50" s="45" t="str">
        <f t="shared" si="10"/>
        <v xml:space="preserve"> </v>
      </c>
      <c r="W50" s="108" t="s">
        <v>97</v>
      </c>
      <c r="X50" s="28"/>
    </row>
    <row r="51" spans="1:24" s="12" customFormat="1" ht="18" customHeight="1">
      <c r="A51" s="28"/>
      <c r="B51" s="49"/>
      <c r="C51" s="53" t="s">
        <v>74</v>
      </c>
      <c r="D51" s="30" t="s">
        <v>40</v>
      </c>
      <c r="E51" s="52">
        <v>0</v>
      </c>
      <c r="F51" s="51">
        <v>0.05</v>
      </c>
      <c r="G51" s="51">
        <v>0</v>
      </c>
      <c r="H51" s="50" t="s">
        <v>45</v>
      </c>
      <c r="I51" s="33">
        <f t="shared" si="1"/>
        <v>0.05</v>
      </c>
      <c r="J51" s="33">
        <f t="shared" si="2"/>
        <v>0</v>
      </c>
      <c r="K51" s="34">
        <v>0.16200000000000001</v>
      </c>
      <c r="L51" s="34">
        <v>0.14399999999999999</v>
      </c>
      <c r="M51" s="34">
        <v>0.151</v>
      </c>
      <c r="N51" s="28"/>
      <c r="O51" s="35">
        <f t="shared" si="4"/>
        <v>0.16200000000000001</v>
      </c>
      <c r="P51" s="36">
        <f t="shared" si="5"/>
        <v>0.14399999999999999</v>
      </c>
      <c r="Q51" s="36">
        <f t="shared" si="6"/>
        <v>0.151</v>
      </c>
      <c r="R51" s="43">
        <f t="shared" si="7"/>
        <v>0.15233333333333332</v>
      </c>
      <c r="S51" s="44">
        <f t="shared" si="8"/>
        <v>3.2399999999999998</v>
      </c>
      <c r="T51" s="44" t="str">
        <f t="shared" si="9"/>
        <v xml:space="preserve"> </v>
      </c>
      <c r="U51" s="45" t="str">
        <f t="shared" si="0"/>
        <v>Reject</v>
      </c>
      <c r="V51" s="45" t="str">
        <f t="shared" si="10"/>
        <v xml:space="preserve"> </v>
      </c>
      <c r="W51" s="108" t="s">
        <v>97</v>
      </c>
      <c r="X51" s="28"/>
    </row>
    <row r="52" spans="1:24" s="12" customFormat="1" ht="18" customHeight="1">
      <c r="A52" s="28"/>
      <c r="B52" s="49"/>
      <c r="C52" s="53" t="s">
        <v>79</v>
      </c>
      <c r="D52" s="30" t="s">
        <v>40</v>
      </c>
      <c r="E52" s="52">
        <v>2.6</v>
      </c>
      <c r="F52" s="51">
        <v>0.1</v>
      </c>
      <c r="G52" s="51">
        <v>-0.1</v>
      </c>
      <c r="H52" s="50" t="s">
        <v>45</v>
      </c>
      <c r="I52" s="33">
        <f t="shared" si="1"/>
        <v>2.7</v>
      </c>
      <c r="J52" s="33">
        <f t="shared" si="2"/>
        <v>2.5</v>
      </c>
      <c r="K52" s="34">
        <v>2.577</v>
      </c>
      <c r="L52" s="34">
        <v>2.58</v>
      </c>
      <c r="M52" s="34">
        <v>2.5739999999999998</v>
      </c>
      <c r="N52" s="28"/>
      <c r="O52" s="35">
        <f t="shared" si="4"/>
        <v>-2.3000000000000131E-2</v>
      </c>
      <c r="P52" s="36">
        <f t="shared" si="5"/>
        <v>-2.0000000000000018E-2</v>
      </c>
      <c r="Q52" s="36">
        <f t="shared" si="6"/>
        <v>-2.6000000000000245E-2</v>
      </c>
      <c r="R52" s="43">
        <f t="shared" si="7"/>
        <v>2.577</v>
      </c>
      <c r="S52" s="44">
        <f t="shared" si="8"/>
        <v>0</v>
      </c>
      <c r="T52" s="44">
        <f t="shared" si="9"/>
        <v>0.26000000000000245</v>
      </c>
      <c r="U52" s="45" t="str">
        <f t="shared" si="0"/>
        <v xml:space="preserve"> </v>
      </c>
      <c r="V52" s="45" t="str">
        <f t="shared" si="10"/>
        <v xml:space="preserve"> </v>
      </c>
      <c r="W52" s="47"/>
      <c r="X52" s="28"/>
    </row>
    <row r="53" spans="1:24" s="12" customFormat="1" ht="18" customHeight="1">
      <c r="A53" s="28"/>
      <c r="B53" s="49"/>
      <c r="C53" s="53" t="s">
        <v>74</v>
      </c>
      <c r="D53" s="30" t="s">
        <v>40</v>
      </c>
      <c r="E53" s="52">
        <v>2.6</v>
      </c>
      <c r="F53" s="51">
        <v>0.1</v>
      </c>
      <c r="G53" s="51">
        <v>-0.1</v>
      </c>
      <c r="H53" s="50" t="s">
        <v>45</v>
      </c>
      <c r="I53" s="33">
        <f t="shared" si="1"/>
        <v>2.7</v>
      </c>
      <c r="J53" s="33">
        <f t="shared" si="2"/>
        <v>2.5</v>
      </c>
      <c r="K53" s="34">
        <v>2.5880000000000001</v>
      </c>
      <c r="L53" s="34">
        <v>2.5880000000000001</v>
      </c>
      <c r="M53" s="34">
        <v>2.5939999999999999</v>
      </c>
      <c r="N53" s="28"/>
      <c r="O53" s="35">
        <f t="shared" si="4"/>
        <v>-1.2000000000000011E-2</v>
      </c>
      <c r="P53" s="36">
        <f t="shared" si="5"/>
        <v>-1.2000000000000011E-2</v>
      </c>
      <c r="Q53" s="36">
        <f t="shared" si="6"/>
        <v>-6.0000000000002274E-3</v>
      </c>
      <c r="R53" s="43">
        <f t="shared" si="7"/>
        <v>2.59</v>
      </c>
      <c r="S53" s="44">
        <f t="shared" si="8"/>
        <v>0</v>
      </c>
      <c r="T53" s="44">
        <f t="shared" si="9"/>
        <v>0.12000000000000011</v>
      </c>
      <c r="U53" s="45" t="str">
        <f t="shared" si="0"/>
        <v xml:space="preserve"> </v>
      </c>
      <c r="V53" s="45" t="str">
        <f t="shared" si="10"/>
        <v xml:space="preserve"> </v>
      </c>
      <c r="W53" s="47"/>
      <c r="X53" s="28"/>
    </row>
    <row r="54" spans="1:24" s="12" customFormat="1" ht="18" customHeight="1">
      <c r="A54" s="28"/>
      <c r="B54" s="49">
        <v>22</v>
      </c>
      <c r="C54" s="56"/>
      <c r="D54" s="30" t="s">
        <v>40</v>
      </c>
      <c r="E54" s="52">
        <v>25</v>
      </c>
      <c r="F54" s="51">
        <v>0.05</v>
      </c>
      <c r="G54" s="51">
        <v>-0.05</v>
      </c>
      <c r="H54" s="50" t="s">
        <v>45</v>
      </c>
      <c r="I54" s="33">
        <f t="shared" si="1"/>
        <v>25.05</v>
      </c>
      <c r="J54" s="33">
        <f t="shared" si="2"/>
        <v>24.95</v>
      </c>
      <c r="K54" s="34">
        <v>25.084</v>
      </c>
      <c r="L54" s="34">
        <v>25.091000000000001</v>
      </c>
      <c r="M54" s="34">
        <v>25.077000000000002</v>
      </c>
      <c r="N54" s="28"/>
      <c r="O54" s="35">
        <f t="shared" si="4"/>
        <v>8.3999999999999631E-2</v>
      </c>
      <c r="P54" s="36">
        <f t="shared" si="5"/>
        <v>9.100000000000108E-2</v>
      </c>
      <c r="Q54" s="36">
        <f t="shared" si="6"/>
        <v>7.7000000000001734E-2</v>
      </c>
      <c r="R54" s="43">
        <f t="shared" si="7"/>
        <v>25.084</v>
      </c>
      <c r="S54" s="44">
        <f t="shared" si="8"/>
        <v>1.8200000000000216</v>
      </c>
      <c r="T54" s="44">
        <f t="shared" si="9"/>
        <v>0</v>
      </c>
      <c r="U54" s="45" t="str">
        <f t="shared" si="0"/>
        <v>Reject</v>
      </c>
      <c r="V54" s="45" t="str">
        <f t="shared" si="10"/>
        <v xml:space="preserve"> </v>
      </c>
      <c r="W54" s="109" t="s">
        <v>96</v>
      </c>
      <c r="X54" s="28"/>
    </row>
    <row r="55" spans="1:24" s="12" customFormat="1" ht="18" customHeight="1">
      <c r="A55" s="28"/>
      <c r="B55" s="49">
        <v>23</v>
      </c>
      <c r="C55" s="56"/>
      <c r="D55" s="30" t="s">
        <v>40</v>
      </c>
      <c r="E55" s="52">
        <v>8</v>
      </c>
      <c r="F55" s="51">
        <v>0.05</v>
      </c>
      <c r="G55" s="51">
        <v>-0.05</v>
      </c>
      <c r="H55" s="50" t="s">
        <v>45</v>
      </c>
      <c r="I55" s="33">
        <f t="shared" si="1"/>
        <v>8.0500000000000007</v>
      </c>
      <c r="J55" s="33">
        <f t="shared" si="2"/>
        <v>7.95</v>
      </c>
      <c r="K55" s="34">
        <v>8.0250000000000004</v>
      </c>
      <c r="L55" s="34">
        <v>8.0310000000000006</v>
      </c>
      <c r="M55" s="34">
        <v>8.0329999999999995</v>
      </c>
      <c r="N55" s="28"/>
      <c r="O55" s="35">
        <f t="shared" si="4"/>
        <v>2.5000000000000355E-2</v>
      </c>
      <c r="P55" s="36">
        <f t="shared" si="5"/>
        <v>3.1000000000000583E-2</v>
      </c>
      <c r="Q55" s="36">
        <f t="shared" si="6"/>
        <v>3.2999999999999474E-2</v>
      </c>
      <c r="R55" s="43">
        <f t="shared" si="7"/>
        <v>8.0296666666666656</v>
      </c>
      <c r="S55" s="44">
        <f t="shared" si="8"/>
        <v>0.65999999999998948</v>
      </c>
      <c r="T55" s="44">
        <f t="shared" si="9"/>
        <v>0</v>
      </c>
      <c r="U55" s="45" t="str">
        <f t="shared" si="0"/>
        <v>Alert</v>
      </c>
      <c r="V55" s="45" t="str">
        <f t="shared" si="10"/>
        <v xml:space="preserve"> </v>
      </c>
      <c r="W55" s="47"/>
      <c r="X55" s="28"/>
    </row>
    <row r="56" spans="1:24" s="12" customFormat="1" ht="18" customHeight="1">
      <c r="A56" s="28"/>
      <c r="B56" s="49">
        <v>24</v>
      </c>
      <c r="C56" s="56"/>
      <c r="D56" s="30" t="s">
        <v>40</v>
      </c>
      <c r="E56" s="52">
        <v>1.55</v>
      </c>
      <c r="F56" s="51">
        <v>0.03</v>
      </c>
      <c r="G56" s="51">
        <v>-0.03</v>
      </c>
      <c r="H56" s="50" t="s">
        <v>45</v>
      </c>
      <c r="I56" s="33">
        <f t="shared" si="1"/>
        <v>1.58</v>
      </c>
      <c r="J56" s="33">
        <f t="shared" si="2"/>
        <v>1.52</v>
      </c>
      <c r="K56" s="34">
        <v>1.56</v>
      </c>
      <c r="L56" s="34">
        <v>1.57</v>
      </c>
      <c r="M56" s="34">
        <v>1.5640000000000001</v>
      </c>
      <c r="N56" s="28"/>
      <c r="O56" s="35">
        <f t="shared" si="4"/>
        <v>1.0000000000000009E-2</v>
      </c>
      <c r="P56" s="36">
        <f t="shared" si="5"/>
        <v>2.0000000000000018E-2</v>
      </c>
      <c r="Q56" s="36">
        <f t="shared" si="6"/>
        <v>1.4000000000000012E-2</v>
      </c>
      <c r="R56" s="43">
        <f t="shared" si="7"/>
        <v>1.5646666666666667</v>
      </c>
      <c r="S56" s="44">
        <f t="shared" si="8"/>
        <v>0.6666666666666673</v>
      </c>
      <c r="T56" s="44">
        <f t="shared" si="9"/>
        <v>0</v>
      </c>
      <c r="U56" s="45" t="str">
        <f t="shared" si="0"/>
        <v>Alert</v>
      </c>
      <c r="V56" s="45" t="str">
        <f t="shared" si="10"/>
        <v xml:space="preserve"> </v>
      </c>
      <c r="W56" s="47"/>
      <c r="X56" s="28"/>
    </row>
    <row r="57" spans="1:24" s="12" customFormat="1" ht="18" customHeight="1">
      <c r="A57" s="28"/>
      <c r="B57" s="49">
        <v>25</v>
      </c>
      <c r="C57" s="60" t="s">
        <v>80</v>
      </c>
      <c r="D57" s="30" t="s">
        <v>40</v>
      </c>
      <c r="E57" s="52">
        <v>2.6</v>
      </c>
      <c r="F57" s="51">
        <v>0.03</v>
      </c>
      <c r="G57" s="51">
        <v>-0.03</v>
      </c>
      <c r="H57" s="50" t="s">
        <v>45</v>
      </c>
      <c r="I57" s="33">
        <f t="shared" si="1"/>
        <v>2.63</v>
      </c>
      <c r="J57" s="33">
        <f t="shared" si="2"/>
        <v>2.5700000000000003</v>
      </c>
      <c r="K57" s="34">
        <v>2.4910000000000001</v>
      </c>
      <c r="L57" s="34">
        <v>2.5030000000000001</v>
      </c>
      <c r="M57" s="34">
        <v>2.4990000000000001</v>
      </c>
      <c r="N57" s="28"/>
      <c r="O57" s="35">
        <f t="shared" si="4"/>
        <v>-0.10899999999999999</v>
      </c>
      <c r="P57" s="36">
        <f t="shared" si="5"/>
        <v>-9.6999999999999975E-2</v>
      </c>
      <c r="Q57" s="36">
        <f t="shared" si="6"/>
        <v>-0.10099999999999998</v>
      </c>
      <c r="R57" s="43">
        <f t="shared" si="7"/>
        <v>2.4976666666666669</v>
      </c>
      <c r="S57" s="44">
        <f t="shared" si="8"/>
        <v>0</v>
      </c>
      <c r="T57" s="44">
        <f t="shared" si="9"/>
        <v>3.6333333333333329</v>
      </c>
      <c r="U57" s="45" t="str">
        <f t="shared" si="0"/>
        <v xml:space="preserve"> </v>
      </c>
      <c r="V57" s="45" t="str">
        <f t="shared" si="10"/>
        <v>Reject</v>
      </c>
      <c r="W57" s="108" t="s">
        <v>98</v>
      </c>
      <c r="X57" s="28"/>
    </row>
    <row r="58" spans="1:24" s="12" customFormat="1" ht="18" customHeight="1">
      <c r="A58" s="28"/>
      <c r="B58" s="49">
        <v>26</v>
      </c>
      <c r="C58" s="59"/>
      <c r="D58" s="30" t="s">
        <v>40</v>
      </c>
      <c r="E58" s="52">
        <v>3.25</v>
      </c>
      <c r="F58" s="51">
        <v>0.05</v>
      </c>
      <c r="G58" s="51">
        <v>-0.05</v>
      </c>
      <c r="H58" s="50" t="s">
        <v>45</v>
      </c>
      <c r="I58" s="33">
        <f t="shared" si="1"/>
        <v>3.3</v>
      </c>
      <c r="J58" s="33">
        <f t="shared" si="2"/>
        <v>3.2</v>
      </c>
      <c r="K58" s="34">
        <v>3.2429999999999999</v>
      </c>
      <c r="L58" s="34">
        <v>3.2509999999999999</v>
      </c>
      <c r="M58" s="34">
        <v>3.2490000000000001</v>
      </c>
      <c r="N58" s="28"/>
      <c r="O58" s="35">
        <f t="shared" si="4"/>
        <v>-7.0000000000001172E-3</v>
      </c>
      <c r="P58" s="36">
        <f t="shared" si="5"/>
        <v>9.9999999999988987E-4</v>
      </c>
      <c r="Q58" s="36">
        <f t="shared" si="6"/>
        <v>-9.9999999999988987E-4</v>
      </c>
      <c r="R58" s="43">
        <f t="shared" si="7"/>
        <v>3.2476666666666669</v>
      </c>
      <c r="S58" s="44">
        <f t="shared" si="8"/>
        <v>1.9999999999997797E-2</v>
      </c>
      <c r="T58" s="44">
        <f t="shared" si="9"/>
        <v>0.14000000000000234</v>
      </c>
      <c r="U58" s="45" t="str">
        <f t="shared" si="0"/>
        <v xml:space="preserve"> </v>
      </c>
      <c r="V58" s="45" t="str">
        <f t="shared" si="10"/>
        <v xml:space="preserve"> </v>
      </c>
      <c r="W58" s="47"/>
      <c r="X58" s="28"/>
    </row>
    <row r="59" spans="1:24" s="12" customFormat="1" ht="18" customHeight="1">
      <c r="A59" s="28"/>
      <c r="B59" s="49">
        <v>27</v>
      </c>
      <c r="C59" s="59"/>
      <c r="D59" s="30" t="s">
        <v>40</v>
      </c>
      <c r="E59" s="52">
        <v>6.5</v>
      </c>
      <c r="F59" s="51">
        <v>0.05</v>
      </c>
      <c r="G59" s="51">
        <v>-0.05</v>
      </c>
      <c r="H59" s="50" t="s">
        <v>45</v>
      </c>
      <c r="I59" s="33">
        <f t="shared" si="1"/>
        <v>6.55</v>
      </c>
      <c r="J59" s="33">
        <f t="shared" si="2"/>
        <v>6.45</v>
      </c>
      <c r="K59" s="34">
        <v>6.5069999999999997</v>
      </c>
      <c r="L59" s="34">
        <v>6.51</v>
      </c>
      <c r="M59" s="34">
        <v>6.5039999999999996</v>
      </c>
      <c r="N59" s="28"/>
      <c r="O59" s="35">
        <f t="shared" si="4"/>
        <v>6.9999999999996732E-3</v>
      </c>
      <c r="P59" s="36">
        <f t="shared" si="5"/>
        <v>9.9999999999997868E-3</v>
      </c>
      <c r="Q59" s="36">
        <f t="shared" si="6"/>
        <v>3.9999999999995595E-3</v>
      </c>
      <c r="R59" s="43">
        <f t="shared" si="7"/>
        <v>6.5070000000000006</v>
      </c>
      <c r="S59" s="44">
        <f t="shared" si="8"/>
        <v>0.19999999999999574</v>
      </c>
      <c r="T59" s="44">
        <f t="shared" si="9"/>
        <v>0</v>
      </c>
      <c r="U59" s="45" t="str">
        <f t="shared" si="0"/>
        <v xml:space="preserve"> </v>
      </c>
      <c r="V59" s="45" t="str">
        <f t="shared" si="10"/>
        <v xml:space="preserve"> </v>
      </c>
      <c r="W59" s="47"/>
      <c r="X59" s="28"/>
    </row>
    <row r="60" spans="1:24" s="12" customFormat="1" ht="18" customHeight="1">
      <c r="A60" s="28"/>
      <c r="B60" s="49">
        <v>28</v>
      </c>
      <c r="C60" s="59"/>
      <c r="D60" s="30" t="s">
        <v>40</v>
      </c>
      <c r="E60" s="52">
        <v>108.25</v>
      </c>
      <c r="F60" s="51">
        <v>0.13</v>
      </c>
      <c r="G60" s="51">
        <v>-0.13</v>
      </c>
      <c r="H60" s="50" t="s">
        <v>45</v>
      </c>
      <c r="I60" s="33">
        <f t="shared" si="1"/>
        <v>108.38</v>
      </c>
      <c r="J60" s="33">
        <f t="shared" si="2"/>
        <v>108.12</v>
      </c>
      <c r="K60" s="34">
        <v>108.51</v>
      </c>
      <c r="L60" s="34">
        <v>108.46299999999999</v>
      </c>
      <c r="M60" s="34">
        <v>108.539</v>
      </c>
      <c r="N60" s="28"/>
      <c r="O60" s="35">
        <f t="shared" si="4"/>
        <v>0.26000000000000512</v>
      </c>
      <c r="P60" s="36">
        <f t="shared" si="5"/>
        <v>0.21299999999999386</v>
      </c>
      <c r="Q60" s="36">
        <f t="shared" si="6"/>
        <v>0.28900000000000148</v>
      </c>
      <c r="R60" s="43">
        <f t="shared" si="7"/>
        <v>108.504</v>
      </c>
      <c r="S60" s="44">
        <f t="shared" si="8"/>
        <v>2.2230769230769343</v>
      </c>
      <c r="T60" s="44">
        <f t="shared" si="9"/>
        <v>0</v>
      </c>
      <c r="U60" s="45" t="str">
        <f t="shared" si="0"/>
        <v>Reject</v>
      </c>
      <c r="V60" s="45" t="str">
        <f t="shared" si="10"/>
        <v xml:space="preserve"> </v>
      </c>
      <c r="W60" s="108" t="s">
        <v>93</v>
      </c>
      <c r="X60" s="28"/>
    </row>
    <row r="61" spans="1:24" s="12" customFormat="1" ht="18" customHeight="1">
      <c r="A61" s="28"/>
      <c r="B61" s="49">
        <v>29</v>
      </c>
      <c r="C61" s="61" t="s">
        <v>80</v>
      </c>
      <c r="D61" s="30" t="s">
        <v>40</v>
      </c>
      <c r="E61" s="52">
        <v>1.1000000000000001</v>
      </c>
      <c r="F61" s="51">
        <v>0.03</v>
      </c>
      <c r="G61" s="51">
        <v>-0.03</v>
      </c>
      <c r="H61" s="50" t="s">
        <v>45</v>
      </c>
      <c r="I61" s="33">
        <f t="shared" si="1"/>
        <v>1.1300000000000001</v>
      </c>
      <c r="J61" s="33">
        <f t="shared" si="2"/>
        <v>1.07</v>
      </c>
      <c r="K61" s="34">
        <v>1.093</v>
      </c>
      <c r="L61" s="34">
        <v>1.1020000000000001</v>
      </c>
      <c r="M61" s="34">
        <v>1.1040000000000001</v>
      </c>
      <c r="N61" s="28"/>
      <c r="O61" s="35">
        <f t="shared" si="4"/>
        <v>-7.0000000000001172E-3</v>
      </c>
      <c r="P61" s="36">
        <f t="shared" si="5"/>
        <v>2.0000000000000018E-3</v>
      </c>
      <c r="Q61" s="36">
        <f t="shared" si="6"/>
        <v>4.0000000000000036E-3</v>
      </c>
      <c r="R61" s="43">
        <f t="shared" si="7"/>
        <v>1.0996666666666668</v>
      </c>
      <c r="S61" s="44">
        <f t="shared" si="8"/>
        <v>0.13333333333333347</v>
      </c>
      <c r="T61" s="44">
        <f t="shared" si="9"/>
        <v>0.23333333333333725</v>
      </c>
      <c r="U61" s="45" t="str">
        <f t="shared" si="0"/>
        <v xml:space="preserve"> </v>
      </c>
      <c r="V61" s="45" t="str">
        <f t="shared" si="10"/>
        <v xml:space="preserve"> </v>
      </c>
      <c r="W61" s="47"/>
      <c r="X61" s="28"/>
    </row>
    <row r="62" spans="1:24" s="12" customFormat="1" ht="18" customHeight="1">
      <c r="A62" s="28"/>
      <c r="B62" s="49">
        <v>30</v>
      </c>
      <c r="C62" s="56"/>
      <c r="D62" s="30" t="s">
        <v>40</v>
      </c>
      <c r="E62" s="52">
        <v>5.28</v>
      </c>
      <c r="F62" s="51">
        <v>0.05</v>
      </c>
      <c r="G62" s="51">
        <v>-0.05</v>
      </c>
      <c r="H62" s="50" t="s">
        <v>45</v>
      </c>
      <c r="I62" s="33">
        <f t="shared" si="1"/>
        <v>5.33</v>
      </c>
      <c r="J62" s="33">
        <f t="shared" si="2"/>
        <v>5.23</v>
      </c>
      <c r="K62" s="34">
        <v>5.391</v>
      </c>
      <c r="L62" s="34">
        <v>5.3739999999999997</v>
      </c>
      <c r="M62" s="34">
        <v>5.3860000000000001</v>
      </c>
      <c r="N62" s="28"/>
      <c r="O62" s="35">
        <f t="shared" si="4"/>
        <v>0.11099999999999977</v>
      </c>
      <c r="P62" s="36">
        <f t="shared" si="5"/>
        <v>9.3999999999999417E-2</v>
      </c>
      <c r="Q62" s="36">
        <f t="shared" si="6"/>
        <v>0.10599999999999987</v>
      </c>
      <c r="R62" s="43">
        <f t="shared" si="7"/>
        <v>5.3836666666666666</v>
      </c>
      <c r="S62" s="44">
        <f t="shared" si="8"/>
        <v>2.2199999999999953</v>
      </c>
      <c r="T62" s="44">
        <f t="shared" si="9"/>
        <v>0</v>
      </c>
      <c r="U62" s="45" t="str">
        <f t="shared" si="0"/>
        <v>Reject</v>
      </c>
      <c r="V62" s="45" t="str">
        <f t="shared" si="10"/>
        <v xml:space="preserve"> </v>
      </c>
      <c r="W62" s="109" t="s">
        <v>96</v>
      </c>
      <c r="X62" s="28"/>
    </row>
    <row r="63" spans="1:24" s="12" customFormat="1" ht="18" customHeight="1">
      <c r="A63" s="28"/>
      <c r="B63" s="49">
        <v>31</v>
      </c>
      <c r="C63" s="56"/>
      <c r="D63" s="30" t="s">
        <v>40</v>
      </c>
      <c r="E63" s="52">
        <v>50.75</v>
      </c>
      <c r="F63" s="51">
        <v>0.1</v>
      </c>
      <c r="G63" s="51">
        <v>-0.1</v>
      </c>
      <c r="H63" s="50" t="s">
        <v>45</v>
      </c>
      <c r="I63" s="33">
        <f t="shared" si="1"/>
        <v>50.85</v>
      </c>
      <c r="J63" s="33">
        <f t="shared" si="2"/>
        <v>50.65</v>
      </c>
      <c r="K63" s="34">
        <v>50.811</v>
      </c>
      <c r="L63" s="34">
        <v>50.804000000000002</v>
      </c>
      <c r="M63" s="34">
        <v>50.817</v>
      </c>
      <c r="N63" s="28"/>
      <c r="O63" s="35">
        <f t="shared" si="4"/>
        <v>6.0999999999999943E-2</v>
      </c>
      <c r="P63" s="36">
        <f t="shared" si="5"/>
        <v>5.4000000000002046E-2</v>
      </c>
      <c r="Q63" s="36">
        <f t="shared" si="6"/>
        <v>6.7000000000000171E-2</v>
      </c>
      <c r="R63" s="43">
        <f t="shared" si="7"/>
        <v>50.81066666666667</v>
      </c>
      <c r="S63" s="44">
        <f t="shared" si="8"/>
        <v>0.67000000000000171</v>
      </c>
      <c r="T63" s="44">
        <f t="shared" si="9"/>
        <v>0</v>
      </c>
      <c r="U63" s="45" t="str">
        <f t="shared" si="0"/>
        <v>Alert</v>
      </c>
      <c r="V63" s="45" t="str">
        <f t="shared" si="10"/>
        <v xml:space="preserve"> </v>
      </c>
      <c r="W63" s="47"/>
      <c r="X63" s="28"/>
    </row>
    <row r="64" spans="1:24" s="12" customFormat="1" ht="18" customHeight="1">
      <c r="A64" s="28"/>
      <c r="B64" s="49">
        <v>32</v>
      </c>
      <c r="C64" s="53" t="s">
        <v>79</v>
      </c>
      <c r="D64" s="30" t="s">
        <v>40</v>
      </c>
      <c r="E64" s="52">
        <v>2.11</v>
      </c>
      <c r="F64" s="51">
        <v>2.5000000000000001E-2</v>
      </c>
      <c r="G64" s="51">
        <v>-2.5000000000000001E-2</v>
      </c>
      <c r="H64" s="50" t="s">
        <v>45</v>
      </c>
      <c r="I64" s="33">
        <f t="shared" si="1"/>
        <v>2.1349999999999998</v>
      </c>
      <c r="J64" s="33">
        <f t="shared" si="2"/>
        <v>2.085</v>
      </c>
      <c r="K64" s="34">
        <v>2.052</v>
      </c>
      <c r="L64" s="34">
        <v>2.0609999999999999</v>
      </c>
      <c r="M64" s="34">
        <v>2.0659999999999998</v>
      </c>
      <c r="N64" s="28"/>
      <c r="O64" s="35">
        <f t="shared" si="4"/>
        <v>-5.7999999999999829E-2</v>
      </c>
      <c r="P64" s="36">
        <f t="shared" si="5"/>
        <v>-4.8999999999999932E-2</v>
      </c>
      <c r="Q64" s="36">
        <f t="shared" si="6"/>
        <v>-4.4000000000000039E-2</v>
      </c>
      <c r="R64" s="43">
        <f t="shared" si="7"/>
        <v>2.0596666666666663</v>
      </c>
      <c r="S64" s="44">
        <f t="shared" si="8"/>
        <v>0</v>
      </c>
      <c r="T64" s="44">
        <f t="shared" si="9"/>
        <v>2.3199999999999932</v>
      </c>
      <c r="U64" s="45" t="str">
        <f t="shared" si="0"/>
        <v xml:space="preserve"> </v>
      </c>
      <c r="V64" s="45" t="str">
        <f t="shared" si="10"/>
        <v>Reject</v>
      </c>
      <c r="W64" s="108" t="s">
        <v>98</v>
      </c>
      <c r="X64" s="28"/>
    </row>
    <row r="65" spans="1:24" s="12" customFormat="1" ht="18" customHeight="1">
      <c r="A65" s="28"/>
      <c r="B65" s="49"/>
      <c r="C65" s="53" t="s">
        <v>74</v>
      </c>
      <c r="D65" s="30" t="s">
        <v>40</v>
      </c>
      <c r="E65" s="52">
        <v>2.11</v>
      </c>
      <c r="F65" s="51">
        <v>2.5000000000000001E-2</v>
      </c>
      <c r="G65" s="51">
        <v>-2.5000000000000001E-2</v>
      </c>
      <c r="H65" s="50" t="s">
        <v>45</v>
      </c>
      <c r="I65" s="33">
        <f t="shared" si="1"/>
        <v>2.1349999999999998</v>
      </c>
      <c r="J65" s="33">
        <f t="shared" si="2"/>
        <v>2.085</v>
      </c>
      <c r="K65" s="34">
        <v>2.052</v>
      </c>
      <c r="L65" s="34">
        <v>2.06</v>
      </c>
      <c r="M65" s="34">
        <v>2.0579999999999998</v>
      </c>
      <c r="N65" s="28"/>
      <c r="O65" s="35">
        <f t="shared" si="4"/>
        <v>-5.7999999999999829E-2</v>
      </c>
      <c r="P65" s="36">
        <f t="shared" si="5"/>
        <v>-4.9999999999999822E-2</v>
      </c>
      <c r="Q65" s="36">
        <f t="shared" si="6"/>
        <v>-5.2000000000000046E-2</v>
      </c>
      <c r="R65" s="43">
        <f t="shared" si="7"/>
        <v>2.0566666666666666</v>
      </c>
      <c r="S65" s="44">
        <f t="shared" si="8"/>
        <v>0</v>
      </c>
      <c r="T65" s="44">
        <f t="shared" si="9"/>
        <v>2.3199999999999932</v>
      </c>
      <c r="U65" s="45" t="str">
        <f t="shared" si="0"/>
        <v xml:space="preserve"> </v>
      </c>
      <c r="V65" s="45" t="str">
        <f t="shared" si="10"/>
        <v>Reject</v>
      </c>
      <c r="W65" s="108" t="s">
        <v>98</v>
      </c>
      <c r="X65" s="28"/>
    </row>
    <row r="66" spans="1:24" s="12" customFormat="1" ht="18" customHeight="1">
      <c r="A66" s="28"/>
      <c r="B66" s="49">
        <v>33</v>
      </c>
      <c r="C66" s="56"/>
      <c r="D66" s="30" t="s">
        <v>40</v>
      </c>
      <c r="E66" s="52">
        <v>17.309999999999999</v>
      </c>
      <c r="F66" s="51">
        <v>0.06</v>
      </c>
      <c r="G66" s="51">
        <v>-0.06</v>
      </c>
      <c r="H66" s="50" t="s">
        <v>45</v>
      </c>
      <c r="I66" s="33">
        <f t="shared" si="1"/>
        <v>17.369999999999997</v>
      </c>
      <c r="J66" s="33">
        <f t="shared" si="2"/>
        <v>17.25</v>
      </c>
      <c r="K66" s="34">
        <v>17.335000000000001</v>
      </c>
      <c r="L66" s="34">
        <v>17.341000000000001</v>
      </c>
      <c r="M66" s="34">
        <v>17.338000000000001</v>
      </c>
      <c r="N66" s="28"/>
      <c r="O66" s="35">
        <f t="shared" si="4"/>
        <v>2.5000000000002132E-2</v>
      </c>
      <c r="P66" s="36">
        <f t="shared" si="5"/>
        <v>3.1000000000002359E-2</v>
      </c>
      <c r="Q66" s="36">
        <f t="shared" si="6"/>
        <v>2.8000000000002245E-2</v>
      </c>
      <c r="R66" s="43">
        <f t="shared" si="7"/>
        <v>17.338000000000001</v>
      </c>
      <c r="S66" s="44">
        <f t="shared" si="8"/>
        <v>0.51666666666670602</v>
      </c>
      <c r="T66" s="44">
        <f t="shared" si="9"/>
        <v>0</v>
      </c>
      <c r="U66" s="45" t="str">
        <f t="shared" si="0"/>
        <v xml:space="preserve"> </v>
      </c>
      <c r="V66" s="45" t="str">
        <f t="shared" si="10"/>
        <v xml:space="preserve"> </v>
      </c>
      <c r="W66" s="47"/>
      <c r="X66" s="28"/>
    </row>
    <row r="67" spans="1:24" s="12" customFormat="1" ht="18" customHeight="1">
      <c r="A67" s="28"/>
      <c r="B67" s="49">
        <v>34</v>
      </c>
      <c r="C67" s="56"/>
      <c r="D67" s="30" t="s">
        <v>40</v>
      </c>
      <c r="E67" s="52">
        <v>130</v>
      </c>
      <c r="F67" s="51">
        <v>0.15</v>
      </c>
      <c r="G67" s="51">
        <v>-0.15</v>
      </c>
      <c r="H67" s="50" t="s">
        <v>45</v>
      </c>
      <c r="I67" s="33">
        <f t="shared" si="1"/>
        <v>130.15</v>
      </c>
      <c r="J67" s="33">
        <f t="shared" si="2"/>
        <v>129.85</v>
      </c>
      <c r="K67" s="34">
        <v>129.66999999999999</v>
      </c>
      <c r="L67" s="34">
        <v>129.714</v>
      </c>
      <c r="M67" s="34">
        <v>129.751</v>
      </c>
      <c r="N67" s="28"/>
      <c r="O67" s="35">
        <f t="shared" si="4"/>
        <v>-0.33000000000001251</v>
      </c>
      <c r="P67" s="36">
        <f t="shared" si="5"/>
        <v>-0.28600000000000136</v>
      </c>
      <c r="Q67" s="36">
        <f t="shared" si="6"/>
        <v>-0.24899999999999523</v>
      </c>
      <c r="R67" s="43">
        <f t="shared" si="7"/>
        <v>129.71166666666667</v>
      </c>
      <c r="S67" s="44">
        <f t="shared" si="8"/>
        <v>0</v>
      </c>
      <c r="T67" s="44">
        <f t="shared" si="9"/>
        <v>2.2000000000000837</v>
      </c>
      <c r="U67" s="45" t="str">
        <f t="shared" si="0"/>
        <v xml:space="preserve"> </v>
      </c>
      <c r="V67" s="45" t="str">
        <f t="shared" si="10"/>
        <v>Reject</v>
      </c>
      <c r="W67" s="108" t="s">
        <v>99</v>
      </c>
      <c r="X67" s="28"/>
    </row>
    <row r="68" spans="1:24" s="12" customFormat="1" ht="18" customHeight="1">
      <c r="A68" s="28"/>
      <c r="B68" s="49">
        <v>35</v>
      </c>
      <c r="C68" s="53" t="s">
        <v>73</v>
      </c>
      <c r="D68" s="30" t="s">
        <v>40</v>
      </c>
      <c r="E68" s="52">
        <v>44.39</v>
      </c>
      <c r="F68" s="51">
        <v>0.05</v>
      </c>
      <c r="G68" s="51">
        <v>-0.05</v>
      </c>
      <c r="H68" s="50" t="s">
        <v>45</v>
      </c>
      <c r="I68" s="33">
        <f t="shared" si="1"/>
        <v>44.44</v>
      </c>
      <c r="J68" s="33">
        <f t="shared" si="2"/>
        <v>44.34</v>
      </c>
      <c r="K68" s="34">
        <v>44.570999999999998</v>
      </c>
      <c r="L68" s="34">
        <v>44.551000000000002</v>
      </c>
      <c r="M68" s="34">
        <v>44.561</v>
      </c>
      <c r="N68" s="28"/>
      <c r="O68" s="35">
        <f t="shared" si="4"/>
        <v>0.18099999999999739</v>
      </c>
      <c r="P68" s="36">
        <f t="shared" si="5"/>
        <v>0.16100000000000136</v>
      </c>
      <c r="Q68" s="36">
        <f t="shared" si="6"/>
        <v>0.17099999999999937</v>
      </c>
      <c r="R68" s="43">
        <f t="shared" si="7"/>
        <v>44.561</v>
      </c>
      <c r="S68" s="44">
        <f t="shared" si="8"/>
        <v>3.6199999999999477</v>
      </c>
      <c r="T68" s="44">
        <f t="shared" si="9"/>
        <v>0</v>
      </c>
      <c r="U68" s="45" t="str">
        <f t="shared" si="0"/>
        <v>Reject</v>
      </c>
      <c r="V68" s="45" t="str">
        <f t="shared" si="10"/>
        <v xml:space="preserve"> </v>
      </c>
      <c r="W68" s="108" t="s">
        <v>100</v>
      </c>
      <c r="X68" s="28"/>
    </row>
    <row r="69" spans="1:24" s="12" customFormat="1" ht="18" customHeight="1">
      <c r="A69" s="28"/>
      <c r="B69" s="49"/>
      <c r="C69" s="53" t="s">
        <v>74</v>
      </c>
      <c r="D69" s="30" t="s">
        <v>40</v>
      </c>
      <c r="E69" s="52">
        <v>44.39</v>
      </c>
      <c r="F69" s="51">
        <v>0.05</v>
      </c>
      <c r="G69" s="51">
        <v>-0.05</v>
      </c>
      <c r="H69" s="50" t="s">
        <v>45</v>
      </c>
      <c r="I69" s="33"/>
      <c r="J69" s="33"/>
      <c r="K69" s="34">
        <v>44.395000000000003</v>
      </c>
      <c r="L69" s="34">
        <v>44.411000000000001</v>
      </c>
      <c r="M69" s="34">
        <v>44.408000000000001</v>
      </c>
      <c r="N69" s="28"/>
      <c r="O69" s="35">
        <f t="shared" si="4"/>
        <v>5.000000000002558E-3</v>
      </c>
      <c r="P69" s="36">
        <f t="shared" si="5"/>
        <v>2.1000000000000796E-2</v>
      </c>
      <c r="Q69" s="36">
        <f t="shared" si="6"/>
        <v>1.8000000000000682E-2</v>
      </c>
      <c r="R69" s="43">
        <f t="shared" si="7"/>
        <v>44.404666666666664</v>
      </c>
      <c r="S69" s="44">
        <f t="shared" si="8"/>
        <v>0.42000000000001592</v>
      </c>
      <c r="T69" s="44">
        <f t="shared" si="9"/>
        <v>0</v>
      </c>
      <c r="U69" s="45" t="str">
        <f t="shared" si="0"/>
        <v xml:space="preserve"> </v>
      </c>
      <c r="V69" s="45" t="str">
        <f t="shared" si="10"/>
        <v xml:space="preserve"> </v>
      </c>
      <c r="W69" s="47"/>
      <c r="X69" s="28"/>
    </row>
    <row r="70" spans="1:24" s="12" customFormat="1" ht="18" customHeight="1">
      <c r="A70" s="28"/>
      <c r="B70" s="49">
        <v>36</v>
      </c>
      <c r="C70" s="53" t="s">
        <v>73</v>
      </c>
      <c r="D70" s="30" t="s">
        <v>40</v>
      </c>
      <c r="E70" s="52">
        <v>30.98</v>
      </c>
      <c r="F70" s="51">
        <v>0.05</v>
      </c>
      <c r="G70" s="51">
        <v>-0.05</v>
      </c>
      <c r="H70" s="50" t="s">
        <v>45</v>
      </c>
      <c r="I70" s="33"/>
      <c r="J70" s="33"/>
      <c r="K70" s="34">
        <v>31.132999999999999</v>
      </c>
      <c r="L70" s="34">
        <v>31.140999999999998</v>
      </c>
      <c r="M70" s="34">
        <v>31.148</v>
      </c>
      <c r="N70" s="28"/>
      <c r="O70" s="35">
        <f t="shared" si="4"/>
        <v>0.15299999999999869</v>
      </c>
      <c r="P70" s="36">
        <f t="shared" si="5"/>
        <v>0.16099999999999781</v>
      </c>
      <c r="Q70" s="36">
        <f t="shared" si="6"/>
        <v>0.16799999999999926</v>
      </c>
      <c r="R70" s="43">
        <f t="shared" si="7"/>
        <v>31.140666666666664</v>
      </c>
      <c r="S70" s="44">
        <f t="shared" si="8"/>
        <v>3.3599999999999852</v>
      </c>
      <c r="T70" s="44">
        <f t="shared" si="9"/>
        <v>0</v>
      </c>
      <c r="U70" s="45" t="str">
        <f t="shared" si="0"/>
        <v>Reject</v>
      </c>
      <c r="V70" s="45" t="str">
        <f t="shared" si="10"/>
        <v xml:space="preserve"> </v>
      </c>
      <c r="W70" s="108" t="s">
        <v>100</v>
      </c>
      <c r="X70" s="28"/>
    </row>
    <row r="71" spans="1:24" s="12" customFormat="1" ht="18" customHeight="1">
      <c r="A71" s="28"/>
      <c r="B71" s="49"/>
      <c r="C71" s="53" t="s">
        <v>74</v>
      </c>
      <c r="D71" s="30" t="s">
        <v>40</v>
      </c>
      <c r="E71" s="52">
        <v>30.98</v>
      </c>
      <c r="F71" s="51">
        <v>0.05</v>
      </c>
      <c r="G71" s="51">
        <v>-0.05</v>
      </c>
      <c r="H71" s="50" t="s">
        <v>45</v>
      </c>
      <c r="I71" s="33"/>
      <c r="J71" s="33"/>
      <c r="K71" s="34">
        <v>31.154</v>
      </c>
      <c r="L71" s="34">
        <v>31.155000000000001</v>
      </c>
      <c r="M71" s="34">
        <v>31.167000000000002</v>
      </c>
      <c r="N71" s="28"/>
      <c r="O71" s="35">
        <f t="shared" si="4"/>
        <v>0.17399999999999949</v>
      </c>
      <c r="P71" s="36">
        <f t="shared" si="5"/>
        <v>0.17500000000000071</v>
      </c>
      <c r="Q71" s="36">
        <f t="shared" si="6"/>
        <v>0.18700000000000117</v>
      </c>
      <c r="R71" s="43">
        <f t="shared" si="7"/>
        <v>31.158666666666665</v>
      </c>
      <c r="S71" s="44">
        <f t="shared" si="8"/>
        <v>3.7400000000000233</v>
      </c>
      <c r="T71" s="44">
        <f t="shared" si="9"/>
        <v>0</v>
      </c>
      <c r="U71" s="45" t="str">
        <f t="shared" si="0"/>
        <v>Reject</v>
      </c>
      <c r="V71" s="45" t="str">
        <f t="shared" si="10"/>
        <v xml:space="preserve"> </v>
      </c>
      <c r="W71" s="108" t="s">
        <v>100</v>
      </c>
      <c r="X71" s="28"/>
    </row>
    <row r="72" spans="1:24" s="12" customFormat="1" ht="18" customHeight="1">
      <c r="A72" s="28"/>
      <c r="B72" s="49">
        <v>37</v>
      </c>
      <c r="C72" s="53" t="s">
        <v>73</v>
      </c>
      <c r="D72" s="30" t="s">
        <v>40</v>
      </c>
      <c r="E72" s="51">
        <v>14.89</v>
      </c>
      <c r="F72" s="51">
        <v>0.05</v>
      </c>
      <c r="G72" s="51">
        <v>-0.05</v>
      </c>
      <c r="H72" s="50" t="s">
        <v>45</v>
      </c>
      <c r="I72" s="33"/>
      <c r="J72" s="33"/>
      <c r="K72" s="34">
        <v>14.962999999999999</v>
      </c>
      <c r="L72" s="34">
        <v>14.951000000000001</v>
      </c>
      <c r="M72" s="34">
        <v>14.978</v>
      </c>
      <c r="N72" s="28"/>
      <c r="O72" s="35">
        <f t="shared" si="4"/>
        <v>7.2999999999998622E-2</v>
      </c>
      <c r="P72" s="36">
        <f t="shared" si="5"/>
        <v>6.0999999999999943E-2</v>
      </c>
      <c r="Q72" s="36">
        <f t="shared" si="6"/>
        <v>8.799999999999919E-2</v>
      </c>
      <c r="R72" s="43">
        <f t="shared" si="7"/>
        <v>14.964</v>
      </c>
      <c r="S72" s="44">
        <f t="shared" si="8"/>
        <v>1.7599999999999838</v>
      </c>
      <c r="T72" s="44">
        <f t="shared" si="9"/>
        <v>0</v>
      </c>
      <c r="U72" s="45" t="str">
        <f t="shared" si="0"/>
        <v>Reject</v>
      </c>
      <c r="V72" s="45" t="str">
        <f t="shared" si="10"/>
        <v xml:space="preserve"> </v>
      </c>
      <c r="W72" s="108" t="s">
        <v>100</v>
      </c>
      <c r="X72" s="28"/>
    </row>
    <row r="73" spans="1:24" s="12" customFormat="1" ht="18" customHeight="1">
      <c r="A73" s="28"/>
      <c r="B73" s="29"/>
      <c r="C73" s="53" t="s">
        <v>74</v>
      </c>
      <c r="D73" s="30" t="s">
        <v>40</v>
      </c>
      <c r="E73" s="51">
        <v>14.89</v>
      </c>
      <c r="F73" s="51">
        <v>0.05</v>
      </c>
      <c r="G73" s="51">
        <v>-0.05</v>
      </c>
      <c r="H73" s="50" t="s">
        <v>45</v>
      </c>
      <c r="I73" s="33"/>
      <c r="J73" s="33"/>
      <c r="K73" s="34">
        <v>14.99</v>
      </c>
      <c r="L73" s="34">
        <v>14.991</v>
      </c>
      <c r="M73" s="34">
        <v>15.002000000000001</v>
      </c>
      <c r="N73" s="28"/>
      <c r="O73" s="35">
        <f t="shared" si="4"/>
        <v>9.9999999999999645E-2</v>
      </c>
      <c r="P73" s="36">
        <f t="shared" si="5"/>
        <v>0.10099999999999909</v>
      </c>
      <c r="Q73" s="36">
        <f t="shared" si="6"/>
        <v>0.1120000000000001</v>
      </c>
      <c r="R73" s="43">
        <f t="shared" si="7"/>
        <v>14.994333333333335</v>
      </c>
      <c r="S73" s="44">
        <f t="shared" si="8"/>
        <v>2.240000000000002</v>
      </c>
      <c r="T73" s="44">
        <f t="shared" si="9"/>
        <v>0</v>
      </c>
      <c r="U73" s="45" t="str">
        <f t="shared" si="0"/>
        <v>Reject</v>
      </c>
      <c r="V73" s="45" t="str">
        <f t="shared" si="10"/>
        <v xml:space="preserve"> </v>
      </c>
      <c r="W73" s="108" t="s">
        <v>100</v>
      </c>
      <c r="X73" s="28"/>
    </row>
    <row r="74" spans="1:24" s="12" customFormat="1" ht="18" customHeight="1">
      <c r="A74" s="28"/>
      <c r="B74" s="29">
        <v>38</v>
      </c>
      <c r="C74" s="53" t="s">
        <v>73</v>
      </c>
      <c r="D74" s="30" t="s">
        <v>40</v>
      </c>
      <c r="E74" s="52">
        <v>2.02</v>
      </c>
      <c r="F74" s="51">
        <v>0.03</v>
      </c>
      <c r="G74" s="51">
        <v>-0.03</v>
      </c>
      <c r="H74" s="50" t="s">
        <v>45</v>
      </c>
      <c r="I74" s="33">
        <f t="shared" ref="I74:I85" si="11">IF(AND(E74="",F74=""),"",IF(E74="",F74,E74+F74))</f>
        <v>2.0499999999999998</v>
      </c>
      <c r="J74" s="33">
        <f t="shared" ref="J74:J85" si="12">IF(AND(E74="",G74=""),"",IF(E74="",G74,E74+G74))</f>
        <v>1.99</v>
      </c>
      <c r="K74" s="34">
        <v>1.99</v>
      </c>
      <c r="L74" s="34">
        <v>1.9970000000000001</v>
      </c>
      <c r="M74" s="34">
        <v>1.9990000000000001</v>
      </c>
      <c r="N74" s="28"/>
      <c r="O74" s="35">
        <f t="shared" si="4"/>
        <v>-3.0000000000000027E-2</v>
      </c>
      <c r="P74" s="36">
        <f t="shared" si="5"/>
        <v>-2.2999999999999909E-2</v>
      </c>
      <c r="Q74" s="36">
        <f t="shared" si="6"/>
        <v>-2.0999999999999908E-2</v>
      </c>
      <c r="R74" s="43">
        <f t="shared" si="7"/>
        <v>1.9953333333333336</v>
      </c>
      <c r="S74" s="44">
        <f t="shared" si="8"/>
        <v>0</v>
      </c>
      <c r="T74" s="44">
        <f t="shared" si="9"/>
        <v>1.0000000000000009</v>
      </c>
      <c r="U74" s="45" t="str">
        <f t="shared" si="0"/>
        <v xml:space="preserve"> </v>
      </c>
      <c r="V74" s="45" t="str">
        <f t="shared" si="10"/>
        <v>Alert</v>
      </c>
      <c r="W74" s="47"/>
      <c r="X74" s="28"/>
    </row>
    <row r="75" spans="1:24" s="12" customFormat="1" ht="18" customHeight="1">
      <c r="A75" s="28"/>
      <c r="B75" s="29"/>
      <c r="C75" s="53" t="s">
        <v>74</v>
      </c>
      <c r="D75" s="30" t="s">
        <v>40</v>
      </c>
      <c r="E75" s="52">
        <v>2.02</v>
      </c>
      <c r="F75" s="51">
        <v>0.03</v>
      </c>
      <c r="G75" s="51">
        <v>-0.03</v>
      </c>
      <c r="H75" s="50" t="s">
        <v>45</v>
      </c>
      <c r="I75" s="33">
        <f t="shared" si="11"/>
        <v>2.0499999999999998</v>
      </c>
      <c r="J75" s="33">
        <f t="shared" si="12"/>
        <v>1.99</v>
      </c>
      <c r="K75" s="34">
        <v>2.0209999999999999</v>
      </c>
      <c r="L75" s="34">
        <v>2.0179999999999998</v>
      </c>
      <c r="M75" s="34">
        <v>2.0190000000000001</v>
      </c>
      <c r="N75" s="28"/>
      <c r="O75" s="35">
        <f t="shared" si="4"/>
        <v>9.9999999999988987E-4</v>
      </c>
      <c r="P75" s="36">
        <f t="shared" si="5"/>
        <v>-2.0000000000002238E-3</v>
      </c>
      <c r="Q75" s="36">
        <f t="shared" si="6"/>
        <v>-9.9999999999988987E-4</v>
      </c>
      <c r="R75" s="43">
        <f t="shared" si="7"/>
        <v>2.0193333333333334</v>
      </c>
      <c r="S75" s="44">
        <f t="shared" si="8"/>
        <v>3.3333333333329662E-2</v>
      </c>
      <c r="T75" s="44">
        <f t="shared" si="9"/>
        <v>6.6666666666674132E-2</v>
      </c>
      <c r="U75" s="45" t="str">
        <f t="shared" si="0"/>
        <v xml:space="preserve"> </v>
      </c>
      <c r="V75" s="45" t="str">
        <f t="shared" si="10"/>
        <v xml:space="preserve"> </v>
      </c>
      <c r="W75" s="47"/>
      <c r="X75" s="28"/>
    </row>
    <row r="76" spans="1:24" s="12" customFormat="1" ht="18" customHeight="1">
      <c r="A76" s="28"/>
      <c r="B76" s="29">
        <v>39</v>
      </c>
      <c r="C76" s="59" t="s">
        <v>73</v>
      </c>
      <c r="D76" s="30" t="s">
        <v>40</v>
      </c>
      <c r="E76" s="52">
        <v>1.9</v>
      </c>
      <c r="F76" s="51">
        <v>0.03</v>
      </c>
      <c r="G76" s="51">
        <v>-0.03</v>
      </c>
      <c r="H76" s="50" t="s">
        <v>78</v>
      </c>
      <c r="I76" s="33">
        <f t="shared" si="11"/>
        <v>1.93</v>
      </c>
      <c r="J76" s="33">
        <f t="shared" si="12"/>
        <v>1.8699999999999999</v>
      </c>
      <c r="K76" s="34">
        <v>1.903</v>
      </c>
      <c r="L76" s="34">
        <v>1.899</v>
      </c>
      <c r="M76" s="34">
        <v>1.9019999999999999</v>
      </c>
      <c r="N76" s="28"/>
      <c r="O76" s="35">
        <f t="shared" si="4"/>
        <v>3.0000000000001137E-3</v>
      </c>
      <c r="P76" s="36">
        <f t="shared" si="5"/>
        <v>-9.9999999999988987E-4</v>
      </c>
      <c r="Q76" s="36">
        <f t="shared" si="6"/>
        <v>2.0000000000000018E-3</v>
      </c>
      <c r="R76" s="43">
        <f t="shared" si="7"/>
        <v>1.9013333333333333</v>
      </c>
      <c r="S76" s="44">
        <f t="shared" si="8"/>
        <v>0.10000000000000379</v>
      </c>
      <c r="T76" s="44">
        <f t="shared" si="9"/>
        <v>3.3333333333329662E-2</v>
      </c>
      <c r="U76" s="45" t="str">
        <f t="shared" si="0"/>
        <v xml:space="preserve"> </v>
      </c>
      <c r="V76" s="45" t="str">
        <f t="shared" si="10"/>
        <v xml:space="preserve"> </v>
      </c>
      <c r="W76" s="63" t="s">
        <v>88</v>
      </c>
      <c r="X76" s="28"/>
    </row>
    <row r="77" spans="1:24" s="12" customFormat="1" ht="18" customHeight="1">
      <c r="A77" s="28"/>
      <c r="B77" s="29"/>
      <c r="C77" s="59" t="s">
        <v>81</v>
      </c>
      <c r="D77" s="30" t="s">
        <v>40</v>
      </c>
      <c r="E77" s="52">
        <v>1.9</v>
      </c>
      <c r="F77" s="51">
        <v>0.03</v>
      </c>
      <c r="G77" s="51">
        <v>-0.03</v>
      </c>
      <c r="H77" s="50" t="s">
        <v>78</v>
      </c>
      <c r="I77" s="33">
        <f t="shared" si="11"/>
        <v>1.93</v>
      </c>
      <c r="J77" s="33">
        <f t="shared" si="12"/>
        <v>1.8699999999999999</v>
      </c>
      <c r="K77" s="34">
        <v>1.913</v>
      </c>
      <c r="L77" s="34">
        <v>1.905</v>
      </c>
      <c r="M77" s="34">
        <v>1.9079999999999999</v>
      </c>
      <c r="N77" s="28"/>
      <c r="O77" s="35">
        <f t="shared" si="4"/>
        <v>1.3000000000000123E-2</v>
      </c>
      <c r="P77" s="36">
        <f t="shared" si="5"/>
        <v>5.0000000000001155E-3</v>
      </c>
      <c r="Q77" s="36">
        <f t="shared" si="6"/>
        <v>8.0000000000000071E-3</v>
      </c>
      <c r="R77" s="43">
        <f t="shared" si="7"/>
        <v>1.9086666666666667</v>
      </c>
      <c r="S77" s="44">
        <f t="shared" si="8"/>
        <v>0.43333333333333746</v>
      </c>
      <c r="T77" s="44">
        <f t="shared" si="9"/>
        <v>0</v>
      </c>
      <c r="U77" s="45" t="str">
        <f t="shared" si="0"/>
        <v xml:space="preserve"> </v>
      </c>
      <c r="V77" s="45" t="str">
        <f t="shared" si="10"/>
        <v xml:space="preserve"> </v>
      </c>
      <c r="W77" s="47"/>
      <c r="X77" s="28"/>
    </row>
    <row r="78" spans="1:24" s="12" customFormat="1" ht="18" customHeight="1">
      <c r="A78" s="28"/>
      <c r="B78" s="29"/>
      <c r="C78" s="59" t="s">
        <v>74</v>
      </c>
      <c r="D78" s="30" t="s">
        <v>40</v>
      </c>
      <c r="E78" s="52">
        <v>1.9</v>
      </c>
      <c r="F78" s="51">
        <v>0.03</v>
      </c>
      <c r="G78" s="51">
        <v>-0.03</v>
      </c>
      <c r="H78" s="50" t="s">
        <v>78</v>
      </c>
      <c r="I78" s="33">
        <f t="shared" si="11"/>
        <v>1.93</v>
      </c>
      <c r="J78" s="33">
        <f t="shared" si="12"/>
        <v>1.8699999999999999</v>
      </c>
      <c r="K78" s="34">
        <v>1.925</v>
      </c>
      <c r="L78" s="34">
        <v>1.919</v>
      </c>
      <c r="M78" s="34">
        <v>1.92</v>
      </c>
      <c r="N78" s="28"/>
      <c r="O78" s="35">
        <f t="shared" si="4"/>
        <v>2.5000000000000133E-2</v>
      </c>
      <c r="P78" s="36">
        <f t="shared" si="5"/>
        <v>1.9000000000000128E-2</v>
      </c>
      <c r="Q78" s="36">
        <f t="shared" si="6"/>
        <v>2.0000000000000018E-2</v>
      </c>
      <c r="R78" s="43">
        <f t="shared" si="7"/>
        <v>1.9213333333333333</v>
      </c>
      <c r="S78" s="44">
        <f t="shared" si="8"/>
        <v>0.83333333333333781</v>
      </c>
      <c r="T78" s="44">
        <f t="shared" si="9"/>
        <v>0</v>
      </c>
      <c r="U78" s="45" t="str">
        <f t="shared" si="0"/>
        <v>Alert</v>
      </c>
      <c r="V78" s="45" t="str">
        <f t="shared" si="10"/>
        <v xml:space="preserve"> </v>
      </c>
      <c r="W78" s="47"/>
      <c r="X78" s="28"/>
    </row>
    <row r="79" spans="1:24" s="12" customFormat="1" ht="18" customHeight="1">
      <c r="A79" s="28"/>
      <c r="B79" s="29">
        <v>40</v>
      </c>
      <c r="C79" s="59">
        <v>1</v>
      </c>
      <c r="D79" s="30" t="s">
        <v>40</v>
      </c>
      <c r="E79" s="52">
        <v>1.3</v>
      </c>
      <c r="F79" s="51">
        <v>0.03</v>
      </c>
      <c r="G79" s="51">
        <v>-0.03</v>
      </c>
      <c r="H79" s="50" t="s">
        <v>78</v>
      </c>
      <c r="I79" s="33">
        <f t="shared" si="11"/>
        <v>1.33</v>
      </c>
      <c r="J79" s="33">
        <f t="shared" si="12"/>
        <v>1.27</v>
      </c>
      <c r="K79" s="34">
        <v>1.2529999999999999</v>
      </c>
      <c r="L79" s="34">
        <v>1.26</v>
      </c>
      <c r="M79" s="34">
        <v>1.2569999999999999</v>
      </c>
      <c r="N79" s="28"/>
      <c r="O79" s="35">
        <f t="shared" ref="O79:O130" si="13">IF(ISERR(K79/K79)=TRUE," ",K79-$E79)</f>
        <v>-4.7000000000000153E-2</v>
      </c>
      <c r="P79" s="36">
        <f t="shared" ref="P79:P130" si="14">IF(ISERR(L79/L79)=TRUE," ",L79-$E79)</f>
        <v>-4.0000000000000036E-2</v>
      </c>
      <c r="Q79" s="36">
        <f t="shared" ref="Q79:Q130" si="15">IF(ISERR(M79/M79)=TRUE," ",M79-$E79)</f>
        <v>-4.3000000000000149E-2</v>
      </c>
      <c r="R79" s="43">
        <f t="shared" ref="R79:R130" si="16">IF(ISERR(K79/K79)=TRUE," ",AVERAGE(K79:M79))</f>
        <v>1.2566666666666666</v>
      </c>
      <c r="S79" s="44">
        <f t="shared" ref="S79:S112" si="17">IF(ISERR(F79/F79)=TRUE," ",IF(ISERR(K79/K79)=TRUE," ",IF(ISNUMBER($K79)=FALSE," ",IF(MAX($K79:$M79)&lt;$E79,0,(MAX($K79:$M79)-$E79)/$F79))))</f>
        <v>0</v>
      </c>
      <c r="T79" s="44">
        <f t="shared" ref="T79:T114" si="18">IF(ISERR(G79/E79)=TRUE," ",IF(ISERR(G79/G79)=TRUE," ",IF(ISERR(K79/K79)=TRUE," ",IF(ISNUMBER(K79)=FALSE," ",IF(MIN(K79:M79)&gt;$E79,0,($E79-MIN(K79:M79))/-G79)))))</f>
        <v>1.5666666666666718</v>
      </c>
      <c r="U79" s="45" t="str">
        <f t="shared" si="0"/>
        <v xml:space="preserve"> </v>
      </c>
      <c r="V79" s="45" t="str">
        <f t="shared" ref="V79:V114" si="19">IF(K79="","",IF(ISERR(G79/G79)=TRUE," ",IF(ISERR(G79/E79)=TRUE,IF((G79-MIN(K79:M79))&gt;0.001,"Reject",""),IF(ISNUMBER($T79)=TRUE,IF($T79&gt;0.651,IF($T79&gt;1.001,"Reject","Alert")," ")," "))))</f>
        <v>Reject</v>
      </c>
      <c r="W79" s="108" t="s">
        <v>101</v>
      </c>
      <c r="X79" s="28"/>
    </row>
    <row r="80" spans="1:24" s="12" customFormat="1" ht="18" customHeight="1">
      <c r="A80" s="28"/>
      <c r="B80" s="29"/>
      <c r="C80" s="59">
        <v>2</v>
      </c>
      <c r="D80" s="30" t="s">
        <v>40</v>
      </c>
      <c r="E80" s="52">
        <v>1.3</v>
      </c>
      <c r="F80" s="51">
        <v>0.03</v>
      </c>
      <c r="G80" s="51">
        <v>-0.03</v>
      </c>
      <c r="H80" s="50" t="s">
        <v>78</v>
      </c>
      <c r="I80" s="33">
        <f t="shared" si="11"/>
        <v>1.33</v>
      </c>
      <c r="J80" s="33">
        <f t="shared" si="12"/>
        <v>1.27</v>
      </c>
      <c r="K80" s="34">
        <v>1.2569999999999999</v>
      </c>
      <c r="L80" s="34">
        <v>1.2330000000000001</v>
      </c>
      <c r="M80" s="34">
        <v>1.244</v>
      </c>
      <c r="N80" s="28"/>
      <c r="O80" s="35">
        <f t="shared" si="13"/>
        <v>-4.3000000000000149E-2</v>
      </c>
      <c r="P80" s="36">
        <f t="shared" si="14"/>
        <v>-6.6999999999999948E-2</v>
      </c>
      <c r="Q80" s="36">
        <f t="shared" si="15"/>
        <v>-5.600000000000005E-2</v>
      </c>
      <c r="R80" s="43">
        <f t="shared" si="16"/>
        <v>1.2446666666666666</v>
      </c>
      <c r="S80" s="44">
        <f t="shared" si="17"/>
        <v>0</v>
      </c>
      <c r="T80" s="44">
        <f t="shared" si="18"/>
        <v>2.2333333333333316</v>
      </c>
      <c r="U80" s="45" t="str">
        <f t="shared" si="0"/>
        <v xml:space="preserve"> </v>
      </c>
      <c r="V80" s="45" t="str">
        <f t="shared" si="19"/>
        <v>Reject</v>
      </c>
      <c r="W80" s="108" t="s">
        <v>101</v>
      </c>
      <c r="X80" s="28"/>
    </row>
    <row r="81" spans="1:24" s="12" customFormat="1" ht="18" customHeight="1">
      <c r="A81" s="28"/>
      <c r="B81" s="29"/>
      <c r="C81" s="59">
        <v>3</v>
      </c>
      <c r="D81" s="30" t="s">
        <v>40</v>
      </c>
      <c r="E81" s="52">
        <v>1.3</v>
      </c>
      <c r="F81" s="51">
        <v>0.03</v>
      </c>
      <c r="G81" s="51">
        <v>-0.03</v>
      </c>
      <c r="H81" s="50" t="s">
        <v>78</v>
      </c>
      <c r="I81" s="33">
        <f t="shared" si="11"/>
        <v>1.33</v>
      </c>
      <c r="J81" s="33">
        <f t="shared" si="12"/>
        <v>1.27</v>
      </c>
      <c r="K81" s="34">
        <v>1.2769999999999999</v>
      </c>
      <c r="L81" s="34">
        <v>1.2609999999999999</v>
      </c>
      <c r="M81" s="34">
        <v>1.264</v>
      </c>
      <c r="N81" s="28"/>
      <c r="O81" s="35">
        <f t="shared" si="13"/>
        <v>-2.3000000000000131E-2</v>
      </c>
      <c r="P81" s="36">
        <f t="shared" si="14"/>
        <v>-3.9000000000000146E-2</v>
      </c>
      <c r="Q81" s="36">
        <f t="shared" si="15"/>
        <v>-3.6000000000000032E-2</v>
      </c>
      <c r="R81" s="43">
        <f t="shared" si="16"/>
        <v>1.2673333333333332</v>
      </c>
      <c r="S81" s="44">
        <f t="shared" si="17"/>
        <v>0</v>
      </c>
      <c r="T81" s="44">
        <f t="shared" si="18"/>
        <v>1.3000000000000049</v>
      </c>
      <c r="U81" s="45" t="str">
        <f t="shared" si="0"/>
        <v xml:space="preserve"> </v>
      </c>
      <c r="V81" s="45" t="str">
        <f t="shared" si="19"/>
        <v>Reject</v>
      </c>
      <c r="W81" s="108" t="s">
        <v>101</v>
      </c>
      <c r="X81" s="28"/>
    </row>
    <row r="82" spans="1:24" s="12" customFormat="1" ht="18" customHeight="1">
      <c r="A82" s="28"/>
      <c r="B82" s="29"/>
      <c r="C82" s="59">
        <v>4</v>
      </c>
      <c r="D82" s="30" t="s">
        <v>40</v>
      </c>
      <c r="E82" s="52">
        <v>1.3</v>
      </c>
      <c r="F82" s="51">
        <v>0.03</v>
      </c>
      <c r="G82" s="51">
        <v>-0.03</v>
      </c>
      <c r="H82" s="50" t="s">
        <v>78</v>
      </c>
      <c r="I82" s="33">
        <f t="shared" si="11"/>
        <v>1.33</v>
      </c>
      <c r="J82" s="33">
        <f t="shared" si="12"/>
        <v>1.27</v>
      </c>
      <c r="K82" s="34">
        <v>1.24</v>
      </c>
      <c r="L82" s="34">
        <v>1.244</v>
      </c>
      <c r="M82" s="34">
        <v>1.2470000000000001</v>
      </c>
      <c r="N82" s="28"/>
      <c r="O82" s="35">
        <f t="shared" si="13"/>
        <v>-6.0000000000000053E-2</v>
      </c>
      <c r="P82" s="36">
        <f t="shared" si="14"/>
        <v>-5.600000000000005E-2</v>
      </c>
      <c r="Q82" s="36">
        <f t="shared" si="15"/>
        <v>-5.2999999999999936E-2</v>
      </c>
      <c r="R82" s="43">
        <f t="shared" si="16"/>
        <v>1.2436666666666667</v>
      </c>
      <c r="S82" s="44">
        <f t="shared" si="17"/>
        <v>0</v>
      </c>
      <c r="T82" s="44">
        <f t="shared" si="18"/>
        <v>2.0000000000000018</v>
      </c>
      <c r="U82" s="45" t="str">
        <f t="shared" si="0"/>
        <v xml:space="preserve"> </v>
      </c>
      <c r="V82" s="45" t="str">
        <f t="shared" si="19"/>
        <v>Reject</v>
      </c>
      <c r="W82" s="108" t="s">
        <v>101</v>
      </c>
      <c r="X82" s="28"/>
    </row>
    <row r="83" spans="1:24" s="12" customFormat="1" ht="18" customHeight="1">
      <c r="A83" s="28"/>
      <c r="B83" s="29">
        <v>41</v>
      </c>
      <c r="C83" s="53">
        <v>1</v>
      </c>
      <c r="D83" s="30" t="s">
        <v>40</v>
      </c>
      <c r="E83" s="52">
        <v>5</v>
      </c>
      <c r="F83" s="51">
        <v>0.05</v>
      </c>
      <c r="G83" s="51">
        <v>-0.05</v>
      </c>
      <c r="H83" s="50" t="s">
        <v>45</v>
      </c>
      <c r="I83" s="33">
        <f t="shared" si="11"/>
        <v>5.05</v>
      </c>
      <c r="J83" s="33">
        <f t="shared" si="12"/>
        <v>4.95</v>
      </c>
      <c r="K83" s="34">
        <v>4.99</v>
      </c>
      <c r="L83" s="34">
        <v>5.0030000000000001</v>
      </c>
      <c r="M83" s="34">
        <v>5.0019999999999998</v>
      </c>
      <c r="N83" s="28"/>
      <c r="O83" s="35">
        <f t="shared" si="13"/>
        <v>-9.9999999999997868E-3</v>
      </c>
      <c r="P83" s="36">
        <f t="shared" si="14"/>
        <v>3.0000000000001137E-3</v>
      </c>
      <c r="Q83" s="36">
        <f t="shared" si="15"/>
        <v>1.9999999999997797E-3</v>
      </c>
      <c r="R83" s="43">
        <f t="shared" si="16"/>
        <v>4.998333333333334</v>
      </c>
      <c r="S83" s="44">
        <f t="shared" si="17"/>
        <v>6.0000000000002274E-2</v>
      </c>
      <c r="T83" s="44">
        <f t="shared" si="18"/>
        <v>0.19999999999999574</v>
      </c>
      <c r="U83" s="45" t="str">
        <f t="shared" si="0"/>
        <v xml:space="preserve"> </v>
      </c>
      <c r="V83" s="45" t="str">
        <f t="shared" si="19"/>
        <v xml:space="preserve"> </v>
      </c>
      <c r="W83" s="47"/>
      <c r="X83" s="28"/>
    </row>
    <row r="84" spans="1:24" s="12" customFormat="1" ht="18" customHeight="1">
      <c r="A84" s="28"/>
      <c r="B84" s="29"/>
      <c r="C84" s="53">
        <v>2</v>
      </c>
      <c r="D84" s="30" t="s">
        <v>40</v>
      </c>
      <c r="E84" s="52">
        <v>5</v>
      </c>
      <c r="F84" s="51">
        <v>0.05</v>
      </c>
      <c r="G84" s="51">
        <v>-0.05</v>
      </c>
      <c r="H84" s="50" t="s">
        <v>45</v>
      </c>
      <c r="I84" s="33">
        <f t="shared" si="11"/>
        <v>5.05</v>
      </c>
      <c r="J84" s="33">
        <f t="shared" si="12"/>
        <v>4.95</v>
      </c>
      <c r="K84" s="34">
        <v>5.0270000000000001</v>
      </c>
      <c r="L84" s="34">
        <v>5.0270000000000001</v>
      </c>
      <c r="M84" s="34">
        <v>5.0309999999999997</v>
      </c>
      <c r="N84" s="28"/>
      <c r="O84" s="35">
        <f t="shared" si="13"/>
        <v>2.7000000000000135E-2</v>
      </c>
      <c r="P84" s="36">
        <f t="shared" si="14"/>
        <v>2.7000000000000135E-2</v>
      </c>
      <c r="Q84" s="36">
        <f t="shared" si="15"/>
        <v>3.0999999999999694E-2</v>
      </c>
      <c r="R84" s="43">
        <f t="shared" si="16"/>
        <v>5.0283333333333333</v>
      </c>
      <c r="S84" s="44">
        <f t="shared" si="17"/>
        <v>0.61999999999999389</v>
      </c>
      <c r="T84" s="44">
        <f t="shared" si="18"/>
        <v>0</v>
      </c>
      <c r="U84" s="45" t="str">
        <f t="shared" si="0"/>
        <v xml:space="preserve"> </v>
      </c>
      <c r="V84" s="45" t="str">
        <f t="shared" si="19"/>
        <v xml:space="preserve"> </v>
      </c>
      <c r="W84" s="47"/>
      <c r="X84" s="28"/>
    </row>
    <row r="85" spans="1:24" s="12" customFormat="1" ht="18" customHeight="1">
      <c r="A85" s="28"/>
      <c r="B85" s="29"/>
      <c r="C85" s="53">
        <v>3</v>
      </c>
      <c r="D85" s="30" t="s">
        <v>40</v>
      </c>
      <c r="E85" s="52">
        <v>5</v>
      </c>
      <c r="F85" s="51">
        <v>0.05</v>
      </c>
      <c r="G85" s="51">
        <v>-0.05</v>
      </c>
      <c r="H85" s="50" t="s">
        <v>45</v>
      </c>
      <c r="I85" s="33">
        <f t="shared" si="11"/>
        <v>5.05</v>
      </c>
      <c r="J85" s="33">
        <f t="shared" si="12"/>
        <v>4.95</v>
      </c>
      <c r="K85" s="34">
        <v>5.0279999999999996</v>
      </c>
      <c r="L85" s="34">
        <v>5.032</v>
      </c>
      <c r="M85" s="34">
        <v>5.0339999999999998</v>
      </c>
      <c r="N85" s="28"/>
      <c r="O85" s="35">
        <f t="shared" si="13"/>
        <v>2.7999999999999581E-2</v>
      </c>
      <c r="P85" s="36">
        <f t="shared" si="14"/>
        <v>3.2000000000000028E-2</v>
      </c>
      <c r="Q85" s="36">
        <f t="shared" si="15"/>
        <v>3.3999999999999808E-2</v>
      </c>
      <c r="R85" s="43">
        <f t="shared" si="16"/>
        <v>5.0313333333333325</v>
      </c>
      <c r="S85" s="44">
        <f t="shared" si="17"/>
        <v>0.67999999999999616</v>
      </c>
      <c r="T85" s="44">
        <f t="shared" si="18"/>
        <v>0</v>
      </c>
      <c r="U85" s="45" t="str">
        <f t="shared" si="0"/>
        <v>Alert</v>
      </c>
      <c r="V85" s="45" t="str">
        <f t="shared" si="19"/>
        <v xml:space="preserve"> </v>
      </c>
      <c r="W85" s="47"/>
      <c r="X85" s="28"/>
    </row>
    <row r="86" spans="1:24" s="12" customFormat="1" ht="18" customHeight="1">
      <c r="A86" s="28"/>
      <c r="B86" s="49"/>
      <c r="C86" s="53">
        <v>4</v>
      </c>
      <c r="D86" s="30" t="s">
        <v>40</v>
      </c>
      <c r="E86" s="52">
        <v>5</v>
      </c>
      <c r="F86" s="51">
        <v>0.05</v>
      </c>
      <c r="G86" s="51">
        <v>-0.05</v>
      </c>
      <c r="H86" s="50" t="s">
        <v>45</v>
      </c>
      <c r="I86" s="33"/>
      <c r="J86" s="33"/>
      <c r="K86" s="34">
        <v>4.99</v>
      </c>
      <c r="L86" s="34">
        <v>4.9989999999999997</v>
      </c>
      <c r="M86" s="34">
        <v>5.0030000000000001</v>
      </c>
      <c r="N86" s="28"/>
      <c r="O86" s="35">
        <f t="shared" si="13"/>
        <v>-9.9999999999997868E-3</v>
      </c>
      <c r="P86" s="36">
        <f t="shared" si="14"/>
        <v>-1.000000000000334E-3</v>
      </c>
      <c r="Q86" s="36">
        <f t="shared" si="15"/>
        <v>3.0000000000001137E-3</v>
      </c>
      <c r="R86" s="43">
        <f t="shared" si="16"/>
        <v>4.9973333333333336</v>
      </c>
      <c r="S86" s="44">
        <f t="shared" si="17"/>
        <v>6.0000000000002274E-2</v>
      </c>
      <c r="T86" s="44">
        <f t="shared" si="18"/>
        <v>0.19999999999999574</v>
      </c>
      <c r="U86" s="45" t="str">
        <f t="shared" si="0"/>
        <v xml:space="preserve"> </v>
      </c>
      <c r="V86" s="45" t="str">
        <f t="shared" si="19"/>
        <v xml:space="preserve"> </v>
      </c>
      <c r="W86" s="47"/>
      <c r="X86" s="28"/>
    </row>
    <row r="87" spans="1:24" s="12" customFormat="1" ht="18" customHeight="1">
      <c r="A87" s="28"/>
      <c r="B87" s="49">
        <v>42</v>
      </c>
      <c r="C87" s="53" t="s">
        <v>82</v>
      </c>
      <c r="D87" s="30" t="s">
        <v>40</v>
      </c>
      <c r="E87" s="52">
        <v>4</v>
      </c>
      <c r="F87" s="51">
        <v>0.03</v>
      </c>
      <c r="G87" s="51">
        <v>-0.03</v>
      </c>
      <c r="H87" s="50" t="s">
        <v>45</v>
      </c>
      <c r="I87" s="33"/>
      <c r="J87" s="33"/>
      <c r="K87" s="34">
        <v>4.0049999999999999</v>
      </c>
      <c r="L87" s="34">
        <v>4.0060000000000002</v>
      </c>
      <c r="M87" s="34">
        <v>4.0069999999999997</v>
      </c>
      <c r="N87" s="28"/>
      <c r="O87" s="35">
        <f t="shared" si="13"/>
        <v>4.9999999999998934E-3</v>
      </c>
      <c r="P87" s="36">
        <f t="shared" si="14"/>
        <v>6.0000000000002274E-3</v>
      </c>
      <c r="Q87" s="36">
        <f t="shared" si="15"/>
        <v>6.9999999999996732E-3</v>
      </c>
      <c r="R87" s="43">
        <f t="shared" si="16"/>
        <v>4.0059999999999993</v>
      </c>
      <c r="S87" s="44">
        <f t="shared" si="17"/>
        <v>0.23333333333332246</v>
      </c>
      <c r="T87" s="44">
        <f t="shared" si="18"/>
        <v>0</v>
      </c>
      <c r="U87" s="45" t="str">
        <f t="shared" si="0"/>
        <v xml:space="preserve"> </v>
      </c>
      <c r="V87" s="45" t="str">
        <f t="shared" si="19"/>
        <v xml:space="preserve"> </v>
      </c>
      <c r="W87" s="63"/>
      <c r="X87" s="28"/>
    </row>
    <row r="88" spans="1:24" s="12" customFormat="1" ht="18" customHeight="1">
      <c r="A88" s="28"/>
      <c r="B88" s="49"/>
      <c r="C88" s="53" t="s">
        <v>81</v>
      </c>
      <c r="D88" s="30" t="s">
        <v>40</v>
      </c>
      <c r="E88" s="52">
        <v>4</v>
      </c>
      <c r="F88" s="51">
        <v>0.03</v>
      </c>
      <c r="G88" s="51">
        <v>-0.03</v>
      </c>
      <c r="H88" s="50" t="s">
        <v>45</v>
      </c>
      <c r="I88" s="33"/>
      <c r="J88" s="33"/>
      <c r="K88" s="34">
        <v>4.0250000000000004</v>
      </c>
      <c r="L88" s="34">
        <v>4.03</v>
      </c>
      <c r="M88" s="34">
        <v>4.0270000000000001</v>
      </c>
      <c r="N88" s="28"/>
      <c r="O88" s="35">
        <f t="shared" si="13"/>
        <v>2.5000000000000355E-2</v>
      </c>
      <c r="P88" s="36">
        <f t="shared" si="14"/>
        <v>3.0000000000000249E-2</v>
      </c>
      <c r="Q88" s="36">
        <f t="shared" si="15"/>
        <v>2.7000000000000135E-2</v>
      </c>
      <c r="R88" s="43">
        <f t="shared" si="16"/>
        <v>4.0273333333333339</v>
      </c>
      <c r="S88" s="44">
        <f t="shared" si="17"/>
        <v>1.0000000000000084</v>
      </c>
      <c r="T88" s="44">
        <f t="shared" si="18"/>
        <v>0</v>
      </c>
      <c r="U88" s="45" t="str">
        <f t="shared" si="0"/>
        <v>Alert</v>
      </c>
      <c r="V88" s="45" t="str">
        <f t="shared" si="19"/>
        <v xml:space="preserve"> </v>
      </c>
      <c r="W88" s="63"/>
      <c r="X88" s="28"/>
    </row>
    <row r="89" spans="1:24" s="12" customFormat="1" ht="18" customHeight="1">
      <c r="A89" s="28"/>
      <c r="B89" s="29"/>
      <c r="C89" s="53" t="s">
        <v>74</v>
      </c>
      <c r="D89" s="30" t="s">
        <v>40</v>
      </c>
      <c r="E89" s="52">
        <v>4</v>
      </c>
      <c r="F89" s="51">
        <v>0.03</v>
      </c>
      <c r="G89" s="51">
        <v>-0.03</v>
      </c>
      <c r="H89" s="50" t="s">
        <v>45</v>
      </c>
      <c r="I89" s="33"/>
      <c r="J89" s="33"/>
      <c r="K89" s="34">
        <v>4.0250000000000004</v>
      </c>
      <c r="L89" s="34">
        <v>4.0279999999999996</v>
      </c>
      <c r="M89" s="34">
        <v>4.0229999999999997</v>
      </c>
      <c r="N89" s="28"/>
      <c r="O89" s="35">
        <f t="shared" si="13"/>
        <v>2.5000000000000355E-2</v>
      </c>
      <c r="P89" s="36">
        <f t="shared" si="14"/>
        <v>2.7999999999999581E-2</v>
      </c>
      <c r="Q89" s="36">
        <f t="shared" si="15"/>
        <v>2.2999999999999687E-2</v>
      </c>
      <c r="R89" s="43">
        <f t="shared" si="16"/>
        <v>4.0253333333333332</v>
      </c>
      <c r="S89" s="44">
        <f t="shared" si="17"/>
        <v>0.93333333333331936</v>
      </c>
      <c r="T89" s="44">
        <f t="shared" si="18"/>
        <v>0</v>
      </c>
      <c r="U89" s="45" t="str">
        <f t="shared" si="0"/>
        <v>Alert</v>
      </c>
      <c r="V89" s="45" t="str">
        <f t="shared" si="19"/>
        <v xml:space="preserve"> </v>
      </c>
      <c r="W89" s="63"/>
      <c r="X89" s="28"/>
    </row>
    <row r="90" spans="1:24" s="12" customFormat="1" ht="18" customHeight="1">
      <c r="A90" s="28"/>
      <c r="B90" s="29">
        <v>43</v>
      </c>
      <c r="C90" s="56"/>
      <c r="D90" s="30" t="s">
        <v>40</v>
      </c>
      <c r="E90" s="52">
        <v>136.94999999999999</v>
      </c>
      <c r="F90" s="51">
        <v>0.15</v>
      </c>
      <c r="G90" s="51">
        <v>-0.15</v>
      </c>
      <c r="H90" s="50" t="s">
        <v>45</v>
      </c>
      <c r="I90" s="33">
        <f>IF(AND(E90="",F90=""),"",IF(E90="",F90,E90+F90))</f>
        <v>137.1</v>
      </c>
      <c r="J90" s="33">
        <f>IF(AND(E90="",G90=""),"",IF(E90="",G90,E90+G90))</f>
        <v>136.79999999999998</v>
      </c>
      <c r="K90" s="34">
        <v>136.03299999999999</v>
      </c>
      <c r="L90" s="34">
        <v>136.02099999999999</v>
      </c>
      <c r="M90" s="34">
        <v>135.953</v>
      </c>
      <c r="N90" s="28"/>
      <c r="O90" s="35">
        <f t="shared" si="13"/>
        <v>-0.91700000000000159</v>
      </c>
      <c r="P90" s="36">
        <f t="shared" si="14"/>
        <v>-0.92900000000000205</v>
      </c>
      <c r="Q90" s="36">
        <f t="shared" si="15"/>
        <v>-0.99699999999998568</v>
      </c>
      <c r="R90" s="43">
        <f t="shared" si="16"/>
        <v>136.00233333333333</v>
      </c>
      <c r="S90" s="44">
        <f t="shared" si="17"/>
        <v>0</v>
      </c>
      <c r="T90" s="44">
        <f t="shared" si="18"/>
        <v>6.6466666666665715</v>
      </c>
      <c r="U90" s="45" t="str">
        <f t="shared" si="0"/>
        <v xml:space="preserve"> </v>
      </c>
      <c r="V90" s="45" t="str">
        <f t="shared" si="19"/>
        <v>Reject</v>
      </c>
      <c r="W90" s="108" t="s">
        <v>99</v>
      </c>
      <c r="X90" s="28"/>
    </row>
    <row r="91" spans="1:24" s="12" customFormat="1" ht="18" customHeight="1">
      <c r="A91" s="28"/>
      <c r="B91" s="29">
        <v>44</v>
      </c>
      <c r="C91" s="53" t="s">
        <v>68</v>
      </c>
      <c r="D91" s="30" t="s">
        <v>40</v>
      </c>
      <c r="E91" s="52">
        <v>6.02</v>
      </c>
      <c r="F91" s="51">
        <v>0.05</v>
      </c>
      <c r="G91" s="51">
        <v>-0.05</v>
      </c>
      <c r="H91" s="50" t="s">
        <v>45</v>
      </c>
      <c r="I91" s="33">
        <f t="shared" ref="I91:I97" si="20">IF(AND(E91="",F91=""),"",IF(E91="",F91,E91+F91))</f>
        <v>6.0699999999999994</v>
      </c>
      <c r="J91" s="33">
        <f t="shared" ref="J91:J97" si="21">IF(AND(E91="",G91=""),"",IF(E91="",G91,E91+G91))</f>
        <v>5.97</v>
      </c>
      <c r="K91" s="34">
        <v>6.0659999999999998</v>
      </c>
      <c r="L91" s="34">
        <v>6.06</v>
      </c>
      <c r="M91" s="34">
        <v>6.0609999999999999</v>
      </c>
      <c r="N91" s="28"/>
      <c r="O91" s="35">
        <f t="shared" si="13"/>
        <v>4.6000000000000263E-2</v>
      </c>
      <c r="P91" s="36">
        <f t="shared" si="14"/>
        <v>4.0000000000000036E-2</v>
      </c>
      <c r="Q91" s="36">
        <f t="shared" si="15"/>
        <v>4.1000000000000369E-2</v>
      </c>
      <c r="R91" s="43">
        <f t="shared" si="16"/>
        <v>6.0623333333333322</v>
      </c>
      <c r="S91" s="44">
        <f t="shared" si="17"/>
        <v>0.92000000000000526</v>
      </c>
      <c r="T91" s="44">
        <f t="shared" si="18"/>
        <v>0</v>
      </c>
      <c r="U91" s="45" t="str">
        <f t="shared" si="0"/>
        <v>Alert</v>
      </c>
      <c r="V91" s="45" t="str">
        <f t="shared" si="19"/>
        <v xml:space="preserve"> </v>
      </c>
      <c r="W91" s="47"/>
      <c r="X91" s="28"/>
    </row>
    <row r="92" spans="1:24" s="12" customFormat="1" ht="18" customHeight="1">
      <c r="A92" s="28"/>
      <c r="B92" s="29"/>
      <c r="C92" s="53">
        <v>2</v>
      </c>
      <c r="D92" s="30" t="s">
        <v>40</v>
      </c>
      <c r="E92" s="52">
        <v>6.02</v>
      </c>
      <c r="F92" s="51">
        <v>0.05</v>
      </c>
      <c r="G92" s="51">
        <v>-0.05</v>
      </c>
      <c r="H92" s="50" t="s">
        <v>45</v>
      </c>
      <c r="I92" s="33">
        <f t="shared" si="20"/>
        <v>6.0699999999999994</v>
      </c>
      <c r="J92" s="33">
        <f t="shared" si="21"/>
        <v>5.97</v>
      </c>
      <c r="K92" s="34">
        <v>6.08</v>
      </c>
      <c r="L92" s="34">
        <v>6.077</v>
      </c>
      <c r="M92" s="34">
        <v>6.0780000000000003</v>
      </c>
      <c r="N92" s="28"/>
      <c r="O92" s="35">
        <f t="shared" si="13"/>
        <v>6.0000000000000497E-2</v>
      </c>
      <c r="P92" s="36">
        <f t="shared" si="14"/>
        <v>5.7000000000000384E-2</v>
      </c>
      <c r="Q92" s="36">
        <f t="shared" si="15"/>
        <v>5.8000000000000718E-2</v>
      </c>
      <c r="R92" s="43">
        <f t="shared" si="16"/>
        <v>6.0783333333333331</v>
      </c>
      <c r="S92" s="44">
        <f t="shared" si="17"/>
        <v>1.2000000000000099</v>
      </c>
      <c r="T92" s="44">
        <f t="shared" si="18"/>
        <v>0</v>
      </c>
      <c r="U92" s="45" t="str">
        <f t="shared" si="0"/>
        <v>Reject</v>
      </c>
      <c r="V92" s="45" t="str">
        <f t="shared" si="19"/>
        <v xml:space="preserve"> </v>
      </c>
      <c r="W92" s="108" t="s">
        <v>101</v>
      </c>
      <c r="X92" s="28"/>
    </row>
    <row r="93" spans="1:24" s="12" customFormat="1" ht="18" customHeight="1">
      <c r="A93" s="28"/>
      <c r="B93" s="29"/>
      <c r="C93" s="53">
        <v>3</v>
      </c>
      <c r="D93" s="30" t="s">
        <v>40</v>
      </c>
      <c r="E93" s="52">
        <v>6.02</v>
      </c>
      <c r="F93" s="51">
        <v>0.05</v>
      </c>
      <c r="G93" s="51">
        <v>-0.05</v>
      </c>
      <c r="H93" s="50" t="s">
        <v>45</v>
      </c>
      <c r="I93" s="33">
        <f t="shared" si="20"/>
        <v>6.0699999999999994</v>
      </c>
      <c r="J93" s="33">
        <f t="shared" si="21"/>
        <v>5.97</v>
      </c>
      <c r="K93" s="34">
        <v>6.0629999999999997</v>
      </c>
      <c r="L93" s="34">
        <v>6.0640000000000001</v>
      </c>
      <c r="M93" s="34">
        <v>6.0650000000000004</v>
      </c>
      <c r="N93" s="28"/>
      <c r="O93" s="35">
        <f t="shared" si="13"/>
        <v>4.3000000000000149E-2</v>
      </c>
      <c r="P93" s="36">
        <f t="shared" si="14"/>
        <v>4.4000000000000483E-2</v>
      </c>
      <c r="Q93" s="36">
        <f t="shared" si="15"/>
        <v>4.5000000000000817E-2</v>
      </c>
      <c r="R93" s="43">
        <f t="shared" si="16"/>
        <v>6.0640000000000001</v>
      </c>
      <c r="S93" s="44">
        <f t="shared" si="17"/>
        <v>0.90000000000001634</v>
      </c>
      <c r="T93" s="44">
        <f t="shared" si="18"/>
        <v>0</v>
      </c>
      <c r="U93" s="45" t="str">
        <f t="shared" si="0"/>
        <v>Alert</v>
      </c>
      <c r="V93" s="45" t="str">
        <f t="shared" si="19"/>
        <v xml:space="preserve"> </v>
      </c>
      <c r="W93" s="47"/>
      <c r="X93" s="28"/>
    </row>
    <row r="94" spans="1:24" s="12" customFormat="1" ht="18" customHeight="1">
      <c r="A94" s="28"/>
      <c r="B94" s="29"/>
      <c r="C94" s="53" t="s">
        <v>69</v>
      </c>
      <c r="D94" s="30" t="s">
        <v>40</v>
      </c>
      <c r="E94" s="52">
        <v>6.02</v>
      </c>
      <c r="F94" s="51">
        <v>0.05</v>
      </c>
      <c r="G94" s="51">
        <v>-0.05</v>
      </c>
      <c r="H94" s="50" t="s">
        <v>45</v>
      </c>
      <c r="I94" s="33">
        <f t="shared" si="20"/>
        <v>6.0699999999999994</v>
      </c>
      <c r="J94" s="33">
        <f t="shared" si="21"/>
        <v>5.97</v>
      </c>
      <c r="K94" s="34">
        <v>6.15</v>
      </c>
      <c r="L94" s="34">
        <v>6.1420000000000003</v>
      </c>
      <c r="M94" s="34">
        <v>6.1440000000000001</v>
      </c>
      <c r="N94" s="28"/>
      <c r="O94" s="35">
        <f t="shared" si="13"/>
        <v>0.13000000000000078</v>
      </c>
      <c r="P94" s="36">
        <f t="shared" si="14"/>
        <v>0.12200000000000077</v>
      </c>
      <c r="Q94" s="36">
        <f t="shared" si="15"/>
        <v>0.12400000000000055</v>
      </c>
      <c r="R94" s="43">
        <f t="shared" si="16"/>
        <v>6.1453333333333333</v>
      </c>
      <c r="S94" s="44">
        <f t="shared" si="17"/>
        <v>2.6000000000000156</v>
      </c>
      <c r="T94" s="44">
        <f t="shared" si="18"/>
        <v>0</v>
      </c>
      <c r="U94" s="45" t="str">
        <f t="shared" si="0"/>
        <v>Reject</v>
      </c>
      <c r="V94" s="45" t="str">
        <f t="shared" si="19"/>
        <v xml:space="preserve"> </v>
      </c>
      <c r="W94" s="108" t="s">
        <v>101</v>
      </c>
      <c r="X94" s="28"/>
    </row>
    <row r="95" spans="1:24" s="12" customFormat="1" ht="18" customHeight="1">
      <c r="A95" s="28"/>
      <c r="B95" s="29"/>
      <c r="C95" s="53">
        <v>5</v>
      </c>
      <c r="D95" s="30" t="s">
        <v>40</v>
      </c>
      <c r="E95" s="52">
        <v>6.02</v>
      </c>
      <c r="F95" s="51">
        <v>0.05</v>
      </c>
      <c r="G95" s="51">
        <v>-0.05</v>
      </c>
      <c r="H95" s="50" t="s">
        <v>45</v>
      </c>
      <c r="I95" s="33">
        <f t="shared" si="20"/>
        <v>6.0699999999999994</v>
      </c>
      <c r="J95" s="33">
        <f t="shared" si="21"/>
        <v>5.97</v>
      </c>
      <c r="K95" s="34">
        <v>6.17</v>
      </c>
      <c r="L95" s="34">
        <v>6.1680000000000001</v>
      </c>
      <c r="M95" s="34">
        <v>6.1660000000000004</v>
      </c>
      <c r="N95" s="28"/>
      <c r="O95" s="35">
        <f t="shared" si="13"/>
        <v>0.15000000000000036</v>
      </c>
      <c r="P95" s="36">
        <f t="shared" si="14"/>
        <v>0.14800000000000058</v>
      </c>
      <c r="Q95" s="36">
        <f t="shared" si="15"/>
        <v>0.1460000000000008</v>
      </c>
      <c r="R95" s="43">
        <f t="shared" si="16"/>
        <v>6.1680000000000001</v>
      </c>
      <c r="S95" s="44">
        <f t="shared" si="17"/>
        <v>3.0000000000000071</v>
      </c>
      <c r="T95" s="44">
        <f t="shared" si="18"/>
        <v>0</v>
      </c>
      <c r="U95" s="45" t="str">
        <f t="shared" si="0"/>
        <v>Reject</v>
      </c>
      <c r="V95" s="45" t="str">
        <f t="shared" si="19"/>
        <v xml:space="preserve"> </v>
      </c>
      <c r="W95" s="108" t="s">
        <v>101</v>
      </c>
      <c r="X95" s="28"/>
    </row>
    <row r="96" spans="1:24" s="12" customFormat="1" ht="18" customHeight="1">
      <c r="A96" s="28"/>
      <c r="B96" s="29"/>
      <c r="C96" s="53">
        <v>6</v>
      </c>
      <c r="D96" s="30" t="s">
        <v>40</v>
      </c>
      <c r="E96" s="52">
        <v>6.02</v>
      </c>
      <c r="F96" s="51">
        <v>0.05</v>
      </c>
      <c r="G96" s="51">
        <v>-0.05</v>
      </c>
      <c r="H96" s="50" t="s">
        <v>45</v>
      </c>
      <c r="I96" s="33">
        <f t="shared" si="20"/>
        <v>6.0699999999999994</v>
      </c>
      <c r="J96" s="33">
        <f t="shared" si="21"/>
        <v>5.97</v>
      </c>
      <c r="K96" s="34">
        <v>6.1609999999999996</v>
      </c>
      <c r="L96" s="34">
        <v>6.17</v>
      </c>
      <c r="M96" s="34">
        <v>6.1689999999999996</v>
      </c>
      <c r="N96" s="28"/>
      <c r="O96" s="35">
        <f t="shared" si="13"/>
        <v>0.14100000000000001</v>
      </c>
      <c r="P96" s="36">
        <f t="shared" si="14"/>
        <v>0.15000000000000036</v>
      </c>
      <c r="Q96" s="36">
        <f t="shared" si="15"/>
        <v>0.14900000000000002</v>
      </c>
      <c r="R96" s="43">
        <f t="shared" si="16"/>
        <v>6.166666666666667</v>
      </c>
      <c r="S96" s="44">
        <f t="shared" si="17"/>
        <v>3.0000000000000071</v>
      </c>
      <c r="T96" s="44">
        <f t="shared" si="18"/>
        <v>0</v>
      </c>
      <c r="U96" s="45" t="str">
        <f t="shared" si="0"/>
        <v>Reject</v>
      </c>
      <c r="V96" s="45" t="str">
        <f t="shared" si="19"/>
        <v xml:space="preserve"> </v>
      </c>
      <c r="W96" s="108" t="s">
        <v>101</v>
      </c>
      <c r="X96" s="28"/>
    </row>
    <row r="97" spans="1:24" s="12" customFormat="1" ht="18" customHeight="1">
      <c r="A97" s="28"/>
      <c r="B97" s="29">
        <v>46</v>
      </c>
      <c r="C97" s="53" t="s">
        <v>70</v>
      </c>
      <c r="D97" s="30" t="s">
        <v>40</v>
      </c>
      <c r="E97" s="52">
        <v>1.66</v>
      </c>
      <c r="F97" s="51">
        <v>0.03</v>
      </c>
      <c r="G97" s="51">
        <v>-0.03</v>
      </c>
      <c r="H97" s="50" t="s">
        <v>45</v>
      </c>
      <c r="I97" s="33">
        <f t="shared" si="20"/>
        <v>1.69</v>
      </c>
      <c r="J97" s="33">
        <f t="shared" si="21"/>
        <v>1.63</v>
      </c>
      <c r="K97" s="34">
        <v>1.65</v>
      </c>
      <c r="L97" s="34">
        <v>1.6579999999999999</v>
      </c>
      <c r="M97" s="34">
        <v>1.66</v>
      </c>
      <c r="N97" s="28"/>
      <c r="O97" s="35">
        <f t="shared" si="13"/>
        <v>-1.0000000000000009E-2</v>
      </c>
      <c r="P97" s="36">
        <f t="shared" si="14"/>
        <v>-2.0000000000000018E-3</v>
      </c>
      <c r="Q97" s="36">
        <f t="shared" si="15"/>
        <v>0</v>
      </c>
      <c r="R97" s="43">
        <f t="shared" si="16"/>
        <v>1.6559999999999999</v>
      </c>
      <c r="S97" s="44">
        <f t="shared" si="17"/>
        <v>0</v>
      </c>
      <c r="T97" s="44">
        <f t="shared" si="18"/>
        <v>0.33333333333333365</v>
      </c>
      <c r="U97" s="45" t="str">
        <f t="shared" si="0"/>
        <v xml:space="preserve"> </v>
      </c>
      <c r="V97" s="45" t="str">
        <f t="shared" si="19"/>
        <v xml:space="preserve"> </v>
      </c>
      <c r="W97" s="47"/>
      <c r="X97" s="28"/>
    </row>
    <row r="98" spans="1:24" s="12" customFormat="1" ht="18" customHeight="1">
      <c r="A98" s="28"/>
      <c r="B98" s="49"/>
      <c r="C98" s="53" t="s">
        <v>71</v>
      </c>
      <c r="D98" s="30" t="s">
        <v>40</v>
      </c>
      <c r="E98" s="52">
        <v>1.66</v>
      </c>
      <c r="F98" s="51">
        <v>0.03</v>
      </c>
      <c r="G98" s="51">
        <v>-0.03</v>
      </c>
      <c r="H98" s="50" t="s">
        <v>45</v>
      </c>
      <c r="I98" s="33"/>
      <c r="J98" s="33"/>
      <c r="K98" s="34">
        <v>1.653</v>
      </c>
      <c r="L98" s="34">
        <v>1.657</v>
      </c>
      <c r="M98" s="34">
        <v>1.66</v>
      </c>
      <c r="N98" s="28"/>
      <c r="O98" s="35">
        <f t="shared" si="13"/>
        <v>-6.9999999999998952E-3</v>
      </c>
      <c r="P98" s="36">
        <f t="shared" si="14"/>
        <v>-2.9999999999998916E-3</v>
      </c>
      <c r="Q98" s="36">
        <f t="shared" si="15"/>
        <v>0</v>
      </c>
      <c r="R98" s="43">
        <f t="shared" si="16"/>
        <v>1.6566666666666665</v>
      </c>
      <c r="S98" s="44">
        <f t="shared" si="17"/>
        <v>0</v>
      </c>
      <c r="T98" s="44">
        <f t="shared" si="18"/>
        <v>0.23333333333332984</v>
      </c>
      <c r="U98" s="45" t="str">
        <f t="shared" si="0"/>
        <v xml:space="preserve"> </v>
      </c>
      <c r="V98" s="45" t="str">
        <f t="shared" si="19"/>
        <v xml:space="preserve"> </v>
      </c>
      <c r="W98" s="47"/>
      <c r="X98" s="28"/>
    </row>
    <row r="99" spans="1:24" s="12" customFormat="1" ht="18" customHeight="1">
      <c r="A99" s="28"/>
      <c r="B99" s="49"/>
      <c r="C99" s="53" t="s">
        <v>72</v>
      </c>
      <c r="D99" s="30" t="s">
        <v>40</v>
      </c>
      <c r="E99" s="52">
        <v>1.66</v>
      </c>
      <c r="F99" s="51">
        <v>0.03</v>
      </c>
      <c r="G99" s="51">
        <v>-0.03</v>
      </c>
      <c r="H99" s="50" t="s">
        <v>45</v>
      </c>
      <c r="I99" s="33"/>
      <c r="J99" s="33"/>
      <c r="K99" s="34">
        <v>1.68</v>
      </c>
      <c r="L99" s="34">
        <v>1.681</v>
      </c>
      <c r="M99" s="34">
        <v>1.679</v>
      </c>
      <c r="N99" s="28"/>
      <c r="O99" s="35">
        <f t="shared" si="13"/>
        <v>2.0000000000000018E-2</v>
      </c>
      <c r="P99" s="36">
        <f t="shared" si="14"/>
        <v>2.100000000000013E-2</v>
      </c>
      <c r="Q99" s="36">
        <f t="shared" si="15"/>
        <v>1.9000000000000128E-2</v>
      </c>
      <c r="R99" s="43">
        <f t="shared" si="16"/>
        <v>1.68</v>
      </c>
      <c r="S99" s="44">
        <f t="shared" si="17"/>
        <v>0.7000000000000044</v>
      </c>
      <c r="T99" s="44">
        <f t="shared" si="18"/>
        <v>0</v>
      </c>
      <c r="U99" s="45" t="str">
        <f t="shared" si="0"/>
        <v>Alert</v>
      </c>
      <c r="V99" s="45" t="str">
        <f t="shared" si="19"/>
        <v xml:space="preserve"> </v>
      </c>
      <c r="W99" s="47"/>
      <c r="X99" s="28"/>
    </row>
    <row r="100" spans="1:24" s="12" customFormat="1" ht="18" customHeight="1">
      <c r="A100" s="28"/>
      <c r="B100" s="49"/>
      <c r="C100" s="53" t="s">
        <v>71</v>
      </c>
      <c r="D100" s="30" t="s">
        <v>40</v>
      </c>
      <c r="E100" s="52">
        <v>1.66</v>
      </c>
      <c r="F100" s="51">
        <v>0.03</v>
      </c>
      <c r="G100" s="51">
        <v>-0.03</v>
      </c>
      <c r="H100" s="50" t="s">
        <v>45</v>
      </c>
      <c r="I100" s="33"/>
      <c r="J100" s="33"/>
      <c r="K100" s="34">
        <v>1.657</v>
      </c>
      <c r="L100" s="34">
        <v>1.6619999999999999</v>
      </c>
      <c r="M100" s="34">
        <v>1.663</v>
      </c>
      <c r="N100" s="28"/>
      <c r="O100" s="35">
        <f t="shared" si="13"/>
        <v>-2.9999999999998916E-3</v>
      </c>
      <c r="P100" s="36">
        <f t="shared" si="14"/>
        <v>2.0000000000000018E-3</v>
      </c>
      <c r="Q100" s="36">
        <f t="shared" si="15"/>
        <v>3.0000000000001137E-3</v>
      </c>
      <c r="R100" s="43">
        <f t="shared" si="16"/>
        <v>1.6606666666666667</v>
      </c>
      <c r="S100" s="44">
        <f t="shared" si="17"/>
        <v>0.10000000000000379</v>
      </c>
      <c r="T100" s="44">
        <f t="shared" si="18"/>
        <v>9.9999999999996397E-2</v>
      </c>
      <c r="U100" s="45" t="str">
        <f t="shared" si="0"/>
        <v xml:space="preserve"> </v>
      </c>
      <c r="V100" s="45" t="str">
        <f t="shared" si="19"/>
        <v xml:space="preserve"> </v>
      </c>
      <c r="W100" s="47"/>
      <c r="X100" s="28"/>
    </row>
    <row r="101" spans="1:24" s="12" customFormat="1" ht="18" customHeight="1">
      <c r="A101" s="28"/>
      <c r="B101" s="29">
        <v>47</v>
      </c>
      <c r="C101" s="53" t="s">
        <v>83</v>
      </c>
      <c r="D101" s="30" t="s">
        <v>40</v>
      </c>
      <c r="E101" s="52">
        <v>5.08</v>
      </c>
      <c r="F101" s="51">
        <v>0.05</v>
      </c>
      <c r="G101" s="51">
        <v>-0.05</v>
      </c>
      <c r="H101" s="50" t="s">
        <v>45</v>
      </c>
      <c r="I101" s="33">
        <f t="shared" ref="I101:I112" si="22">IF(AND(E101="",F101=""),"",IF(E101="",F101,E101+F101))</f>
        <v>5.13</v>
      </c>
      <c r="J101" s="33">
        <f t="shared" ref="J101:J112" si="23">IF(AND(E101="",G101=""),"",IF(E101="",G101,E101+G101))</f>
        <v>5.03</v>
      </c>
      <c r="K101" s="34">
        <v>5.1120000000000001</v>
      </c>
      <c r="L101" s="34">
        <v>5.1139999999999999</v>
      </c>
      <c r="M101" s="34">
        <v>5.12</v>
      </c>
      <c r="N101" s="28"/>
      <c r="O101" s="35">
        <f t="shared" si="13"/>
        <v>3.2000000000000028E-2</v>
      </c>
      <c r="P101" s="36">
        <f t="shared" si="14"/>
        <v>3.3999999999999808E-2</v>
      </c>
      <c r="Q101" s="36">
        <f t="shared" si="15"/>
        <v>4.0000000000000036E-2</v>
      </c>
      <c r="R101" s="43">
        <f t="shared" si="16"/>
        <v>5.1153333333333331</v>
      </c>
      <c r="S101" s="44">
        <f t="shared" si="17"/>
        <v>0.80000000000000071</v>
      </c>
      <c r="T101" s="44">
        <f t="shared" si="18"/>
        <v>0</v>
      </c>
      <c r="U101" s="45" t="str">
        <f t="shared" si="0"/>
        <v>Alert</v>
      </c>
      <c r="V101" s="45" t="str">
        <f t="shared" si="19"/>
        <v xml:space="preserve"> </v>
      </c>
      <c r="W101" s="47"/>
      <c r="X101" s="28"/>
    </row>
    <row r="102" spans="1:24" s="12" customFormat="1" ht="18" customHeight="1">
      <c r="A102" s="28"/>
      <c r="B102" s="29"/>
      <c r="C102" s="53" t="s">
        <v>81</v>
      </c>
      <c r="D102" s="30" t="s">
        <v>40</v>
      </c>
      <c r="E102" s="52">
        <v>5.08</v>
      </c>
      <c r="F102" s="51">
        <v>0.05</v>
      </c>
      <c r="G102" s="51">
        <v>-0.05</v>
      </c>
      <c r="H102" s="50" t="s">
        <v>45</v>
      </c>
      <c r="I102" s="33">
        <f t="shared" si="22"/>
        <v>5.13</v>
      </c>
      <c r="J102" s="33">
        <f t="shared" si="23"/>
        <v>5.03</v>
      </c>
      <c r="K102" s="34">
        <v>5.1109999999999998</v>
      </c>
      <c r="L102" s="34">
        <v>5.1130000000000004</v>
      </c>
      <c r="M102" s="34">
        <v>5.1159999999999997</v>
      </c>
      <c r="N102" s="28"/>
      <c r="O102" s="35">
        <f t="shared" si="13"/>
        <v>3.0999999999999694E-2</v>
      </c>
      <c r="P102" s="36">
        <f t="shared" si="14"/>
        <v>3.3000000000000362E-2</v>
      </c>
      <c r="Q102" s="36">
        <f t="shared" si="15"/>
        <v>3.5999999999999588E-2</v>
      </c>
      <c r="R102" s="43">
        <f t="shared" si="16"/>
        <v>5.1133333333333333</v>
      </c>
      <c r="S102" s="44">
        <f t="shared" si="17"/>
        <v>0.71999999999999176</v>
      </c>
      <c r="T102" s="44">
        <f t="shared" si="18"/>
        <v>0</v>
      </c>
      <c r="U102" s="45" t="str">
        <f t="shared" si="0"/>
        <v>Alert</v>
      </c>
      <c r="V102" s="45" t="str">
        <f t="shared" si="19"/>
        <v xml:space="preserve"> </v>
      </c>
      <c r="W102" s="47"/>
      <c r="X102" s="28"/>
    </row>
    <row r="103" spans="1:24" s="12" customFormat="1" ht="18" customHeight="1">
      <c r="A103" s="28"/>
      <c r="B103" s="29"/>
      <c r="C103" s="53" t="s">
        <v>74</v>
      </c>
      <c r="D103" s="30" t="s">
        <v>40</v>
      </c>
      <c r="E103" s="52">
        <v>5.08</v>
      </c>
      <c r="F103" s="51">
        <v>0.05</v>
      </c>
      <c r="G103" s="51">
        <v>-0.05</v>
      </c>
      <c r="H103" s="50" t="s">
        <v>45</v>
      </c>
      <c r="I103" s="33">
        <f t="shared" si="22"/>
        <v>5.13</v>
      </c>
      <c r="J103" s="33">
        <f t="shared" si="23"/>
        <v>5.03</v>
      </c>
      <c r="K103" s="34">
        <v>5.1150000000000002</v>
      </c>
      <c r="L103" s="34">
        <v>5.117</v>
      </c>
      <c r="M103" s="34">
        <v>5.1189999999999998</v>
      </c>
      <c r="N103" s="28"/>
      <c r="O103" s="35">
        <f t="shared" si="13"/>
        <v>3.5000000000000142E-2</v>
      </c>
      <c r="P103" s="36">
        <f t="shared" si="14"/>
        <v>3.6999999999999922E-2</v>
      </c>
      <c r="Q103" s="36">
        <f t="shared" si="15"/>
        <v>3.8999999999999702E-2</v>
      </c>
      <c r="R103" s="43">
        <f t="shared" si="16"/>
        <v>5.117</v>
      </c>
      <c r="S103" s="44">
        <f t="shared" si="17"/>
        <v>0.77999999999999403</v>
      </c>
      <c r="T103" s="44">
        <f t="shared" si="18"/>
        <v>0</v>
      </c>
      <c r="U103" s="45" t="str">
        <f t="shared" si="0"/>
        <v>Alert</v>
      </c>
      <c r="V103" s="45" t="str">
        <f t="shared" si="19"/>
        <v xml:space="preserve"> </v>
      </c>
      <c r="W103" s="47"/>
      <c r="X103" s="28"/>
    </row>
    <row r="104" spans="1:24" s="12" customFormat="1" ht="18" customHeight="1">
      <c r="A104" s="28"/>
      <c r="B104" s="29">
        <v>48</v>
      </c>
      <c r="C104" s="53" t="s">
        <v>70</v>
      </c>
      <c r="D104" s="30" t="s">
        <v>40</v>
      </c>
      <c r="E104" s="52">
        <v>3.44</v>
      </c>
      <c r="F104" s="51">
        <v>0.03</v>
      </c>
      <c r="G104" s="51">
        <v>-0.03</v>
      </c>
      <c r="H104" s="50" t="s">
        <v>45</v>
      </c>
      <c r="I104" s="33">
        <f t="shared" si="22"/>
        <v>3.4699999999999998</v>
      </c>
      <c r="J104" s="33">
        <f t="shared" si="23"/>
        <v>3.41</v>
      </c>
      <c r="K104" s="34">
        <v>3.569</v>
      </c>
      <c r="L104" s="34">
        <v>3.5710000000000002</v>
      </c>
      <c r="M104" s="34">
        <v>3.5579999999999998</v>
      </c>
      <c r="N104" s="28"/>
      <c r="O104" s="35">
        <f t="shared" si="13"/>
        <v>0.129</v>
      </c>
      <c r="P104" s="36">
        <f t="shared" si="14"/>
        <v>0.13100000000000023</v>
      </c>
      <c r="Q104" s="36">
        <f t="shared" si="15"/>
        <v>0.11799999999999988</v>
      </c>
      <c r="R104" s="43">
        <f t="shared" si="16"/>
        <v>3.5660000000000003</v>
      </c>
      <c r="S104" s="44">
        <f t="shared" si="17"/>
        <v>4.3666666666666742</v>
      </c>
      <c r="T104" s="44">
        <f t="shared" si="18"/>
        <v>0</v>
      </c>
      <c r="U104" s="45" t="str">
        <f t="shared" si="0"/>
        <v>Reject</v>
      </c>
      <c r="V104" s="45" t="str">
        <f t="shared" si="19"/>
        <v xml:space="preserve"> </v>
      </c>
      <c r="W104" s="108" t="s">
        <v>101</v>
      </c>
      <c r="X104" s="28"/>
    </row>
    <row r="105" spans="1:24" s="12" customFormat="1" ht="18" customHeight="1">
      <c r="A105" s="28"/>
      <c r="B105" s="29"/>
      <c r="C105" s="53" t="s">
        <v>71</v>
      </c>
      <c r="D105" s="30" t="s">
        <v>40</v>
      </c>
      <c r="E105" s="52">
        <v>3.44</v>
      </c>
      <c r="F105" s="51">
        <v>0.03</v>
      </c>
      <c r="G105" s="51">
        <v>-0.03</v>
      </c>
      <c r="H105" s="50" t="s">
        <v>45</v>
      </c>
      <c r="I105" s="33">
        <f t="shared" si="22"/>
        <v>3.4699999999999998</v>
      </c>
      <c r="J105" s="33">
        <f t="shared" si="23"/>
        <v>3.41</v>
      </c>
      <c r="K105" s="34">
        <v>3.58</v>
      </c>
      <c r="L105" s="34">
        <v>3.5819999999999999</v>
      </c>
      <c r="M105" s="34">
        <v>3.577</v>
      </c>
      <c r="N105" s="28"/>
      <c r="O105" s="35">
        <f t="shared" si="13"/>
        <v>0.14000000000000012</v>
      </c>
      <c r="P105" s="36">
        <f t="shared" si="14"/>
        <v>0.1419999999999999</v>
      </c>
      <c r="Q105" s="36">
        <f t="shared" si="15"/>
        <v>0.13700000000000001</v>
      </c>
      <c r="R105" s="43">
        <f t="shared" si="16"/>
        <v>3.5796666666666668</v>
      </c>
      <c r="S105" s="44">
        <f t="shared" si="17"/>
        <v>4.7333333333333307</v>
      </c>
      <c r="T105" s="44">
        <f t="shared" si="18"/>
        <v>0</v>
      </c>
      <c r="U105" s="45" t="str">
        <f t="shared" si="0"/>
        <v>Reject</v>
      </c>
      <c r="V105" s="45" t="str">
        <f t="shared" si="19"/>
        <v xml:space="preserve"> </v>
      </c>
      <c r="W105" s="108" t="s">
        <v>101</v>
      </c>
      <c r="X105" s="28"/>
    </row>
    <row r="106" spans="1:24" s="12" customFormat="1" ht="18" customHeight="1">
      <c r="A106" s="28"/>
      <c r="B106" s="29"/>
      <c r="C106" s="53" t="s">
        <v>72</v>
      </c>
      <c r="D106" s="30" t="s">
        <v>40</v>
      </c>
      <c r="E106" s="52">
        <v>3.44</v>
      </c>
      <c r="F106" s="51">
        <v>0.03</v>
      </c>
      <c r="G106" s="51">
        <v>-0.03</v>
      </c>
      <c r="H106" s="50" t="s">
        <v>45</v>
      </c>
      <c r="I106" s="33">
        <f t="shared" si="22"/>
        <v>3.4699999999999998</v>
      </c>
      <c r="J106" s="33">
        <f t="shared" si="23"/>
        <v>3.41</v>
      </c>
      <c r="K106" s="34">
        <v>3.645</v>
      </c>
      <c r="L106" s="34">
        <v>3.6309999999999998</v>
      </c>
      <c r="M106" s="34">
        <v>3.6339999999999999</v>
      </c>
      <c r="N106" s="28"/>
      <c r="O106" s="35">
        <f t="shared" si="13"/>
        <v>0.20500000000000007</v>
      </c>
      <c r="P106" s="36">
        <f t="shared" si="14"/>
        <v>0.19099999999999984</v>
      </c>
      <c r="Q106" s="36">
        <f t="shared" si="15"/>
        <v>0.19399999999999995</v>
      </c>
      <c r="R106" s="43">
        <f t="shared" si="16"/>
        <v>3.6366666666666667</v>
      </c>
      <c r="S106" s="44">
        <f t="shared" si="17"/>
        <v>6.8333333333333357</v>
      </c>
      <c r="T106" s="44">
        <f t="shared" si="18"/>
        <v>0</v>
      </c>
      <c r="U106" s="45" t="str">
        <f t="shared" si="0"/>
        <v>Reject</v>
      </c>
      <c r="V106" s="45" t="str">
        <f t="shared" si="19"/>
        <v xml:space="preserve"> </v>
      </c>
      <c r="W106" s="108" t="s">
        <v>101</v>
      </c>
      <c r="X106" s="28"/>
    </row>
    <row r="107" spans="1:24" s="12" customFormat="1" ht="18" customHeight="1">
      <c r="A107" s="28"/>
      <c r="B107" s="29"/>
      <c r="C107" s="53" t="s">
        <v>71</v>
      </c>
      <c r="D107" s="30" t="s">
        <v>40</v>
      </c>
      <c r="E107" s="52">
        <v>3.44</v>
      </c>
      <c r="F107" s="51">
        <v>0.03</v>
      </c>
      <c r="G107" s="51">
        <v>-0.03</v>
      </c>
      <c r="H107" s="50" t="s">
        <v>45</v>
      </c>
      <c r="I107" s="33">
        <f t="shared" si="22"/>
        <v>3.4699999999999998</v>
      </c>
      <c r="J107" s="33">
        <f t="shared" si="23"/>
        <v>3.41</v>
      </c>
      <c r="K107" s="34">
        <v>3.657</v>
      </c>
      <c r="L107" s="34">
        <v>3.641</v>
      </c>
      <c r="M107" s="34">
        <v>3.645</v>
      </c>
      <c r="N107" s="28"/>
      <c r="O107" s="35">
        <f t="shared" si="13"/>
        <v>0.21700000000000008</v>
      </c>
      <c r="P107" s="36">
        <f t="shared" si="14"/>
        <v>0.20100000000000007</v>
      </c>
      <c r="Q107" s="36">
        <f t="shared" si="15"/>
        <v>0.20500000000000007</v>
      </c>
      <c r="R107" s="43">
        <f t="shared" si="16"/>
        <v>3.6476666666666664</v>
      </c>
      <c r="S107" s="44">
        <f t="shared" si="17"/>
        <v>7.2333333333333361</v>
      </c>
      <c r="T107" s="44">
        <f t="shared" si="18"/>
        <v>0</v>
      </c>
      <c r="U107" s="45" t="str">
        <f t="shared" si="0"/>
        <v>Reject</v>
      </c>
      <c r="V107" s="45" t="str">
        <f t="shared" si="19"/>
        <v xml:space="preserve"> </v>
      </c>
      <c r="W107" s="108" t="s">
        <v>101</v>
      </c>
      <c r="X107" s="28"/>
    </row>
    <row r="108" spans="1:24" s="12" customFormat="1" ht="18" customHeight="1">
      <c r="A108" s="28"/>
      <c r="B108" s="29">
        <v>49</v>
      </c>
      <c r="C108" s="53" t="s">
        <v>73</v>
      </c>
      <c r="D108" s="30" t="s">
        <v>40</v>
      </c>
      <c r="E108" s="52">
        <v>7.47</v>
      </c>
      <c r="F108" s="51">
        <v>0.05</v>
      </c>
      <c r="G108" s="51">
        <v>-0.05</v>
      </c>
      <c r="H108" s="50" t="s">
        <v>45</v>
      </c>
      <c r="I108" s="33">
        <f t="shared" si="22"/>
        <v>7.52</v>
      </c>
      <c r="J108" s="33">
        <f t="shared" si="23"/>
        <v>7.42</v>
      </c>
      <c r="K108" s="34">
        <v>7.3760000000000003</v>
      </c>
      <c r="L108" s="34">
        <v>7.3860000000000001</v>
      </c>
      <c r="M108" s="34">
        <v>7.39</v>
      </c>
      <c r="N108" s="28"/>
      <c r="O108" s="35">
        <f t="shared" si="13"/>
        <v>-9.3999999999999417E-2</v>
      </c>
      <c r="P108" s="36">
        <f t="shared" si="14"/>
        <v>-8.3999999999999631E-2</v>
      </c>
      <c r="Q108" s="36">
        <f t="shared" si="15"/>
        <v>-8.0000000000000071E-2</v>
      </c>
      <c r="R108" s="43">
        <f t="shared" si="16"/>
        <v>7.3840000000000003</v>
      </c>
      <c r="S108" s="44">
        <f t="shared" si="17"/>
        <v>0</v>
      </c>
      <c r="T108" s="44">
        <f t="shared" si="18"/>
        <v>1.8799999999999883</v>
      </c>
      <c r="U108" s="45" t="str">
        <f t="shared" si="0"/>
        <v xml:space="preserve"> </v>
      </c>
      <c r="V108" s="45" t="str">
        <f t="shared" si="19"/>
        <v>Reject</v>
      </c>
      <c r="W108" s="108" t="s">
        <v>101</v>
      </c>
      <c r="X108" s="28"/>
    </row>
    <row r="109" spans="1:24" s="12" customFormat="1" ht="18" customHeight="1">
      <c r="A109" s="28"/>
      <c r="B109" s="29"/>
      <c r="C109" s="53" t="s">
        <v>74</v>
      </c>
      <c r="D109" s="30" t="s">
        <v>40</v>
      </c>
      <c r="E109" s="52">
        <v>7.47</v>
      </c>
      <c r="F109" s="51">
        <v>0.05</v>
      </c>
      <c r="G109" s="51">
        <v>-0.05</v>
      </c>
      <c r="H109" s="50" t="s">
        <v>45</v>
      </c>
      <c r="I109" s="33">
        <f t="shared" si="22"/>
        <v>7.52</v>
      </c>
      <c r="J109" s="33">
        <f t="shared" si="23"/>
        <v>7.42</v>
      </c>
      <c r="K109" s="34">
        <v>7.298</v>
      </c>
      <c r="L109" s="34">
        <v>7.3040000000000003</v>
      </c>
      <c r="M109" s="34">
        <v>7.3049999999999997</v>
      </c>
      <c r="N109" s="28"/>
      <c r="O109" s="35">
        <f t="shared" si="13"/>
        <v>-0.17199999999999971</v>
      </c>
      <c r="P109" s="36">
        <f t="shared" si="14"/>
        <v>-0.16599999999999948</v>
      </c>
      <c r="Q109" s="36">
        <f t="shared" si="15"/>
        <v>-0.16500000000000004</v>
      </c>
      <c r="R109" s="43">
        <f t="shared" si="16"/>
        <v>7.3023333333333333</v>
      </c>
      <c r="S109" s="44">
        <f t="shared" si="17"/>
        <v>0</v>
      </c>
      <c r="T109" s="44">
        <f t="shared" si="18"/>
        <v>3.4399999999999942</v>
      </c>
      <c r="U109" s="45" t="str">
        <f t="shared" ref="U109:U180" si="24">IF(ISNUMBER($S109)=TRUE,IF($S109&gt;0.651,IF($S109&gt;1.001,"Reject","Alert")," ")," ")</f>
        <v xml:space="preserve"> </v>
      </c>
      <c r="V109" s="45" t="str">
        <f t="shared" si="19"/>
        <v>Reject</v>
      </c>
      <c r="W109" s="108" t="s">
        <v>101</v>
      </c>
      <c r="X109" s="28"/>
    </row>
    <row r="110" spans="1:24" s="12" customFormat="1" ht="18" customHeight="1">
      <c r="A110" s="28"/>
      <c r="B110" s="29">
        <v>50</v>
      </c>
      <c r="C110" s="53" t="s">
        <v>73</v>
      </c>
      <c r="D110" s="30" t="s">
        <v>40</v>
      </c>
      <c r="E110" s="52">
        <v>34.47</v>
      </c>
      <c r="F110" s="51">
        <v>0.05</v>
      </c>
      <c r="G110" s="51">
        <v>-0.05</v>
      </c>
      <c r="H110" s="50" t="s">
        <v>45</v>
      </c>
      <c r="I110" s="33">
        <f t="shared" si="22"/>
        <v>34.519999999999996</v>
      </c>
      <c r="J110" s="33">
        <f t="shared" si="23"/>
        <v>34.42</v>
      </c>
      <c r="K110" s="34">
        <v>34.405000000000001</v>
      </c>
      <c r="L110" s="34">
        <v>34.411000000000001</v>
      </c>
      <c r="M110" s="34">
        <v>34.402999999999999</v>
      </c>
      <c r="N110" s="28"/>
      <c r="O110" s="35">
        <f t="shared" si="13"/>
        <v>-6.4999999999997726E-2</v>
      </c>
      <c r="P110" s="36">
        <f t="shared" si="14"/>
        <v>-5.8999999999997499E-2</v>
      </c>
      <c r="Q110" s="36">
        <f t="shared" si="15"/>
        <v>-6.7000000000000171E-2</v>
      </c>
      <c r="R110" s="43">
        <f t="shared" si="16"/>
        <v>34.406333333333329</v>
      </c>
      <c r="S110" s="44">
        <f t="shared" si="17"/>
        <v>0</v>
      </c>
      <c r="T110" s="44">
        <f t="shared" si="18"/>
        <v>1.3400000000000034</v>
      </c>
      <c r="U110" s="45" t="str">
        <f t="shared" si="24"/>
        <v xml:space="preserve"> </v>
      </c>
      <c r="V110" s="45" t="str">
        <f t="shared" si="19"/>
        <v>Reject</v>
      </c>
      <c r="W110" s="108" t="s">
        <v>101</v>
      </c>
      <c r="X110" s="28"/>
    </row>
    <row r="111" spans="1:24" s="12" customFormat="1" ht="18" customHeight="1">
      <c r="A111" s="28"/>
      <c r="B111" s="49"/>
      <c r="C111" s="53" t="s">
        <v>74</v>
      </c>
      <c r="D111" s="30" t="s">
        <v>40</v>
      </c>
      <c r="E111" s="52">
        <v>34.47</v>
      </c>
      <c r="F111" s="51">
        <v>0.05</v>
      </c>
      <c r="G111" s="51">
        <v>-0.05</v>
      </c>
      <c r="H111" s="50" t="s">
        <v>45</v>
      </c>
      <c r="I111" s="33">
        <f t="shared" si="22"/>
        <v>34.519999999999996</v>
      </c>
      <c r="J111" s="33">
        <f t="shared" si="23"/>
        <v>34.42</v>
      </c>
      <c r="K111" s="34">
        <v>34.311999999999998</v>
      </c>
      <c r="L111" s="34">
        <v>34.320999999999998</v>
      </c>
      <c r="M111" s="34">
        <v>34.329000000000001</v>
      </c>
      <c r="N111" s="28"/>
      <c r="O111" s="35">
        <f t="shared" si="13"/>
        <v>-0.15800000000000125</v>
      </c>
      <c r="P111" s="36">
        <f t="shared" si="14"/>
        <v>-0.14900000000000091</v>
      </c>
      <c r="Q111" s="36">
        <f t="shared" si="15"/>
        <v>-0.14099999999999824</v>
      </c>
      <c r="R111" s="43">
        <f t="shared" si="16"/>
        <v>34.320666666666661</v>
      </c>
      <c r="S111" s="44">
        <f t="shared" si="17"/>
        <v>0</v>
      </c>
      <c r="T111" s="44">
        <f t="shared" si="18"/>
        <v>3.160000000000025</v>
      </c>
      <c r="U111" s="45" t="str">
        <f t="shared" si="24"/>
        <v xml:space="preserve"> </v>
      </c>
      <c r="V111" s="45" t="str">
        <f t="shared" si="19"/>
        <v>Reject</v>
      </c>
      <c r="W111" s="108" t="s">
        <v>101</v>
      </c>
      <c r="X111" s="28"/>
    </row>
    <row r="112" spans="1:24" s="12" customFormat="1" ht="18" customHeight="1">
      <c r="A112" s="28"/>
      <c r="B112" s="49">
        <v>51</v>
      </c>
      <c r="C112" s="53" t="s">
        <v>73</v>
      </c>
      <c r="D112" s="30" t="s">
        <v>40</v>
      </c>
      <c r="E112" s="52">
        <v>20.86</v>
      </c>
      <c r="F112" s="51">
        <v>0.05</v>
      </c>
      <c r="G112" s="51">
        <v>-0.05</v>
      </c>
      <c r="H112" s="50" t="s">
        <v>45</v>
      </c>
      <c r="I112" s="33">
        <f t="shared" si="22"/>
        <v>20.91</v>
      </c>
      <c r="J112" s="33">
        <f t="shared" si="23"/>
        <v>20.81</v>
      </c>
      <c r="K112" s="34">
        <v>20.702000000000002</v>
      </c>
      <c r="L112" s="34">
        <v>20.710999999999999</v>
      </c>
      <c r="M112" s="34">
        <v>20.716000000000001</v>
      </c>
      <c r="N112" s="28"/>
      <c r="O112" s="35">
        <f t="shared" si="13"/>
        <v>-0.1579999999999977</v>
      </c>
      <c r="P112" s="36">
        <f t="shared" si="14"/>
        <v>-0.14900000000000091</v>
      </c>
      <c r="Q112" s="36">
        <f t="shared" si="15"/>
        <v>-0.14399999999999835</v>
      </c>
      <c r="R112" s="43">
        <f t="shared" si="16"/>
        <v>20.709666666666667</v>
      </c>
      <c r="S112" s="44">
        <f t="shared" si="17"/>
        <v>0</v>
      </c>
      <c r="T112" s="44">
        <f t="shared" si="18"/>
        <v>3.159999999999954</v>
      </c>
      <c r="U112" s="45" t="str">
        <f t="shared" si="24"/>
        <v xml:space="preserve"> </v>
      </c>
      <c r="V112" s="45" t="str">
        <f t="shared" si="19"/>
        <v>Reject</v>
      </c>
      <c r="W112" s="108" t="s">
        <v>101</v>
      </c>
      <c r="X112" s="28"/>
    </row>
    <row r="113" spans="1:24" s="12" customFormat="1" ht="18" customHeight="1">
      <c r="A113" s="28"/>
      <c r="B113" s="49"/>
      <c r="C113" s="53" t="s">
        <v>74</v>
      </c>
      <c r="D113" s="30" t="s">
        <v>40</v>
      </c>
      <c r="E113" s="52">
        <v>20.86</v>
      </c>
      <c r="F113" s="51">
        <v>0.05</v>
      </c>
      <c r="G113" s="51">
        <v>-0.05</v>
      </c>
      <c r="H113" s="50" t="s">
        <v>45</v>
      </c>
      <c r="I113" s="33">
        <f t="shared" ref="I113:I124" si="25">IF(AND(E113="",F113=""),"",IF(E113="",F113,E113+F113))</f>
        <v>20.91</v>
      </c>
      <c r="J113" s="33">
        <f t="shared" ref="J113:J124" si="26">IF(AND(E113="",G113=""),"",IF(E113="",G113,E113+G113))</f>
        <v>20.81</v>
      </c>
      <c r="K113" s="34">
        <v>20.638000000000002</v>
      </c>
      <c r="L113" s="34">
        <v>20.643999999999998</v>
      </c>
      <c r="M113" s="34">
        <v>20.648</v>
      </c>
      <c r="N113" s="28"/>
      <c r="O113" s="35">
        <f t="shared" si="13"/>
        <v>-0.22199999999999775</v>
      </c>
      <c r="P113" s="36">
        <f t="shared" si="14"/>
        <v>-0.21600000000000108</v>
      </c>
      <c r="Q113" s="36">
        <f t="shared" si="15"/>
        <v>-0.21199999999999974</v>
      </c>
      <c r="R113" s="43">
        <f t="shared" si="16"/>
        <v>20.643333333333331</v>
      </c>
      <c r="S113" s="44">
        <f>IF(ISERR(F113/F113)=TRUE," ",IF(ISERR(K113/K113)=TRUE," ",IF(ISNUMBER($K113)=FALSE," ",IF(MAX($K113:$M113)&lt;$E113,0,(MAX($K113:$M113)-$E113)/$F113))))</f>
        <v>0</v>
      </c>
      <c r="T113" s="44">
        <f t="shared" si="18"/>
        <v>4.4399999999999551</v>
      </c>
      <c r="U113" s="45" t="str">
        <f t="shared" si="24"/>
        <v xml:space="preserve"> </v>
      </c>
      <c r="V113" s="45" t="str">
        <f t="shared" si="19"/>
        <v>Reject</v>
      </c>
      <c r="W113" s="108" t="s">
        <v>101</v>
      </c>
      <c r="X113" s="28"/>
    </row>
    <row r="114" spans="1:24" s="12" customFormat="1" ht="18" customHeight="1">
      <c r="A114" s="28"/>
      <c r="B114" s="49">
        <v>52</v>
      </c>
      <c r="C114" s="53" t="s">
        <v>73</v>
      </c>
      <c r="D114" s="30" t="s">
        <v>40</v>
      </c>
      <c r="E114" s="52">
        <v>20.86</v>
      </c>
      <c r="F114" s="51">
        <v>0.05</v>
      </c>
      <c r="G114" s="51">
        <v>-0.05</v>
      </c>
      <c r="H114" s="50" t="s">
        <v>45</v>
      </c>
      <c r="I114" s="33">
        <f t="shared" si="25"/>
        <v>20.91</v>
      </c>
      <c r="J114" s="33">
        <f t="shared" si="26"/>
        <v>20.81</v>
      </c>
      <c r="K114" s="34">
        <v>20.702000000000002</v>
      </c>
      <c r="L114" s="34">
        <v>20.710999999999999</v>
      </c>
      <c r="M114" s="34">
        <v>20.716000000000001</v>
      </c>
      <c r="N114" s="28"/>
      <c r="O114" s="35">
        <f t="shared" si="13"/>
        <v>-0.1579999999999977</v>
      </c>
      <c r="P114" s="36">
        <f t="shared" si="14"/>
        <v>-0.14900000000000091</v>
      </c>
      <c r="Q114" s="36">
        <f t="shared" si="15"/>
        <v>-0.14399999999999835</v>
      </c>
      <c r="R114" s="43">
        <f t="shared" si="16"/>
        <v>20.709666666666667</v>
      </c>
      <c r="S114" s="44">
        <f>IF(ISERR(F114/F114)=TRUE," ",IF(ISERR(K114/K114)=TRUE," ",IF(ISNUMBER($K114)=FALSE," ",IF(MAX($K114:$M114)&lt;$E114,0,(MAX($K114:$M114)-$E114)/$F114))))</f>
        <v>0</v>
      </c>
      <c r="T114" s="44">
        <f t="shared" si="18"/>
        <v>3.159999999999954</v>
      </c>
      <c r="U114" s="45" t="str">
        <f t="shared" si="24"/>
        <v xml:space="preserve"> </v>
      </c>
      <c r="V114" s="45" t="str">
        <f t="shared" si="19"/>
        <v>Reject</v>
      </c>
      <c r="W114" s="108" t="s">
        <v>101</v>
      </c>
      <c r="X114" s="28"/>
    </row>
    <row r="115" spans="1:24" s="12" customFormat="1" ht="18" customHeight="1">
      <c r="A115" s="28"/>
      <c r="B115" s="49"/>
      <c r="C115" s="53" t="s">
        <v>74</v>
      </c>
      <c r="D115" s="30" t="s">
        <v>40</v>
      </c>
      <c r="E115" s="52">
        <v>20.86</v>
      </c>
      <c r="F115" s="51">
        <v>0.05</v>
      </c>
      <c r="G115" s="51">
        <v>-0.05</v>
      </c>
      <c r="H115" s="50" t="s">
        <v>45</v>
      </c>
      <c r="I115" s="33">
        <f t="shared" si="25"/>
        <v>20.91</v>
      </c>
      <c r="J115" s="33">
        <f t="shared" si="26"/>
        <v>20.81</v>
      </c>
      <c r="K115" s="34">
        <v>20.638000000000002</v>
      </c>
      <c r="L115" s="34">
        <v>20.643999999999998</v>
      </c>
      <c r="M115" s="34">
        <v>20.648</v>
      </c>
      <c r="N115" s="28"/>
      <c r="O115" s="35">
        <f t="shared" si="13"/>
        <v>-0.22199999999999775</v>
      </c>
      <c r="P115" s="36">
        <f t="shared" si="14"/>
        <v>-0.21600000000000108</v>
      </c>
      <c r="Q115" s="36">
        <f t="shared" si="15"/>
        <v>-0.21199999999999974</v>
      </c>
      <c r="R115" s="43">
        <f t="shared" si="16"/>
        <v>20.643333333333331</v>
      </c>
      <c r="S115" s="44">
        <f t="shared" ref="S115:S176" si="27">IF(ISERR(F115/F115)=TRUE," ",IF(ISERR(K115/K115)=TRUE," ",IF(ISNUMBER($K115)=FALSE," ",IF(MAX($K115:$M115)&lt;$E115,0,(MAX($K115:$M115)-$E115)/$F115))))</f>
        <v>0</v>
      </c>
      <c r="T115" s="44">
        <f t="shared" ref="T115:T176" si="28">IF(ISERR(G115/E115)=TRUE," ",IF(ISERR(G115/G115)=TRUE," ",IF(ISERR(K115/K115)=TRUE," ",IF(ISNUMBER(K115)=FALSE," ",IF(MIN(K115:M115)&gt;$E115,0,($E115-MIN(K115:M115))/-G115)))))</f>
        <v>4.4399999999999551</v>
      </c>
      <c r="U115" s="45" t="str">
        <f t="shared" si="24"/>
        <v xml:space="preserve"> </v>
      </c>
      <c r="V115" s="45" t="str">
        <f t="shared" ref="V115:V176" si="29">IF(K115="","",IF(ISERR(G115/G115)=TRUE," ",IF(ISERR(G115/E115)=TRUE,IF((G115-MIN(K115:M115))&gt;0.001,"Reject",""),IF(ISNUMBER($T115)=TRUE,IF($T115&gt;0.651,IF($T115&gt;1.001,"Reject","Alert")," ")," "))))</f>
        <v>Reject</v>
      </c>
      <c r="W115" s="108" t="s">
        <v>101</v>
      </c>
      <c r="X115" s="28"/>
    </row>
    <row r="116" spans="1:24" s="12" customFormat="1" ht="18" customHeight="1">
      <c r="A116" s="28"/>
      <c r="B116" s="49">
        <v>53</v>
      </c>
      <c r="C116" s="53" t="s">
        <v>73</v>
      </c>
      <c r="D116" s="30" t="s">
        <v>40</v>
      </c>
      <c r="E116" s="52">
        <v>13.51</v>
      </c>
      <c r="F116" s="51">
        <v>0.05</v>
      </c>
      <c r="G116" s="51">
        <v>-0.05</v>
      </c>
      <c r="H116" s="50" t="s">
        <v>45</v>
      </c>
      <c r="I116" s="33">
        <f t="shared" si="25"/>
        <v>13.56</v>
      </c>
      <c r="J116" s="33">
        <f t="shared" si="26"/>
        <v>13.459999999999999</v>
      </c>
      <c r="K116" s="34">
        <v>13.61</v>
      </c>
      <c r="L116" s="34">
        <v>13.606999999999999</v>
      </c>
      <c r="M116" s="34">
        <v>13.598000000000001</v>
      </c>
      <c r="N116" s="28"/>
      <c r="O116" s="35">
        <f t="shared" si="13"/>
        <v>9.9999999999999645E-2</v>
      </c>
      <c r="P116" s="36">
        <f t="shared" si="14"/>
        <v>9.6999999999999531E-2</v>
      </c>
      <c r="Q116" s="36">
        <f t="shared" si="15"/>
        <v>8.8000000000000966E-2</v>
      </c>
      <c r="R116" s="43">
        <f t="shared" si="16"/>
        <v>13.604999999999999</v>
      </c>
      <c r="S116" s="44">
        <f t="shared" si="27"/>
        <v>1.9999999999999929</v>
      </c>
      <c r="T116" s="44">
        <f t="shared" si="28"/>
        <v>0</v>
      </c>
      <c r="U116" s="45" t="str">
        <f t="shared" si="24"/>
        <v>Reject</v>
      </c>
      <c r="V116" s="45" t="str">
        <f t="shared" si="29"/>
        <v xml:space="preserve"> </v>
      </c>
      <c r="W116" s="108" t="s">
        <v>101</v>
      </c>
      <c r="X116" s="28"/>
    </row>
    <row r="117" spans="1:24" s="12" customFormat="1" ht="18" customHeight="1">
      <c r="A117" s="28"/>
      <c r="B117" s="49"/>
      <c r="C117" s="53" t="s">
        <v>74</v>
      </c>
      <c r="D117" s="30" t="s">
        <v>40</v>
      </c>
      <c r="E117" s="52">
        <v>13.51</v>
      </c>
      <c r="F117" s="51">
        <v>0.05</v>
      </c>
      <c r="G117" s="51">
        <v>-0.05</v>
      </c>
      <c r="H117" s="50" t="s">
        <v>45</v>
      </c>
      <c r="I117" s="33">
        <f t="shared" si="25"/>
        <v>13.56</v>
      </c>
      <c r="J117" s="33">
        <f t="shared" si="26"/>
        <v>13.459999999999999</v>
      </c>
      <c r="K117" s="34">
        <v>13.675000000000001</v>
      </c>
      <c r="L117" s="34">
        <v>13.661</v>
      </c>
      <c r="M117" s="34">
        <v>13.682</v>
      </c>
      <c r="N117" s="28"/>
      <c r="O117" s="35">
        <f t="shared" si="13"/>
        <v>0.16500000000000092</v>
      </c>
      <c r="P117" s="36">
        <f t="shared" si="14"/>
        <v>0.1509999999999998</v>
      </c>
      <c r="Q117" s="36">
        <f t="shared" si="15"/>
        <v>0.1720000000000006</v>
      </c>
      <c r="R117" s="43">
        <f t="shared" si="16"/>
        <v>13.672666666666666</v>
      </c>
      <c r="S117" s="44">
        <f t="shared" si="27"/>
        <v>3.4400000000000119</v>
      </c>
      <c r="T117" s="44">
        <f t="shared" si="28"/>
        <v>0</v>
      </c>
      <c r="U117" s="45" t="str">
        <f t="shared" si="24"/>
        <v>Reject</v>
      </c>
      <c r="V117" s="45" t="str">
        <f t="shared" si="29"/>
        <v xml:space="preserve"> </v>
      </c>
      <c r="W117" s="108" t="s">
        <v>101</v>
      </c>
      <c r="X117" s="28"/>
    </row>
    <row r="118" spans="1:24" s="12" customFormat="1" ht="18" customHeight="1">
      <c r="A118" s="28"/>
      <c r="B118" s="49">
        <v>54</v>
      </c>
      <c r="C118" s="53" t="s">
        <v>73</v>
      </c>
      <c r="D118" s="30" t="s">
        <v>40</v>
      </c>
      <c r="E118" s="52">
        <v>5.71</v>
      </c>
      <c r="F118" s="51">
        <v>0.05</v>
      </c>
      <c r="G118" s="51">
        <v>-0.05</v>
      </c>
      <c r="H118" s="50" t="s">
        <v>45</v>
      </c>
      <c r="I118" s="33">
        <f t="shared" si="25"/>
        <v>5.76</v>
      </c>
      <c r="J118" s="33">
        <f t="shared" si="26"/>
        <v>5.66</v>
      </c>
      <c r="K118" s="34">
        <v>5.74</v>
      </c>
      <c r="L118" s="34">
        <v>5.7460000000000004</v>
      </c>
      <c r="M118" s="34">
        <v>5.7430000000000003</v>
      </c>
      <c r="N118" s="28"/>
      <c r="O118" s="35">
        <f t="shared" si="13"/>
        <v>3.0000000000000249E-2</v>
      </c>
      <c r="P118" s="36">
        <f t="shared" si="14"/>
        <v>3.6000000000000476E-2</v>
      </c>
      <c r="Q118" s="36">
        <f t="shared" si="15"/>
        <v>3.3000000000000362E-2</v>
      </c>
      <c r="R118" s="43">
        <f t="shared" si="16"/>
        <v>5.7429999999999994</v>
      </c>
      <c r="S118" s="44">
        <f t="shared" si="27"/>
        <v>0.72000000000000952</v>
      </c>
      <c r="T118" s="44">
        <f t="shared" si="28"/>
        <v>0</v>
      </c>
      <c r="U118" s="45" t="str">
        <f t="shared" si="24"/>
        <v>Alert</v>
      </c>
      <c r="V118" s="45" t="str">
        <f t="shared" si="29"/>
        <v xml:space="preserve"> </v>
      </c>
      <c r="W118" s="47"/>
      <c r="X118" s="28"/>
    </row>
    <row r="119" spans="1:24" s="12" customFormat="1" ht="18" customHeight="1">
      <c r="A119" s="28"/>
      <c r="B119" s="49"/>
      <c r="C119" s="53" t="s">
        <v>81</v>
      </c>
      <c r="D119" s="30" t="s">
        <v>40</v>
      </c>
      <c r="E119" s="52">
        <v>5.71</v>
      </c>
      <c r="F119" s="51">
        <v>0.05</v>
      </c>
      <c r="G119" s="51">
        <v>-0.05</v>
      </c>
      <c r="H119" s="50" t="s">
        <v>45</v>
      </c>
      <c r="I119" s="33">
        <f t="shared" si="25"/>
        <v>5.76</v>
      </c>
      <c r="J119" s="33">
        <f t="shared" si="26"/>
        <v>5.66</v>
      </c>
      <c r="K119" s="34">
        <v>5.76</v>
      </c>
      <c r="L119" s="34">
        <v>5.76</v>
      </c>
      <c r="M119" s="34">
        <v>5.7539999999999996</v>
      </c>
      <c r="N119" s="28"/>
      <c r="O119" s="35">
        <f t="shared" si="13"/>
        <v>4.9999999999999822E-2</v>
      </c>
      <c r="P119" s="36">
        <f t="shared" si="14"/>
        <v>4.9999999999999822E-2</v>
      </c>
      <c r="Q119" s="36">
        <f t="shared" si="15"/>
        <v>4.3999999999999595E-2</v>
      </c>
      <c r="R119" s="43">
        <f t="shared" si="16"/>
        <v>5.758</v>
      </c>
      <c r="S119" s="44">
        <f t="shared" si="27"/>
        <v>0.99999999999999645</v>
      </c>
      <c r="T119" s="44">
        <f t="shared" si="28"/>
        <v>0</v>
      </c>
      <c r="U119" s="45" t="str">
        <f t="shared" si="24"/>
        <v>Alert</v>
      </c>
      <c r="V119" s="45" t="str">
        <f t="shared" si="29"/>
        <v xml:space="preserve"> </v>
      </c>
      <c r="W119" s="47"/>
      <c r="X119" s="28"/>
    </row>
    <row r="120" spans="1:24" s="12" customFormat="1" ht="18" customHeight="1">
      <c r="A120" s="28"/>
      <c r="B120" s="49"/>
      <c r="C120" s="53" t="s">
        <v>74</v>
      </c>
      <c r="D120" s="30" t="s">
        <v>40</v>
      </c>
      <c r="E120" s="52">
        <v>5.71</v>
      </c>
      <c r="F120" s="51">
        <v>0.05</v>
      </c>
      <c r="G120" s="51">
        <v>-0.05</v>
      </c>
      <c r="H120" s="50" t="s">
        <v>45</v>
      </c>
      <c r="I120" s="33">
        <f t="shared" si="25"/>
        <v>5.76</v>
      </c>
      <c r="J120" s="33">
        <f t="shared" si="26"/>
        <v>5.66</v>
      </c>
      <c r="K120" s="34">
        <v>5.7279999999999998</v>
      </c>
      <c r="L120" s="34">
        <v>5.73</v>
      </c>
      <c r="M120" s="34">
        <v>5.7290000000000001</v>
      </c>
      <c r="N120" s="28"/>
      <c r="O120" s="35">
        <f t="shared" si="13"/>
        <v>1.7999999999999794E-2</v>
      </c>
      <c r="P120" s="36">
        <f t="shared" si="14"/>
        <v>2.0000000000000462E-2</v>
      </c>
      <c r="Q120" s="36">
        <f t="shared" si="15"/>
        <v>1.9000000000000128E-2</v>
      </c>
      <c r="R120" s="43">
        <f t="shared" si="16"/>
        <v>5.7290000000000001</v>
      </c>
      <c r="S120" s="44">
        <f t="shared" si="27"/>
        <v>0.40000000000000924</v>
      </c>
      <c r="T120" s="44">
        <f t="shared" si="28"/>
        <v>0</v>
      </c>
      <c r="U120" s="45" t="str">
        <f t="shared" si="24"/>
        <v xml:space="preserve"> </v>
      </c>
      <c r="V120" s="45" t="str">
        <f t="shared" si="29"/>
        <v xml:space="preserve"> </v>
      </c>
      <c r="W120" s="47"/>
      <c r="X120" s="28"/>
    </row>
    <row r="121" spans="1:24" s="12" customFormat="1" ht="18" customHeight="1">
      <c r="A121" s="28"/>
      <c r="B121" s="49">
        <v>55</v>
      </c>
      <c r="C121" s="56"/>
      <c r="D121" s="30" t="s">
        <v>40</v>
      </c>
      <c r="E121" s="52">
        <v>2.86</v>
      </c>
      <c r="F121" s="51">
        <v>0.03</v>
      </c>
      <c r="G121" s="51">
        <v>-0.03</v>
      </c>
      <c r="H121" s="50" t="s">
        <v>45</v>
      </c>
      <c r="I121" s="33">
        <f t="shared" si="25"/>
        <v>2.8899999999999997</v>
      </c>
      <c r="J121" s="33">
        <f t="shared" si="26"/>
        <v>2.83</v>
      </c>
      <c r="K121" s="34">
        <v>2.87</v>
      </c>
      <c r="L121" s="34">
        <v>2.8740000000000001</v>
      </c>
      <c r="M121" s="34">
        <v>2.88</v>
      </c>
      <c r="N121" s="28"/>
      <c r="O121" s="35">
        <f t="shared" si="13"/>
        <v>1.0000000000000231E-2</v>
      </c>
      <c r="P121" s="36">
        <f t="shared" si="14"/>
        <v>1.4000000000000234E-2</v>
      </c>
      <c r="Q121" s="36">
        <f t="shared" si="15"/>
        <v>2.0000000000000018E-2</v>
      </c>
      <c r="R121" s="43">
        <f t="shared" si="16"/>
        <v>2.8746666666666663</v>
      </c>
      <c r="S121" s="44">
        <f t="shared" si="27"/>
        <v>0.6666666666666673</v>
      </c>
      <c r="T121" s="44">
        <f t="shared" si="28"/>
        <v>0</v>
      </c>
      <c r="U121" s="45" t="str">
        <f t="shared" si="24"/>
        <v>Alert</v>
      </c>
      <c r="V121" s="45" t="str">
        <f t="shared" si="29"/>
        <v xml:space="preserve"> </v>
      </c>
      <c r="W121" s="47"/>
      <c r="X121" s="28"/>
    </row>
    <row r="122" spans="1:24" s="12" customFormat="1" ht="18" customHeight="1">
      <c r="A122" s="28"/>
      <c r="B122" s="49">
        <v>57</v>
      </c>
      <c r="C122" s="56"/>
      <c r="D122" s="30" t="s">
        <v>40</v>
      </c>
      <c r="E122" s="52">
        <v>32.97</v>
      </c>
      <c r="F122" s="51">
        <v>0.06</v>
      </c>
      <c r="G122" s="51">
        <v>-0.06</v>
      </c>
      <c r="H122" s="50" t="s">
        <v>45</v>
      </c>
      <c r="I122" s="33">
        <f t="shared" si="25"/>
        <v>33.03</v>
      </c>
      <c r="J122" s="33">
        <f t="shared" si="26"/>
        <v>32.909999999999997</v>
      </c>
      <c r="K122" s="34">
        <v>33.174999999999997</v>
      </c>
      <c r="L122" s="34">
        <v>33.121000000000002</v>
      </c>
      <c r="M122" s="34">
        <v>33.204000000000001</v>
      </c>
      <c r="N122" s="28"/>
      <c r="O122" s="35">
        <f t="shared" si="13"/>
        <v>0.20499999999999829</v>
      </c>
      <c r="P122" s="36">
        <f t="shared" si="14"/>
        <v>0.15100000000000335</v>
      </c>
      <c r="Q122" s="36">
        <f t="shared" si="15"/>
        <v>0.23400000000000176</v>
      </c>
      <c r="R122" s="43">
        <f t="shared" si="16"/>
        <v>33.166666666666664</v>
      </c>
      <c r="S122" s="44">
        <f t="shared" si="27"/>
        <v>3.9000000000000297</v>
      </c>
      <c r="T122" s="44">
        <f t="shared" si="28"/>
        <v>0</v>
      </c>
      <c r="U122" s="45" t="str">
        <f t="shared" si="24"/>
        <v>Reject</v>
      </c>
      <c r="V122" s="45" t="str">
        <f t="shared" si="29"/>
        <v xml:space="preserve"> </v>
      </c>
      <c r="W122" s="108" t="s">
        <v>99</v>
      </c>
      <c r="X122" s="28"/>
    </row>
    <row r="123" spans="1:24" s="12" customFormat="1" ht="18" customHeight="1">
      <c r="A123" s="28"/>
      <c r="B123" s="49">
        <v>58</v>
      </c>
      <c r="C123" s="53" t="s">
        <v>73</v>
      </c>
      <c r="D123" s="30" t="s">
        <v>40</v>
      </c>
      <c r="E123" s="52">
        <v>7.32</v>
      </c>
      <c r="F123" s="51">
        <v>0.05</v>
      </c>
      <c r="G123" s="51">
        <v>-0.05</v>
      </c>
      <c r="H123" s="50" t="s">
        <v>45</v>
      </c>
      <c r="I123" s="33">
        <f t="shared" si="25"/>
        <v>7.37</v>
      </c>
      <c r="J123" s="33">
        <f t="shared" si="26"/>
        <v>7.2700000000000005</v>
      </c>
      <c r="K123" s="34">
        <v>7.3520000000000003</v>
      </c>
      <c r="L123" s="34">
        <v>7.36</v>
      </c>
      <c r="M123" s="34">
        <v>7.3579999999999997</v>
      </c>
      <c r="N123" s="28"/>
      <c r="O123" s="35">
        <f t="shared" si="13"/>
        <v>3.2000000000000028E-2</v>
      </c>
      <c r="P123" s="36">
        <f t="shared" si="14"/>
        <v>4.0000000000000036E-2</v>
      </c>
      <c r="Q123" s="36">
        <f t="shared" si="15"/>
        <v>3.7999999999999368E-2</v>
      </c>
      <c r="R123" s="43">
        <f t="shared" si="16"/>
        <v>7.3566666666666665</v>
      </c>
      <c r="S123" s="44">
        <f t="shared" si="27"/>
        <v>0.80000000000000071</v>
      </c>
      <c r="T123" s="44">
        <f t="shared" si="28"/>
        <v>0</v>
      </c>
      <c r="U123" s="45" t="str">
        <f t="shared" si="24"/>
        <v>Alert</v>
      </c>
      <c r="V123" s="45" t="str">
        <f t="shared" si="29"/>
        <v xml:space="preserve"> </v>
      </c>
      <c r="W123" s="47"/>
      <c r="X123" s="28"/>
    </row>
    <row r="124" spans="1:24" s="12" customFormat="1" ht="18" customHeight="1">
      <c r="A124" s="28"/>
      <c r="B124" s="49"/>
      <c r="C124" s="53" t="s">
        <v>74</v>
      </c>
      <c r="D124" s="30" t="s">
        <v>40</v>
      </c>
      <c r="E124" s="52">
        <v>7.32</v>
      </c>
      <c r="F124" s="51">
        <v>0.05</v>
      </c>
      <c r="G124" s="51">
        <v>-0.05</v>
      </c>
      <c r="H124" s="50" t="s">
        <v>45</v>
      </c>
      <c r="I124" s="33">
        <f t="shared" si="25"/>
        <v>7.37</v>
      </c>
      <c r="J124" s="33">
        <f t="shared" si="26"/>
        <v>7.2700000000000005</v>
      </c>
      <c r="K124" s="34">
        <v>7.29</v>
      </c>
      <c r="L124" s="34">
        <v>7.2960000000000003</v>
      </c>
      <c r="M124" s="34">
        <v>7.3040000000000003</v>
      </c>
      <c r="N124" s="28"/>
      <c r="O124" s="35">
        <f t="shared" si="13"/>
        <v>-3.0000000000000249E-2</v>
      </c>
      <c r="P124" s="36">
        <f t="shared" si="14"/>
        <v>-2.4000000000000021E-2</v>
      </c>
      <c r="Q124" s="36">
        <f t="shared" si="15"/>
        <v>-1.6000000000000014E-2</v>
      </c>
      <c r="R124" s="43">
        <f t="shared" si="16"/>
        <v>7.2966666666666669</v>
      </c>
      <c r="S124" s="44">
        <f t="shared" si="27"/>
        <v>0</v>
      </c>
      <c r="T124" s="44">
        <f t="shared" si="28"/>
        <v>0.60000000000000497</v>
      </c>
      <c r="U124" s="45" t="str">
        <f t="shared" si="24"/>
        <v xml:space="preserve"> </v>
      </c>
      <c r="V124" s="45" t="str">
        <f t="shared" si="29"/>
        <v xml:space="preserve"> </v>
      </c>
      <c r="W124" s="47"/>
      <c r="X124" s="28"/>
    </row>
    <row r="125" spans="1:24" s="12" customFormat="1" ht="18" customHeight="1">
      <c r="A125" s="28"/>
      <c r="B125" s="49">
        <v>61</v>
      </c>
      <c r="C125" s="53" t="s">
        <v>73</v>
      </c>
      <c r="D125" s="30" t="s">
        <v>40</v>
      </c>
      <c r="E125" s="52">
        <v>80.84</v>
      </c>
      <c r="F125" s="51">
        <v>0.1</v>
      </c>
      <c r="G125" s="51">
        <v>-0.1</v>
      </c>
      <c r="H125" s="50" t="s">
        <v>45</v>
      </c>
      <c r="I125" s="33">
        <f t="shared" ref="I125:I171" si="30">IF(AND(E125="",F125=""),"",IF(E125="",F125,E125+F125))</f>
        <v>80.94</v>
      </c>
      <c r="J125" s="33">
        <f t="shared" ref="J125:J171" si="31">IF(AND(E125="",G125=""),"",IF(E125="",G125,E125+G125))</f>
        <v>80.740000000000009</v>
      </c>
      <c r="K125" s="34">
        <v>81.055000000000007</v>
      </c>
      <c r="L125" s="34">
        <v>81.066000000000003</v>
      </c>
      <c r="M125" s="34">
        <v>81.070999999999998</v>
      </c>
      <c r="N125" s="28"/>
      <c r="O125" s="35">
        <f t="shared" si="13"/>
        <v>0.21500000000000341</v>
      </c>
      <c r="P125" s="36">
        <f t="shared" si="14"/>
        <v>0.22599999999999909</v>
      </c>
      <c r="Q125" s="36">
        <f t="shared" si="15"/>
        <v>0.23099999999999454</v>
      </c>
      <c r="R125" s="43">
        <f t="shared" si="16"/>
        <v>81.064000000000007</v>
      </c>
      <c r="S125" s="44">
        <f t="shared" si="27"/>
        <v>2.3099999999999454</v>
      </c>
      <c r="T125" s="44">
        <f t="shared" si="28"/>
        <v>0</v>
      </c>
      <c r="U125" s="45" t="str">
        <f t="shared" si="24"/>
        <v>Reject</v>
      </c>
      <c r="V125" s="45" t="str">
        <f t="shared" si="29"/>
        <v xml:space="preserve"> </v>
      </c>
      <c r="W125" s="108" t="s">
        <v>93</v>
      </c>
      <c r="X125" s="28"/>
    </row>
    <row r="126" spans="1:24" s="12" customFormat="1" ht="18" customHeight="1">
      <c r="A126" s="28"/>
      <c r="B126" s="49"/>
      <c r="C126" s="53" t="s">
        <v>74</v>
      </c>
      <c r="D126" s="30" t="s">
        <v>40</v>
      </c>
      <c r="E126" s="52">
        <v>80.84</v>
      </c>
      <c r="F126" s="51">
        <v>0.1</v>
      </c>
      <c r="G126" s="51">
        <v>-0.1</v>
      </c>
      <c r="H126" s="50" t="s">
        <v>45</v>
      </c>
      <c r="I126" s="33">
        <f t="shared" si="30"/>
        <v>80.94</v>
      </c>
      <c r="J126" s="33">
        <f t="shared" si="31"/>
        <v>80.740000000000009</v>
      </c>
      <c r="K126" s="34">
        <v>81.033000000000001</v>
      </c>
      <c r="L126" s="34">
        <v>81.043999999999997</v>
      </c>
      <c r="M126" s="34">
        <v>81.05</v>
      </c>
      <c r="N126" s="28"/>
      <c r="O126" s="35">
        <f t="shared" si="13"/>
        <v>0.19299999999999784</v>
      </c>
      <c r="P126" s="36">
        <f t="shared" si="14"/>
        <v>0.20399999999999352</v>
      </c>
      <c r="Q126" s="36">
        <f t="shared" si="15"/>
        <v>0.20999999999999375</v>
      </c>
      <c r="R126" s="43">
        <f t="shared" si="16"/>
        <v>81.042333333333332</v>
      </c>
      <c r="S126" s="44">
        <f t="shared" si="27"/>
        <v>2.0999999999999375</v>
      </c>
      <c r="T126" s="44">
        <f t="shared" si="28"/>
        <v>0</v>
      </c>
      <c r="U126" s="45" t="str">
        <f t="shared" si="24"/>
        <v>Reject</v>
      </c>
      <c r="V126" s="45" t="str">
        <f t="shared" si="29"/>
        <v xml:space="preserve"> </v>
      </c>
      <c r="W126" s="108" t="s">
        <v>93</v>
      </c>
      <c r="X126" s="28"/>
    </row>
    <row r="127" spans="1:24" s="12" customFormat="1" ht="18" customHeight="1">
      <c r="A127" s="28"/>
      <c r="B127" s="49">
        <v>62</v>
      </c>
      <c r="C127" s="53" t="s">
        <v>76</v>
      </c>
      <c r="D127" s="30" t="s">
        <v>40</v>
      </c>
      <c r="E127" s="52">
        <v>1.1100000000000001</v>
      </c>
      <c r="F127" s="51">
        <v>0.03</v>
      </c>
      <c r="G127" s="51">
        <v>-0.03</v>
      </c>
      <c r="H127" s="50" t="s">
        <v>45</v>
      </c>
      <c r="I127" s="33">
        <f t="shared" si="30"/>
        <v>1.1400000000000001</v>
      </c>
      <c r="J127" s="33">
        <f t="shared" si="31"/>
        <v>1.08</v>
      </c>
      <c r="K127" s="34">
        <v>1.0509999999999999</v>
      </c>
      <c r="L127" s="34">
        <v>1.052</v>
      </c>
      <c r="M127" s="34">
        <v>1.054</v>
      </c>
      <c r="N127" s="28"/>
      <c r="O127" s="35">
        <f t="shared" si="13"/>
        <v>-5.9000000000000163E-2</v>
      </c>
      <c r="P127" s="36">
        <f t="shared" si="14"/>
        <v>-5.8000000000000052E-2</v>
      </c>
      <c r="Q127" s="36">
        <f t="shared" si="15"/>
        <v>-5.600000000000005E-2</v>
      </c>
      <c r="R127" s="43">
        <f t="shared" si="16"/>
        <v>1.0523333333333333</v>
      </c>
      <c r="S127" s="44">
        <f t="shared" si="27"/>
        <v>0</v>
      </c>
      <c r="T127" s="44">
        <f t="shared" si="28"/>
        <v>1.9666666666666721</v>
      </c>
      <c r="U127" s="45" t="str">
        <f t="shared" si="24"/>
        <v xml:space="preserve"> </v>
      </c>
      <c r="V127" s="45" t="str">
        <f t="shared" si="29"/>
        <v>Reject</v>
      </c>
      <c r="W127" s="109" t="s">
        <v>102</v>
      </c>
      <c r="X127" s="28"/>
    </row>
    <row r="128" spans="1:24" s="12" customFormat="1" ht="18" customHeight="1">
      <c r="A128" s="28"/>
      <c r="B128" s="49">
        <v>63</v>
      </c>
      <c r="C128" s="56"/>
      <c r="D128" s="30" t="s">
        <v>40</v>
      </c>
      <c r="E128" s="52">
        <v>5.91</v>
      </c>
      <c r="F128" s="51">
        <v>0.05</v>
      </c>
      <c r="G128" s="51">
        <v>-0.05</v>
      </c>
      <c r="H128" s="50" t="s">
        <v>45</v>
      </c>
      <c r="I128" s="33">
        <f t="shared" si="30"/>
        <v>5.96</v>
      </c>
      <c r="J128" s="33">
        <f t="shared" si="31"/>
        <v>5.86</v>
      </c>
      <c r="K128" s="34">
        <v>5.95</v>
      </c>
      <c r="L128" s="34">
        <v>5.9509999999999996</v>
      </c>
      <c r="M128" s="34">
        <v>5.9480000000000004</v>
      </c>
      <c r="N128" s="28"/>
      <c r="O128" s="35">
        <f t="shared" si="13"/>
        <v>4.0000000000000036E-2</v>
      </c>
      <c r="P128" s="36">
        <f t="shared" si="14"/>
        <v>4.0999999999999481E-2</v>
      </c>
      <c r="Q128" s="36">
        <f t="shared" si="15"/>
        <v>3.8000000000000256E-2</v>
      </c>
      <c r="R128" s="43">
        <f t="shared" si="16"/>
        <v>5.9496666666666664</v>
      </c>
      <c r="S128" s="44">
        <f t="shared" si="27"/>
        <v>0.81999999999998963</v>
      </c>
      <c r="T128" s="44">
        <f t="shared" si="28"/>
        <v>0</v>
      </c>
      <c r="U128" s="45" t="str">
        <f t="shared" si="24"/>
        <v>Alert</v>
      </c>
      <c r="V128" s="45" t="str">
        <f t="shared" si="29"/>
        <v xml:space="preserve"> </v>
      </c>
      <c r="W128" s="47"/>
      <c r="X128" s="28"/>
    </row>
    <row r="129" spans="1:24" s="12" customFormat="1" ht="18" customHeight="1">
      <c r="A129" s="28"/>
      <c r="B129" s="49">
        <v>64</v>
      </c>
      <c r="C129" s="53" t="s">
        <v>73</v>
      </c>
      <c r="D129" s="30" t="s">
        <v>40</v>
      </c>
      <c r="E129" s="52">
        <v>2.14</v>
      </c>
      <c r="F129" s="51">
        <v>0.03</v>
      </c>
      <c r="G129" s="51">
        <v>-0.03</v>
      </c>
      <c r="H129" s="50" t="s">
        <v>45</v>
      </c>
      <c r="I129" s="33">
        <f t="shared" si="30"/>
        <v>2.17</v>
      </c>
      <c r="J129" s="33">
        <f t="shared" si="31"/>
        <v>2.1100000000000003</v>
      </c>
      <c r="K129" s="34">
        <v>2.1309999999999998</v>
      </c>
      <c r="L129" s="34">
        <v>2.1360000000000001</v>
      </c>
      <c r="M129" s="34">
        <v>2.137</v>
      </c>
      <c r="N129" s="28"/>
      <c r="O129" s="35">
        <f t="shared" si="13"/>
        <v>-9.0000000000003411E-3</v>
      </c>
      <c r="P129" s="36">
        <f t="shared" si="14"/>
        <v>-4.0000000000000036E-3</v>
      </c>
      <c r="Q129" s="36">
        <f t="shared" si="15"/>
        <v>-3.0000000000001137E-3</v>
      </c>
      <c r="R129" s="43">
        <f t="shared" si="16"/>
        <v>2.1346666666666665</v>
      </c>
      <c r="S129" s="44">
        <f t="shared" si="27"/>
        <v>0</v>
      </c>
      <c r="T129" s="44">
        <f t="shared" si="28"/>
        <v>0.30000000000001137</v>
      </c>
      <c r="U129" s="45" t="str">
        <f t="shared" si="24"/>
        <v xml:space="preserve"> </v>
      </c>
      <c r="V129" s="45" t="str">
        <f t="shared" si="29"/>
        <v xml:space="preserve"> </v>
      </c>
      <c r="W129" s="47"/>
      <c r="X129" s="28"/>
    </row>
    <row r="130" spans="1:24" s="12" customFormat="1" ht="18" customHeight="1">
      <c r="A130" s="28"/>
      <c r="B130" s="49"/>
      <c r="C130" s="53" t="s">
        <v>81</v>
      </c>
      <c r="D130" s="30" t="s">
        <v>40</v>
      </c>
      <c r="E130" s="52">
        <v>2.14</v>
      </c>
      <c r="F130" s="51">
        <v>0.03</v>
      </c>
      <c r="G130" s="51">
        <v>-0.03</v>
      </c>
      <c r="H130" s="50" t="s">
        <v>45</v>
      </c>
      <c r="I130" s="33">
        <f t="shared" si="30"/>
        <v>2.17</v>
      </c>
      <c r="J130" s="33">
        <f t="shared" si="31"/>
        <v>2.1100000000000003</v>
      </c>
      <c r="K130" s="34">
        <v>2.16</v>
      </c>
      <c r="L130" s="34">
        <v>2.1549999999999998</v>
      </c>
      <c r="M130" s="34">
        <v>2.1640000000000001</v>
      </c>
      <c r="N130" s="28"/>
      <c r="O130" s="35">
        <f t="shared" si="13"/>
        <v>2.0000000000000018E-2</v>
      </c>
      <c r="P130" s="36">
        <f t="shared" si="14"/>
        <v>1.499999999999968E-2</v>
      </c>
      <c r="Q130" s="36">
        <f t="shared" si="15"/>
        <v>2.4000000000000021E-2</v>
      </c>
      <c r="R130" s="43">
        <f t="shared" si="16"/>
        <v>2.1596666666666664</v>
      </c>
      <c r="S130" s="44">
        <f t="shared" si="27"/>
        <v>0.80000000000000071</v>
      </c>
      <c r="T130" s="44">
        <f t="shared" si="28"/>
        <v>0</v>
      </c>
      <c r="U130" s="45" t="str">
        <f t="shared" si="24"/>
        <v>Alert</v>
      </c>
      <c r="V130" s="45" t="str">
        <f t="shared" si="29"/>
        <v xml:space="preserve"> </v>
      </c>
      <c r="W130" s="47"/>
      <c r="X130" s="28"/>
    </row>
    <row r="131" spans="1:24" s="12" customFormat="1" ht="18" customHeight="1">
      <c r="A131" s="28"/>
      <c r="B131" s="49"/>
      <c r="C131" s="53" t="s">
        <v>74</v>
      </c>
      <c r="D131" s="30" t="s">
        <v>40</v>
      </c>
      <c r="E131" s="52">
        <v>2.14</v>
      </c>
      <c r="F131" s="51">
        <v>0.03</v>
      </c>
      <c r="G131" s="51">
        <v>-0.03</v>
      </c>
      <c r="H131" s="50" t="s">
        <v>45</v>
      </c>
      <c r="I131" s="33">
        <f t="shared" si="30"/>
        <v>2.17</v>
      </c>
      <c r="J131" s="33">
        <f t="shared" si="31"/>
        <v>2.1100000000000003</v>
      </c>
      <c r="K131" s="34">
        <v>2.1469999999999998</v>
      </c>
      <c r="L131" s="34">
        <v>2.1509999999999998</v>
      </c>
      <c r="M131" s="34">
        <v>2.1440000000000001</v>
      </c>
      <c r="N131" s="28"/>
      <c r="O131" s="35">
        <f t="shared" ref="O131:O180" si="32">IF(ISERR(K131/K131)=TRUE," ",K131-$E131)</f>
        <v>6.9999999999996732E-3</v>
      </c>
      <c r="P131" s="36">
        <f t="shared" ref="P131:P180" si="33">IF(ISERR(L131/L131)=TRUE," ",L131-$E131)</f>
        <v>1.0999999999999677E-2</v>
      </c>
      <c r="Q131" s="36">
        <f t="shared" ref="Q131:Q180" si="34">IF(ISERR(M131/M131)=TRUE," ",M131-$E131)</f>
        <v>4.0000000000000036E-3</v>
      </c>
      <c r="R131" s="43">
        <f t="shared" ref="R131:R180" si="35">IF(ISERR(K131/K131)=TRUE," ",AVERAGE(K131:M131))</f>
        <v>2.1473333333333335</v>
      </c>
      <c r="S131" s="44">
        <f t="shared" si="27"/>
        <v>0.36666666666665593</v>
      </c>
      <c r="T131" s="44">
        <f t="shared" si="28"/>
        <v>0</v>
      </c>
      <c r="U131" s="45" t="str">
        <f t="shared" si="24"/>
        <v xml:space="preserve"> </v>
      </c>
      <c r="V131" s="45" t="str">
        <f t="shared" si="29"/>
        <v xml:space="preserve"> </v>
      </c>
      <c r="W131" s="47"/>
      <c r="X131" s="28"/>
    </row>
    <row r="132" spans="1:24" s="12" customFormat="1" ht="18" customHeight="1">
      <c r="A132" s="28"/>
      <c r="B132" s="49">
        <v>65</v>
      </c>
      <c r="C132" s="53" t="s">
        <v>73</v>
      </c>
      <c r="D132" s="30" t="s">
        <v>40</v>
      </c>
      <c r="E132" s="52">
        <v>1.91</v>
      </c>
      <c r="F132" s="51">
        <v>0.03</v>
      </c>
      <c r="G132" s="51">
        <v>-0.03</v>
      </c>
      <c r="H132" s="50" t="s">
        <v>45</v>
      </c>
      <c r="I132" s="33">
        <f t="shared" si="30"/>
        <v>1.94</v>
      </c>
      <c r="J132" s="33">
        <f t="shared" si="31"/>
        <v>1.88</v>
      </c>
      <c r="K132" s="34">
        <v>1.9239999999999999</v>
      </c>
      <c r="L132" s="34">
        <v>1.931</v>
      </c>
      <c r="M132" s="34">
        <v>1.9279999999999999</v>
      </c>
      <c r="N132" s="28"/>
      <c r="O132" s="35">
        <f t="shared" si="32"/>
        <v>1.4000000000000012E-2</v>
      </c>
      <c r="P132" s="36">
        <f t="shared" si="33"/>
        <v>2.100000000000013E-2</v>
      </c>
      <c r="Q132" s="36">
        <f t="shared" si="34"/>
        <v>1.8000000000000016E-2</v>
      </c>
      <c r="R132" s="43">
        <f t="shared" si="35"/>
        <v>1.9276666666666664</v>
      </c>
      <c r="S132" s="44">
        <f t="shared" si="27"/>
        <v>0.7000000000000044</v>
      </c>
      <c r="T132" s="44">
        <f t="shared" si="28"/>
        <v>0</v>
      </c>
      <c r="U132" s="45" t="str">
        <f t="shared" si="24"/>
        <v>Alert</v>
      </c>
      <c r="V132" s="45" t="str">
        <f t="shared" si="29"/>
        <v xml:space="preserve"> </v>
      </c>
      <c r="W132" s="47"/>
      <c r="X132" s="28"/>
    </row>
    <row r="133" spans="1:24" s="12" customFormat="1" ht="18" customHeight="1">
      <c r="A133" s="28"/>
      <c r="B133" s="49"/>
      <c r="C133" s="53" t="s">
        <v>81</v>
      </c>
      <c r="D133" s="30" t="s">
        <v>40</v>
      </c>
      <c r="E133" s="52">
        <v>1.91</v>
      </c>
      <c r="F133" s="51">
        <v>0.03</v>
      </c>
      <c r="G133" s="51">
        <v>-0.03</v>
      </c>
      <c r="H133" s="50" t="s">
        <v>45</v>
      </c>
      <c r="I133" s="33">
        <f t="shared" si="30"/>
        <v>1.94</v>
      </c>
      <c r="J133" s="33">
        <f t="shared" si="31"/>
        <v>1.88</v>
      </c>
      <c r="K133" s="34">
        <v>1.94</v>
      </c>
      <c r="L133" s="34">
        <v>1.9350000000000001</v>
      </c>
      <c r="M133" s="34">
        <v>1.9339999999999999</v>
      </c>
      <c r="N133" s="28"/>
      <c r="O133" s="35">
        <f t="shared" si="32"/>
        <v>3.0000000000000027E-2</v>
      </c>
      <c r="P133" s="36">
        <f t="shared" si="33"/>
        <v>2.5000000000000133E-2</v>
      </c>
      <c r="Q133" s="36">
        <f t="shared" si="34"/>
        <v>2.4000000000000021E-2</v>
      </c>
      <c r="R133" s="43">
        <f t="shared" si="35"/>
        <v>1.9363333333333335</v>
      </c>
      <c r="S133" s="44">
        <f t="shared" si="27"/>
        <v>1.0000000000000009</v>
      </c>
      <c r="T133" s="44">
        <f t="shared" si="28"/>
        <v>0</v>
      </c>
      <c r="U133" s="45" t="str">
        <f t="shared" si="24"/>
        <v>Alert</v>
      </c>
      <c r="V133" s="45" t="str">
        <f t="shared" si="29"/>
        <v xml:space="preserve"> </v>
      </c>
      <c r="W133" s="47"/>
      <c r="X133" s="28"/>
    </row>
    <row r="134" spans="1:24" s="12" customFormat="1" ht="18" customHeight="1">
      <c r="A134" s="28"/>
      <c r="B134" s="49"/>
      <c r="C134" s="53" t="s">
        <v>74</v>
      </c>
      <c r="D134" s="30" t="s">
        <v>40</v>
      </c>
      <c r="E134" s="52">
        <v>1.91</v>
      </c>
      <c r="F134" s="51">
        <v>0.03</v>
      </c>
      <c r="G134" s="51">
        <v>-0.03</v>
      </c>
      <c r="H134" s="50" t="s">
        <v>45</v>
      </c>
      <c r="I134" s="33">
        <f t="shared" si="30"/>
        <v>1.94</v>
      </c>
      <c r="J134" s="33">
        <f t="shared" si="31"/>
        <v>1.88</v>
      </c>
      <c r="K134" s="34">
        <v>1.919</v>
      </c>
      <c r="L134" s="34">
        <v>1.921</v>
      </c>
      <c r="M134" s="34">
        <v>1.925</v>
      </c>
      <c r="N134" s="28"/>
      <c r="O134" s="35">
        <f t="shared" si="32"/>
        <v>9.000000000000119E-3</v>
      </c>
      <c r="P134" s="36">
        <f t="shared" si="33"/>
        <v>1.1000000000000121E-2</v>
      </c>
      <c r="Q134" s="36">
        <f t="shared" si="34"/>
        <v>1.5000000000000124E-2</v>
      </c>
      <c r="R134" s="43">
        <f t="shared" si="35"/>
        <v>1.9216666666666666</v>
      </c>
      <c r="S134" s="44">
        <f t="shared" si="27"/>
        <v>0.50000000000000422</v>
      </c>
      <c r="T134" s="44">
        <f t="shared" si="28"/>
        <v>0</v>
      </c>
      <c r="U134" s="45" t="str">
        <f t="shared" si="24"/>
        <v xml:space="preserve"> </v>
      </c>
      <c r="V134" s="45" t="str">
        <f t="shared" si="29"/>
        <v xml:space="preserve"> </v>
      </c>
      <c r="W134" s="47"/>
      <c r="X134" s="28"/>
    </row>
    <row r="135" spans="1:24" s="12" customFormat="1" ht="18" customHeight="1">
      <c r="A135" s="28"/>
      <c r="B135" s="49">
        <v>66</v>
      </c>
      <c r="C135" s="53" t="s">
        <v>68</v>
      </c>
      <c r="D135" s="30" t="s">
        <v>40</v>
      </c>
      <c r="E135" s="52">
        <v>2.5499999999999998</v>
      </c>
      <c r="F135" s="51">
        <v>0.03</v>
      </c>
      <c r="G135" s="51">
        <v>-0.03</v>
      </c>
      <c r="H135" s="50" t="s">
        <v>45</v>
      </c>
      <c r="I135" s="33">
        <f t="shared" si="30"/>
        <v>2.5799999999999996</v>
      </c>
      <c r="J135" s="33">
        <f t="shared" si="31"/>
        <v>2.52</v>
      </c>
      <c r="K135" s="34">
        <v>2.61</v>
      </c>
      <c r="L135" s="34">
        <v>2.6160000000000001</v>
      </c>
      <c r="M135" s="34">
        <v>2.617</v>
      </c>
      <c r="N135" s="28"/>
      <c r="O135" s="35">
        <f t="shared" si="32"/>
        <v>6.0000000000000053E-2</v>
      </c>
      <c r="P135" s="36">
        <f t="shared" si="33"/>
        <v>6.6000000000000281E-2</v>
      </c>
      <c r="Q135" s="36">
        <f t="shared" si="34"/>
        <v>6.7000000000000171E-2</v>
      </c>
      <c r="R135" s="43">
        <f t="shared" si="35"/>
        <v>2.6143333333333332</v>
      </c>
      <c r="S135" s="44">
        <f t="shared" si="27"/>
        <v>2.2333333333333392</v>
      </c>
      <c r="T135" s="44">
        <f t="shared" si="28"/>
        <v>0</v>
      </c>
      <c r="U135" s="45" t="str">
        <f t="shared" si="24"/>
        <v>Reject</v>
      </c>
      <c r="V135" s="45" t="str">
        <f t="shared" si="29"/>
        <v xml:space="preserve"> </v>
      </c>
      <c r="W135" s="108" t="s">
        <v>101</v>
      </c>
      <c r="X135" s="28"/>
    </row>
    <row r="136" spans="1:24" s="12" customFormat="1" ht="18" customHeight="1">
      <c r="A136" s="28"/>
      <c r="B136" s="49"/>
      <c r="C136" s="53">
        <v>2</v>
      </c>
      <c r="D136" s="30" t="s">
        <v>40</v>
      </c>
      <c r="E136" s="52">
        <v>2.5499999999999998</v>
      </c>
      <c r="F136" s="51">
        <v>0.03</v>
      </c>
      <c r="G136" s="51">
        <v>-0.03</v>
      </c>
      <c r="H136" s="50" t="s">
        <v>45</v>
      </c>
      <c r="I136" s="33">
        <f t="shared" si="30"/>
        <v>2.5799999999999996</v>
      </c>
      <c r="J136" s="33">
        <f t="shared" si="31"/>
        <v>2.52</v>
      </c>
      <c r="K136" s="34">
        <v>2.6179999999999999</v>
      </c>
      <c r="L136" s="34">
        <v>2.62</v>
      </c>
      <c r="M136" s="34">
        <v>2.613</v>
      </c>
      <c r="N136" s="28"/>
      <c r="O136" s="35">
        <f t="shared" si="32"/>
        <v>6.800000000000006E-2</v>
      </c>
      <c r="P136" s="36">
        <f t="shared" si="33"/>
        <v>7.0000000000000284E-2</v>
      </c>
      <c r="Q136" s="36">
        <f t="shared" si="34"/>
        <v>6.3000000000000167E-2</v>
      </c>
      <c r="R136" s="43">
        <f t="shared" si="35"/>
        <v>2.6169999999999995</v>
      </c>
      <c r="S136" s="44">
        <f t="shared" si="27"/>
        <v>2.3333333333333428</v>
      </c>
      <c r="T136" s="44">
        <f t="shared" si="28"/>
        <v>0</v>
      </c>
      <c r="U136" s="45" t="str">
        <f t="shared" si="24"/>
        <v>Reject</v>
      </c>
      <c r="V136" s="45" t="str">
        <f t="shared" si="29"/>
        <v xml:space="preserve"> </v>
      </c>
      <c r="W136" s="108" t="s">
        <v>101</v>
      </c>
      <c r="X136" s="28"/>
    </row>
    <row r="137" spans="1:24" s="12" customFormat="1" ht="18" customHeight="1">
      <c r="A137" s="28"/>
      <c r="B137" s="49"/>
      <c r="C137" s="53">
        <v>3</v>
      </c>
      <c r="D137" s="30" t="s">
        <v>40</v>
      </c>
      <c r="E137" s="52">
        <v>2.5499999999999998</v>
      </c>
      <c r="F137" s="51">
        <v>0.03</v>
      </c>
      <c r="G137" s="51">
        <v>-0.03</v>
      </c>
      <c r="H137" s="50" t="s">
        <v>45</v>
      </c>
      <c r="I137" s="33">
        <f t="shared" si="30"/>
        <v>2.5799999999999996</v>
      </c>
      <c r="J137" s="33">
        <f t="shared" si="31"/>
        <v>2.52</v>
      </c>
      <c r="K137" s="34">
        <v>2.62</v>
      </c>
      <c r="L137" s="34">
        <v>2.621</v>
      </c>
      <c r="M137" s="34">
        <v>2.6190000000000002</v>
      </c>
      <c r="N137" s="28"/>
      <c r="O137" s="35">
        <f t="shared" si="32"/>
        <v>7.0000000000000284E-2</v>
      </c>
      <c r="P137" s="36">
        <f t="shared" si="33"/>
        <v>7.1000000000000174E-2</v>
      </c>
      <c r="Q137" s="36">
        <f t="shared" si="34"/>
        <v>6.9000000000000394E-2</v>
      </c>
      <c r="R137" s="43">
        <f t="shared" si="35"/>
        <v>2.6199999999999997</v>
      </c>
      <c r="S137" s="44">
        <f t="shared" si="27"/>
        <v>2.3666666666666725</v>
      </c>
      <c r="T137" s="44">
        <f t="shared" si="28"/>
        <v>0</v>
      </c>
      <c r="U137" s="45" t="str">
        <f t="shared" si="24"/>
        <v>Reject</v>
      </c>
      <c r="V137" s="45" t="str">
        <f t="shared" si="29"/>
        <v xml:space="preserve"> </v>
      </c>
      <c r="W137" s="108" t="s">
        <v>101</v>
      </c>
      <c r="X137" s="28"/>
    </row>
    <row r="138" spans="1:24" s="12" customFormat="1" ht="18" customHeight="1">
      <c r="A138" s="28"/>
      <c r="B138" s="49"/>
      <c r="C138" s="53" t="s">
        <v>84</v>
      </c>
      <c r="D138" s="30" t="s">
        <v>40</v>
      </c>
      <c r="E138" s="52">
        <v>2.5499999999999998</v>
      </c>
      <c r="F138" s="51">
        <v>0.03</v>
      </c>
      <c r="G138" s="51">
        <v>-0.03</v>
      </c>
      <c r="H138" s="50" t="s">
        <v>45</v>
      </c>
      <c r="I138" s="33">
        <f t="shared" si="30"/>
        <v>2.5799999999999996</v>
      </c>
      <c r="J138" s="33">
        <f t="shared" si="31"/>
        <v>2.52</v>
      </c>
      <c r="K138" s="34">
        <v>2.6030000000000002</v>
      </c>
      <c r="L138" s="34">
        <v>2.6080000000000001</v>
      </c>
      <c r="M138" s="34">
        <v>2.6040000000000001</v>
      </c>
      <c r="N138" s="28"/>
      <c r="O138" s="35">
        <f t="shared" si="32"/>
        <v>5.300000000000038E-2</v>
      </c>
      <c r="P138" s="36">
        <f t="shared" si="33"/>
        <v>5.8000000000000274E-2</v>
      </c>
      <c r="Q138" s="36">
        <f t="shared" si="34"/>
        <v>5.400000000000027E-2</v>
      </c>
      <c r="R138" s="43">
        <f t="shared" si="35"/>
        <v>2.605</v>
      </c>
      <c r="S138" s="44">
        <f t="shared" si="27"/>
        <v>1.9333333333333425</v>
      </c>
      <c r="T138" s="44">
        <f t="shared" si="28"/>
        <v>0</v>
      </c>
      <c r="U138" s="45" t="str">
        <f t="shared" si="24"/>
        <v>Reject</v>
      </c>
      <c r="V138" s="45" t="str">
        <f t="shared" si="29"/>
        <v xml:space="preserve"> </v>
      </c>
      <c r="W138" s="108" t="s">
        <v>101</v>
      </c>
      <c r="X138" s="28"/>
    </row>
    <row r="139" spans="1:24" s="12" customFormat="1" ht="18" customHeight="1">
      <c r="A139" s="28"/>
      <c r="B139" s="49"/>
      <c r="C139" s="53">
        <v>2</v>
      </c>
      <c r="D139" s="30" t="s">
        <v>40</v>
      </c>
      <c r="E139" s="52">
        <v>2.5499999999999998</v>
      </c>
      <c r="F139" s="51">
        <v>0.03</v>
      </c>
      <c r="G139" s="51">
        <v>-0.03</v>
      </c>
      <c r="H139" s="50" t="s">
        <v>45</v>
      </c>
      <c r="I139" s="33">
        <f t="shared" si="30"/>
        <v>2.5799999999999996</v>
      </c>
      <c r="J139" s="33">
        <f t="shared" si="31"/>
        <v>2.52</v>
      </c>
      <c r="K139" s="34">
        <v>2.63</v>
      </c>
      <c r="L139" s="34">
        <v>2.6269999999999998</v>
      </c>
      <c r="M139" s="34">
        <v>2.6240000000000001</v>
      </c>
      <c r="N139" s="28"/>
      <c r="O139" s="35">
        <f t="shared" si="32"/>
        <v>8.0000000000000071E-2</v>
      </c>
      <c r="P139" s="36">
        <f t="shared" si="33"/>
        <v>7.6999999999999957E-2</v>
      </c>
      <c r="Q139" s="36">
        <f t="shared" si="34"/>
        <v>7.4000000000000288E-2</v>
      </c>
      <c r="R139" s="43">
        <f t="shared" si="35"/>
        <v>2.6270000000000002</v>
      </c>
      <c r="S139" s="44">
        <f t="shared" si="27"/>
        <v>2.6666666666666692</v>
      </c>
      <c r="T139" s="44">
        <f t="shared" si="28"/>
        <v>0</v>
      </c>
      <c r="U139" s="45" t="str">
        <f t="shared" si="24"/>
        <v>Reject</v>
      </c>
      <c r="V139" s="45" t="str">
        <f t="shared" si="29"/>
        <v xml:space="preserve"> </v>
      </c>
      <c r="W139" s="108" t="s">
        <v>101</v>
      </c>
      <c r="X139" s="28"/>
    </row>
    <row r="140" spans="1:24" s="12" customFormat="1" ht="18" customHeight="1">
      <c r="A140" s="28"/>
      <c r="B140" s="49"/>
      <c r="C140" s="53">
        <v>3</v>
      </c>
      <c r="D140" s="30" t="s">
        <v>40</v>
      </c>
      <c r="E140" s="52">
        <v>2.5499999999999998</v>
      </c>
      <c r="F140" s="51">
        <v>0.03</v>
      </c>
      <c r="G140" s="51">
        <v>-0.03</v>
      </c>
      <c r="H140" s="50" t="s">
        <v>45</v>
      </c>
      <c r="I140" s="33">
        <f t="shared" si="30"/>
        <v>2.5799999999999996</v>
      </c>
      <c r="J140" s="33">
        <f t="shared" si="31"/>
        <v>2.52</v>
      </c>
      <c r="K140" s="34">
        <v>2.6309999999999998</v>
      </c>
      <c r="L140" s="34">
        <v>2.6309999999999998</v>
      </c>
      <c r="M140" s="34">
        <v>2.6280000000000001</v>
      </c>
      <c r="N140" s="28"/>
      <c r="O140" s="35">
        <f t="shared" si="32"/>
        <v>8.0999999999999961E-2</v>
      </c>
      <c r="P140" s="36">
        <f t="shared" si="33"/>
        <v>8.0999999999999961E-2</v>
      </c>
      <c r="Q140" s="36">
        <f t="shared" si="34"/>
        <v>7.8000000000000291E-2</v>
      </c>
      <c r="R140" s="43">
        <f t="shared" si="35"/>
        <v>2.63</v>
      </c>
      <c r="S140" s="44">
        <f t="shared" si="27"/>
        <v>2.6999999999999988</v>
      </c>
      <c r="T140" s="44">
        <f t="shared" si="28"/>
        <v>0</v>
      </c>
      <c r="U140" s="45" t="str">
        <f t="shared" si="24"/>
        <v>Reject</v>
      </c>
      <c r="V140" s="45" t="str">
        <f t="shared" si="29"/>
        <v xml:space="preserve"> </v>
      </c>
      <c r="W140" s="108" t="s">
        <v>101</v>
      </c>
      <c r="X140" s="28"/>
    </row>
    <row r="141" spans="1:24" s="12" customFormat="1" ht="18" customHeight="1">
      <c r="A141" s="28"/>
      <c r="B141" s="49">
        <v>67</v>
      </c>
      <c r="C141" s="53" t="s">
        <v>73</v>
      </c>
      <c r="D141" s="30" t="s">
        <v>40</v>
      </c>
      <c r="E141" s="52">
        <v>1.1599999999999999</v>
      </c>
      <c r="F141" s="51">
        <v>0.03</v>
      </c>
      <c r="G141" s="51">
        <v>-0.03</v>
      </c>
      <c r="H141" s="50" t="s">
        <v>45</v>
      </c>
      <c r="I141" s="33">
        <f t="shared" si="30"/>
        <v>1.19</v>
      </c>
      <c r="J141" s="33">
        <f t="shared" si="31"/>
        <v>1.1299999999999999</v>
      </c>
      <c r="K141" s="34">
        <v>1.2150000000000001</v>
      </c>
      <c r="L141" s="34">
        <v>1.2110000000000001</v>
      </c>
      <c r="M141" s="34">
        <v>1.22</v>
      </c>
      <c r="N141" s="28"/>
      <c r="O141" s="35">
        <f t="shared" si="32"/>
        <v>5.500000000000016E-2</v>
      </c>
      <c r="P141" s="36">
        <f t="shared" si="33"/>
        <v>5.1000000000000156E-2</v>
      </c>
      <c r="Q141" s="36">
        <f t="shared" si="34"/>
        <v>6.0000000000000053E-2</v>
      </c>
      <c r="R141" s="43">
        <f t="shared" si="35"/>
        <v>1.2153333333333334</v>
      </c>
      <c r="S141" s="44">
        <f t="shared" si="27"/>
        <v>2.0000000000000018</v>
      </c>
      <c r="T141" s="44">
        <f t="shared" si="28"/>
        <v>0</v>
      </c>
      <c r="U141" s="45" t="str">
        <f t="shared" si="24"/>
        <v>Reject</v>
      </c>
      <c r="V141" s="45" t="str">
        <f t="shared" si="29"/>
        <v xml:space="preserve"> </v>
      </c>
      <c r="W141" s="108" t="s">
        <v>103</v>
      </c>
      <c r="X141" s="28"/>
    </row>
    <row r="142" spans="1:24" s="12" customFormat="1" ht="18" customHeight="1">
      <c r="A142" s="28"/>
      <c r="B142" s="49"/>
      <c r="C142" s="53" t="s">
        <v>74</v>
      </c>
      <c r="D142" s="30" t="s">
        <v>40</v>
      </c>
      <c r="E142" s="52">
        <v>1.1599999999999999</v>
      </c>
      <c r="F142" s="51">
        <v>0.03</v>
      </c>
      <c r="G142" s="51">
        <v>-0.03</v>
      </c>
      <c r="H142" s="50" t="s">
        <v>45</v>
      </c>
      <c r="I142" s="33">
        <f t="shared" si="30"/>
        <v>1.19</v>
      </c>
      <c r="J142" s="33">
        <f t="shared" si="31"/>
        <v>1.1299999999999999</v>
      </c>
      <c r="K142" s="34">
        <v>1.155</v>
      </c>
      <c r="L142" s="34">
        <v>1.1599999999999999</v>
      </c>
      <c r="M142" s="34">
        <v>1.1639999999999999</v>
      </c>
      <c r="N142" s="28"/>
      <c r="O142" s="35">
        <f t="shared" si="32"/>
        <v>-4.9999999999998934E-3</v>
      </c>
      <c r="P142" s="36">
        <f t="shared" si="33"/>
        <v>0</v>
      </c>
      <c r="Q142" s="36">
        <f t="shared" si="34"/>
        <v>4.0000000000000036E-3</v>
      </c>
      <c r="R142" s="43">
        <f t="shared" si="35"/>
        <v>1.1596666666666666</v>
      </c>
      <c r="S142" s="44">
        <f t="shared" si="27"/>
        <v>0.13333333333333347</v>
      </c>
      <c r="T142" s="44">
        <f t="shared" si="28"/>
        <v>0.16666666666666313</v>
      </c>
      <c r="U142" s="45" t="str">
        <f t="shared" si="24"/>
        <v xml:space="preserve"> </v>
      </c>
      <c r="V142" s="45" t="str">
        <f t="shared" si="29"/>
        <v xml:space="preserve"> </v>
      </c>
      <c r="W142" s="47"/>
      <c r="X142" s="28"/>
    </row>
    <row r="143" spans="1:24" s="12" customFormat="1" ht="18" customHeight="1">
      <c r="A143" s="28"/>
      <c r="B143" s="49">
        <v>68</v>
      </c>
      <c r="C143" s="53" t="s">
        <v>68</v>
      </c>
      <c r="D143" s="30" t="s">
        <v>40</v>
      </c>
      <c r="E143" s="52">
        <v>3.51</v>
      </c>
      <c r="F143" s="51">
        <v>0.03</v>
      </c>
      <c r="G143" s="51">
        <v>-0.03</v>
      </c>
      <c r="H143" s="50" t="s">
        <v>45</v>
      </c>
      <c r="I143" s="33">
        <f t="shared" si="30"/>
        <v>3.5399999999999996</v>
      </c>
      <c r="J143" s="33">
        <f t="shared" si="31"/>
        <v>3.48</v>
      </c>
      <c r="K143" s="34">
        <v>3.54</v>
      </c>
      <c r="L143" s="34">
        <v>3.54</v>
      </c>
      <c r="M143" s="34">
        <v>3.5369999999999999</v>
      </c>
      <c r="N143" s="28"/>
      <c r="O143" s="35">
        <f t="shared" si="32"/>
        <v>3.0000000000000249E-2</v>
      </c>
      <c r="P143" s="36">
        <f t="shared" si="33"/>
        <v>3.0000000000000249E-2</v>
      </c>
      <c r="Q143" s="36">
        <f t="shared" si="34"/>
        <v>2.7000000000000135E-2</v>
      </c>
      <c r="R143" s="43">
        <f t="shared" si="35"/>
        <v>3.5390000000000001</v>
      </c>
      <c r="S143" s="44">
        <f t="shared" si="27"/>
        <v>1.0000000000000084</v>
      </c>
      <c r="T143" s="44">
        <f t="shared" si="28"/>
        <v>0</v>
      </c>
      <c r="U143" s="45" t="str">
        <f t="shared" si="24"/>
        <v>Alert</v>
      </c>
      <c r="V143" s="45" t="str">
        <f t="shared" si="29"/>
        <v xml:space="preserve"> </v>
      </c>
      <c r="W143" s="47"/>
      <c r="X143" s="28"/>
    </row>
    <row r="144" spans="1:24" s="12" customFormat="1" ht="18" customHeight="1">
      <c r="A144" s="28"/>
      <c r="B144" s="49"/>
      <c r="C144" s="53">
        <v>2</v>
      </c>
      <c r="D144" s="30" t="s">
        <v>40</v>
      </c>
      <c r="E144" s="52">
        <v>3.51</v>
      </c>
      <c r="F144" s="51">
        <v>0.03</v>
      </c>
      <c r="G144" s="51">
        <v>-0.03</v>
      </c>
      <c r="H144" s="50" t="s">
        <v>45</v>
      </c>
      <c r="I144" s="33">
        <f t="shared" si="30"/>
        <v>3.5399999999999996</v>
      </c>
      <c r="J144" s="33">
        <f t="shared" si="31"/>
        <v>3.48</v>
      </c>
      <c r="K144" s="34">
        <v>3.5329999999999999</v>
      </c>
      <c r="L144" s="34">
        <v>3.5379999999999998</v>
      </c>
      <c r="M144" s="34">
        <v>3.5350000000000001</v>
      </c>
      <c r="N144" s="28"/>
      <c r="O144" s="35">
        <f t="shared" si="32"/>
        <v>2.3000000000000131E-2</v>
      </c>
      <c r="P144" s="36">
        <f t="shared" si="33"/>
        <v>2.8000000000000025E-2</v>
      </c>
      <c r="Q144" s="36">
        <f t="shared" si="34"/>
        <v>2.5000000000000355E-2</v>
      </c>
      <c r="R144" s="43">
        <f t="shared" si="35"/>
        <v>3.5353333333333334</v>
      </c>
      <c r="S144" s="44">
        <f t="shared" si="27"/>
        <v>0.93333333333333424</v>
      </c>
      <c r="T144" s="44">
        <f t="shared" si="28"/>
        <v>0</v>
      </c>
      <c r="U144" s="45" t="str">
        <f t="shared" si="24"/>
        <v>Alert</v>
      </c>
      <c r="V144" s="45" t="str">
        <f t="shared" si="29"/>
        <v xml:space="preserve"> </v>
      </c>
      <c r="W144" s="47"/>
      <c r="X144" s="28"/>
    </row>
    <row r="145" spans="1:24" s="12" customFormat="1" ht="18" customHeight="1">
      <c r="A145" s="28"/>
      <c r="B145" s="49"/>
      <c r="C145" s="53">
        <v>3</v>
      </c>
      <c r="D145" s="30" t="s">
        <v>40</v>
      </c>
      <c r="E145" s="52">
        <v>3.51</v>
      </c>
      <c r="F145" s="51">
        <v>0.03</v>
      </c>
      <c r="G145" s="51">
        <v>-0.03</v>
      </c>
      <c r="H145" s="50" t="s">
        <v>45</v>
      </c>
      <c r="I145" s="33">
        <f t="shared" si="30"/>
        <v>3.5399999999999996</v>
      </c>
      <c r="J145" s="33">
        <f t="shared" si="31"/>
        <v>3.48</v>
      </c>
      <c r="K145" s="34">
        <v>3.5310000000000001</v>
      </c>
      <c r="L145" s="34">
        <v>3.5329999999999999</v>
      </c>
      <c r="M145" s="34">
        <v>3.5179999999999998</v>
      </c>
      <c r="N145" s="28"/>
      <c r="O145" s="35">
        <f t="shared" si="32"/>
        <v>2.1000000000000352E-2</v>
      </c>
      <c r="P145" s="36">
        <f t="shared" si="33"/>
        <v>2.3000000000000131E-2</v>
      </c>
      <c r="Q145" s="36">
        <f t="shared" si="34"/>
        <v>8.0000000000000071E-3</v>
      </c>
      <c r="R145" s="43">
        <f t="shared" si="35"/>
        <v>3.5273333333333334</v>
      </c>
      <c r="S145" s="44">
        <f t="shared" si="27"/>
        <v>0.76666666666667105</v>
      </c>
      <c r="T145" s="44">
        <f t="shared" si="28"/>
        <v>0</v>
      </c>
      <c r="U145" s="45" t="str">
        <f t="shared" si="24"/>
        <v>Alert</v>
      </c>
      <c r="V145" s="45" t="str">
        <f t="shared" si="29"/>
        <v xml:space="preserve"> </v>
      </c>
      <c r="W145" s="47"/>
      <c r="X145" s="28"/>
    </row>
    <row r="146" spans="1:24" s="12" customFormat="1" ht="18" customHeight="1">
      <c r="A146" s="28"/>
      <c r="B146" s="49"/>
      <c r="C146" s="53" t="s">
        <v>69</v>
      </c>
      <c r="D146" s="30" t="s">
        <v>40</v>
      </c>
      <c r="E146" s="52">
        <v>3.51</v>
      </c>
      <c r="F146" s="51">
        <v>0.03</v>
      </c>
      <c r="G146" s="51">
        <v>-0.03</v>
      </c>
      <c r="H146" s="50" t="s">
        <v>45</v>
      </c>
      <c r="I146" s="33">
        <f t="shared" si="30"/>
        <v>3.5399999999999996</v>
      </c>
      <c r="J146" s="33">
        <f t="shared" si="31"/>
        <v>3.48</v>
      </c>
      <c r="K146" s="34">
        <v>3.4950000000000001</v>
      </c>
      <c r="L146" s="34">
        <v>3.51</v>
      </c>
      <c r="M146" s="34">
        <v>3.5089999999999999</v>
      </c>
      <c r="N146" s="28"/>
      <c r="O146" s="35">
        <f t="shared" si="32"/>
        <v>-1.499999999999968E-2</v>
      </c>
      <c r="P146" s="36">
        <f t="shared" si="33"/>
        <v>0</v>
      </c>
      <c r="Q146" s="36">
        <f t="shared" si="34"/>
        <v>-9.9999999999988987E-4</v>
      </c>
      <c r="R146" s="43">
        <f t="shared" si="35"/>
        <v>3.5046666666666666</v>
      </c>
      <c r="S146" s="44">
        <f t="shared" si="27"/>
        <v>0</v>
      </c>
      <c r="T146" s="44">
        <f t="shared" si="28"/>
        <v>0.49999999999998934</v>
      </c>
      <c r="U146" s="45" t="str">
        <f t="shared" si="24"/>
        <v xml:space="preserve"> </v>
      </c>
      <c r="V146" s="45" t="str">
        <f t="shared" si="29"/>
        <v xml:space="preserve"> </v>
      </c>
      <c r="W146" s="47"/>
      <c r="X146" s="28"/>
    </row>
    <row r="147" spans="1:24" s="12" customFormat="1" ht="18" customHeight="1">
      <c r="A147" s="28"/>
      <c r="B147" s="49"/>
      <c r="C147" s="53">
        <v>5</v>
      </c>
      <c r="D147" s="30" t="s">
        <v>40</v>
      </c>
      <c r="E147" s="52">
        <v>3.51</v>
      </c>
      <c r="F147" s="51">
        <v>0.03</v>
      </c>
      <c r="G147" s="51">
        <v>-0.03</v>
      </c>
      <c r="H147" s="50" t="s">
        <v>45</v>
      </c>
      <c r="I147" s="33">
        <f t="shared" si="30"/>
        <v>3.5399999999999996</v>
      </c>
      <c r="J147" s="33">
        <f t="shared" si="31"/>
        <v>3.48</v>
      </c>
      <c r="K147" s="34">
        <v>3.48</v>
      </c>
      <c r="L147" s="34">
        <v>3.484</v>
      </c>
      <c r="M147" s="34">
        <v>3.492</v>
      </c>
      <c r="N147" s="28"/>
      <c r="O147" s="35">
        <f t="shared" si="32"/>
        <v>-2.9999999999999805E-2</v>
      </c>
      <c r="P147" s="36">
        <f t="shared" si="33"/>
        <v>-2.5999999999999801E-2</v>
      </c>
      <c r="Q147" s="36">
        <f t="shared" si="34"/>
        <v>-1.7999999999999794E-2</v>
      </c>
      <c r="R147" s="43">
        <f t="shared" si="35"/>
        <v>3.4853333333333332</v>
      </c>
      <c r="S147" s="44">
        <f t="shared" si="27"/>
        <v>0</v>
      </c>
      <c r="T147" s="44">
        <f t="shared" si="28"/>
        <v>0.99999999999999356</v>
      </c>
      <c r="U147" s="45" t="str">
        <f t="shared" si="24"/>
        <v xml:space="preserve"> </v>
      </c>
      <c r="V147" s="45" t="str">
        <f t="shared" si="29"/>
        <v>Alert</v>
      </c>
      <c r="W147" s="47"/>
      <c r="X147" s="28"/>
    </row>
    <row r="148" spans="1:24" s="12" customFormat="1" ht="18" customHeight="1">
      <c r="A148" s="28"/>
      <c r="B148" s="49"/>
      <c r="C148" s="53">
        <v>6</v>
      </c>
      <c r="D148" s="30" t="s">
        <v>40</v>
      </c>
      <c r="E148" s="52">
        <v>3.51</v>
      </c>
      <c r="F148" s="51">
        <v>0.03</v>
      </c>
      <c r="G148" s="51">
        <v>-0.03</v>
      </c>
      <c r="H148" s="50" t="s">
        <v>45</v>
      </c>
      <c r="I148" s="33">
        <f t="shared" si="30"/>
        <v>3.5399999999999996</v>
      </c>
      <c r="J148" s="33">
        <f t="shared" si="31"/>
        <v>3.48</v>
      </c>
      <c r="K148" s="34">
        <v>3.5049999999999999</v>
      </c>
      <c r="L148" s="34">
        <v>3.5139999999999998</v>
      </c>
      <c r="M148" s="34">
        <v>3.5179999999999998</v>
      </c>
      <c r="N148" s="28"/>
      <c r="O148" s="35">
        <f t="shared" si="32"/>
        <v>-4.9999999999998934E-3</v>
      </c>
      <c r="P148" s="36">
        <f t="shared" si="33"/>
        <v>4.0000000000000036E-3</v>
      </c>
      <c r="Q148" s="36">
        <f t="shared" si="34"/>
        <v>8.0000000000000071E-3</v>
      </c>
      <c r="R148" s="43">
        <f t="shared" si="35"/>
        <v>3.5123333333333329</v>
      </c>
      <c r="S148" s="44">
        <f t="shared" si="27"/>
        <v>0.26666666666666694</v>
      </c>
      <c r="T148" s="44">
        <f t="shared" si="28"/>
        <v>0.16666666666666313</v>
      </c>
      <c r="U148" s="45" t="str">
        <f t="shared" si="24"/>
        <v xml:space="preserve"> </v>
      </c>
      <c r="V148" s="45" t="str">
        <f t="shared" si="29"/>
        <v xml:space="preserve"> </v>
      </c>
      <c r="W148" s="47"/>
      <c r="X148" s="28"/>
    </row>
    <row r="149" spans="1:24" s="12" customFormat="1" ht="18" customHeight="1">
      <c r="A149" s="28"/>
      <c r="B149" s="49">
        <v>69</v>
      </c>
      <c r="C149" s="53" t="s">
        <v>70</v>
      </c>
      <c r="D149" s="30" t="s">
        <v>40</v>
      </c>
      <c r="E149" s="52">
        <v>2.63</v>
      </c>
      <c r="F149" s="51">
        <v>0.03</v>
      </c>
      <c r="G149" s="51">
        <v>-0.03</v>
      </c>
      <c r="H149" s="50" t="s">
        <v>45</v>
      </c>
      <c r="I149" s="33">
        <f t="shared" si="30"/>
        <v>2.6599999999999997</v>
      </c>
      <c r="J149" s="33">
        <f t="shared" si="31"/>
        <v>2.6</v>
      </c>
      <c r="K149" s="34">
        <v>2.7669999999999999</v>
      </c>
      <c r="L149" s="34">
        <v>2.7509999999999999</v>
      </c>
      <c r="M149" s="34">
        <v>2.7690000000000001</v>
      </c>
      <c r="N149" s="28"/>
      <c r="O149" s="35">
        <f t="shared" si="32"/>
        <v>0.13700000000000001</v>
      </c>
      <c r="P149" s="36">
        <f t="shared" si="33"/>
        <v>0.121</v>
      </c>
      <c r="Q149" s="36">
        <f t="shared" si="34"/>
        <v>0.13900000000000023</v>
      </c>
      <c r="R149" s="43">
        <f t="shared" si="35"/>
        <v>2.7623333333333329</v>
      </c>
      <c r="S149" s="44">
        <f t="shared" si="27"/>
        <v>4.6333333333333417</v>
      </c>
      <c r="T149" s="44">
        <f t="shared" si="28"/>
        <v>0</v>
      </c>
      <c r="U149" s="45" t="str">
        <f t="shared" si="24"/>
        <v>Reject</v>
      </c>
      <c r="V149" s="45" t="str">
        <f t="shared" si="29"/>
        <v xml:space="preserve"> </v>
      </c>
      <c r="W149" s="108" t="s">
        <v>101</v>
      </c>
      <c r="X149" s="28"/>
    </row>
    <row r="150" spans="1:24" s="12" customFormat="1" ht="18" customHeight="1">
      <c r="A150" s="28"/>
      <c r="B150" s="49"/>
      <c r="C150" s="53" t="s">
        <v>71</v>
      </c>
      <c r="D150" s="30" t="s">
        <v>40</v>
      </c>
      <c r="E150" s="52">
        <v>2.63</v>
      </c>
      <c r="F150" s="51">
        <v>0.03</v>
      </c>
      <c r="G150" s="51">
        <v>-0.03</v>
      </c>
      <c r="H150" s="50" t="s">
        <v>45</v>
      </c>
      <c r="I150" s="33">
        <f t="shared" ref="I150" si="36">IF(AND(E150="",F150=""),"",IF(E150="",F150,E150+F150))</f>
        <v>2.6599999999999997</v>
      </c>
      <c r="J150" s="33">
        <f t="shared" ref="J150" si="37">IF(AND(E150="",G150=""),"",IF(E150="",G150,E150+G150))</f>
        <v>2.6</v>
      </c>
      <c r="K150" s="34">
        <v>2.8</v>
      </c>
      <c r="L150" s="34">
        <v>2.8039999999999998</v>
      </c>
      <c r="M150" s="34">
        <v>2.7909999999999999</v>
      </c>
      <c r="N150" s="28"/>
      <c r="O150" s="35">
        <f t="shared" ref="O150" si="38">IF(ISERR(K150/K150)=TRUE," ",K150-$E150)</f>
        <v>0.16999999999999993</v>
      </c>
      <c r="P150" s="36">
        <f t="shared" ref="P150" si="39">IF(ISERR(L150/L150)=TRUE," ",L150-$E150)</f>
        <v>0.17399999999999993</v>
      </c>
      <c r="Q150" s="36">
        <f t="shared" ref="Q150" si="40">IF(ISERR(M150/M150)=TRUE," ",M150-$E150)</f>
        <v>0.16100000000000003</v>
      </c>
      <c r="R150" s="43">
        <f t="shared" ref="R150" si="41">IF(ISERR(K150/K150)=TRUE," ",AVERAGE(K150:M150))</f>
        <v>2.7983333333333333</v>
      </c>
      <c r="S150" s="44">
        <f t="shared" ref="S150" si="42">IF(ISERR(F150/F150)=TRUE," ",IF(ISERR(K150/K150)=TRUE," ",IF(ISNUMBER($K150)=FALSE," ",IF(MAX($K150:$M150)&lt;$E150,0,(MAX($K150:$M150)-$E150)/$F150))))</f>
        <v>5.799999999999998</v>
      </c>
      <c r="T150" s="44">
        <f t="shared" ref="T150" si="43">IF(ISERR(G150/E150)=TRUE," ",IF(ISERR(G150/G150)=TRUE," ",IF(ISERR(K150/K150)=TRUE," ",IF(ISNUMBER(K150)=FALSE," ",IF(MIN(K150:M150)&gt;$E150,0,($E150-MIN(K150:M150))/-G150)))))</f>
        <v>0</v>
      </c>
      <c r="U150" s="45" t="str">
        <f t="shared" si="24"/>
        <v>Reject</v>
      </c>
      <c r="V150" s="45" t="str">
        <f t="shared" ref="V150" si="44">IF(K150="","",IF(ISERR(G150/G150)=TRUE," ",IF(ISERR(G150/E150)=TRUE,IF((G150-MIN(K150:M150))&gt;0.001,"Reject",""),IF(ISNUMBER($T150)=TRUE,IF($T150&gt;0.651,IF($T150&gt;1.001,"Reject","Alert")," ")," "))))</f>
        <v xml:space="preserve"> </v>
      </c>
      <c r="W150" s="108" t="s">
        <v>101</v>
      </c>
      <c r="X150" s="28"/>
    </row>
    <row r="151" spans="1:24" s="12" customFormat="1" ht="18" customHeight="1">
      <c r="A151" s="28"/>
      <c r="B151" s="49"/>
      <c r="C151" s="53" t="s">
        <v>72</v>
      </c>
      <c r="D151" s="30" t="s">
        <v>40</v>
      </c>
      <c r="E151" s="52">
        <v>2.63</v>
      </c>
      <c r="F151" s="51">
        <v>0.03</v>
      </c>
      <c r="G151" s="51">
        <v>-0.03</v>
      </c>
      <c r="H151" s="50" t="s">
        <v>45</v>
      </c>
      <c r="I151" s="33">
        <f t="shared" si="30"/>
        <v>2.6599999999999997</v>
      </c>
      <c r="J151" s="33">
        <f t="shared" si="31"/>
        <v>2.6</v>
      </c>
      <c r="K151" s="34">
        <v>2.7869999999999999</v>
      </c>
      <c r="L151" s="34">
        <v>2.7839999999999998</v>
      </c>
      <c r="M151" s="34">
        <v>2.7909999999999999</v>
      </c>
      <c r="N151" s="28"/>
      <c r="O151" s="35">
        <f t="shared" si="32"/>
        <v>0.15700000000000003</v>
      </c>
      <c r="P151" s="36">
        <f t="shared" si="33"/>
        <v>0.15399999999999991</v>
      </c>
      <c r="Q151" s="36">
        <f t="shared" si="34"/>
        <v>0.16100000000000003</v>
      </c>
      <c r="R151" s="43">
        <f t="shared" si="35"/>
        <v>2.7873333333333332</v>
      </c>
      <c r="S151" s="44">
        <f t="shared" si="27"/>
        <v>5.366666666666668</v>
      </c>
      <c r="T151" s="44">
        <f t="shared" si="28"/>
        <v>0</v>
      </c>
      <c r="U151" s="45" t="str">
        <f t="shared" si="24"/>
        <v>Reject</v>
      </c>
      <c r="V151" s="45" t="str">
        <f t="shared" si="29"/>
        <v xml:space="preserve"> </v>
      </c>
      <c r="W151" s="108" t="s">
        <v>101</v>
      </c>
      <c r="X151" s="28"/>
    </row>
    <row r="152" spans="1:24" s="12" customFormat="1" ht="18" customHeight="1">
      <c r="A152" s="28"/>
      <c r="B152" s="49"/>
      <c r="C152" s="53" t="s">
        <v>71</v>
      </c>
      <c r="D152" s="30" t="s">
        <v>40</v>
      </c>
      <c r="E152" s="52">
        <v>2.63</v>
      </c>
      <c r="F152" s="51">
        <v>0.03</v>
      </c>
      <c r="G152" s="51">
        <v>-0.03</v>
      </c>
      <c r="H152" s="50" t="s">
        <v>45</v>
      </c>
      <c r="I152" s="33">
        <f t="shared" si="30"/>
        <v>2.6599999999999997</v>
      </c>
      <c r="J152" s="33">
        <f t="shared" si="31"/>
        <v>2.6</v>
      </c>
      <c r="K152" s="34">
        <v>2.7909999999999999</v>
      </c>
      <c r="L152" s="34">
        <v>2.8010000000000002</v>
      </c>
      <c r="M152" s="34">
        <v>2.8050000000000002</v>
      </c>
      <c r="N152" s="28"/>
      <c r="O152" s="35">
        <f t="shared" si="32"/>
        <v>0.16100000000000003</v>
      </c>
      <c r="P152" s="36">
        <f t="shared" si="33"/>
        <v>0.17100000000000026</v>
      </c>
      <c r="Q152" s="36">
        <f t="shared" si="34"/>
        <v>0.17500000000000027</v>
      </c>
      <c r="R152" s="43">
        <f t="shared" si="35"/>
        <v>2.7989999999999999</v>
      </c>
      <c r="S152" s="44">
        <f t="shared" si="27"/>
        <v>5.8333333333333428</v>
      </c>
      <c r="T152" s="44">
        <f t="shared" si="28"/>
        <v>0</v>
      </c>
      <c r="U152" s="45" t="str">
        <f t="shared" si="24"/>
        <v>Reject</v>
      </c>
      <c r="V152" s="45" t="str">
        <f t="shared" si="29"/>
        <v xml:space="preserve"> </v>
      </c>
      <c r="W152" s="108" t="s">
        <v>101</v>
      </c>
      <c r="X152" s="28"/>
    </row>
    <row r="153" spans="1:24" s="12" customFormat="1" ht="18" customHeight="1">
      <c r="A153" s="28"/>
      <c r="B153" s="49">
        <v>70</v>
      </c>
      <c r="C153" s="53" t="s">
        <v>70</v>
      </c>
      <c r="D153" s="30" t="s">
        <v>40</v>
      </c>
      <c r="E153" s="52">
        <v>1.2</v>
      </c>
      <c r="F153" s="51">
        <v>0.03</v>
      </c>
      <c r="G153" s="51">
        <v>-0.03</v>
      </c>
      <c r="H153" s="50" t="s">
        <v>45</v>
      </c>
      <c r="I153" s="33">
        <f t="shared" si="30"/>
        <v>1.23</v>
      </c>
      <c r="J153" s="33">
        <f t="shared" si="31"/>
        <v>1.17</v>
      </c>
      <c r="K153" s="34">
        <v>1.226</v>
      </c>
      <c r="L153" s="34">
        <v>1.23</v>
      </c>
      <c r="M153" s="34">
        <v>1.2210000000000001</v>
      </c>
      <c r="N153" s="28"/>
      <c r="O153" s="35">
        <f t="shared" si="32"/>
        <v>2.6000000000000023E-2</v>
      </c>
      <c r="P153" s="36">
        <f t="shared" si="33"/>
        <v>3.0000000000000027E-2</v>
      </c>
      <c r="Q153" s="36">
        <f t="shared" si="34"/>
        <v>2.100000000000013E-2</v>
      </c>
      <c r="R153" s="43">
        <f t="shared" si="35"/>
        <v>1.2256666666666667</v>
      </c>
      <c r="S153" s="44">
        <f t="shared" si="27"/>
        <v>1.0000000000000009</v>
      </c>
      <c r="T153" s="44">
        <f t="shared" si="28"/>
        <v>0</v>
      </c>
      <c r="U153" s="45" t="str">
        <f t="shared" si="24"/>
        <v>Alert</v>
      </c>
      <c r="V153" s="45" t="str">
        <f t="shared" si="29"/>
        <v xml:space="preserve"> </v>
      </c>
      <c r="W153" s="47"/>
      <c r="X153" s="28"/>
    </row>
    <row r="154" spans="1:24" s="12" customFormat="1" ht="18" customHeight="1">
      <c r="A154" s="28"/>
      <c r="B154" s="49"/>
      <c r="C154" s="53" t="s">
        <v>71</v>
      </c>
      <c r="D154" s="30" t="s">
        <v>40</v>
      </c>
      <c r="E154" s="52">
        <v>1.2</v>
      </c>
      <c r="F154" s="51">
        <v>0.03</v>
      </c>
      <c r="G154" s="51">
        <v>-0.03</v>
      </c>
      <c r="H154" s="50" t="s">
        <v>45</v>
      </c>
      <c r="I154" s="33">
        <f t="shared" si="30"/>
        <v>1.23</v>
      </c>
      <c r="J154" s="33">
        <f t="shared" si="31"/>
        <v>1.17</v>
      </c>
      <c r="K154" s="34">
        <v>1.23</v>
      </c>
      <c r="L154" s="34">
        <v>1.226</v>
      </c>
      <c r="M154" s="34">
        <v>1.228</v>
      </c>
      <c r="N154" s="28"/>
      <c r="O154" s="35">
        <f t="shared" si="32"/>
        <v>3.0000000000000027E-2</v>
      </c>
      <c r="P154" s="36">
        <f t="shared" si="33"/>
        <v>2.6000000000000023E-2</v>
      </c>
      <c r="Q154" s="36">
        <f t="shared" si="34"/>
        <v>2.8000000000000025E-2</v>
      </c>
      <c r="R154" s="43">
        <f t="shared" si="35"/>
        <v>1.228</v>
      </c>
      <c r="S154" s="44">
        <f t="shared" si="27"/>
        <v>1.0000000000000009</v>
      </c>
      <c r="T154" s="44">
        <f t="shared" si="28"/>
        <v>0</v>
      </c>
      <c r="U154" s="45" t="str">
        <f t="shared" si="24"/>
        <v>Alert</v>
      </c>
      <c r="V154" s="45" t="str">
        <f t="shared" si="29"/>
        <v xml:space="preserve"> </v>
      </c>
      <c r="W154" s="47"/>
      <c r="X154" s="28"/>
    </row>
    <row r="155" spans="1:24" s="12" customFormat="1" ht="18" customHeight="1">
      <c r="A155" s="28"/>
      <c r="B155" s="49"/>
      <c r="C155" s="53" t="s">
        <v>72</v>
      </c>
      <c r="D155" s="30" t="s">
        <v>40</v>
      </c>
      <c r="E155" s="52">
        <v>1.2</v>
      </c>
      <c r="F155" s="51">
        <v>0.03</v>
      </c>
      <c r="G155" s="51">
        <v>-0.03</v>
      </c>
      <c r="H155" s="50" t="s">
        <v>45</v>
      </c>
      <c r="I155" s="33"/>
      <c r="J155" s="33"/>
      <c r="K155" s="34">
        <v>1.194</v>
      </c>
      <c r="L155" s="34">
        <v>1.2010000000000001</v>
      </c>
      <c r="M155" s="34">
        <v>1.2050000000000001</v>
      </c>
      <c r="N155" s="28"/>
      <c r="O155" s="35">
        <f t="shared" si="32"/>
        <v>-6.0000000000000053E-3</v>
      </c>
      <c r="P155" s="36">
        <f t="shared" si="33"/>
        <v>1.0000000000001119E-3</v>
      </c>
      <c r="Q155" s="36">
        <f t="shared" si="34"/>
        <v>5.0000000000001155E-3</v>
      </c>
      <c r="R155" s="43">
        <f t="shared" si="35"/>
        <v>1.2</v>
      </c>
      <c r="S155" s="44">
        <f t="shared" si="27"/>
        <v>0.16666666666667052</v>
      </c>
      <c r="T155" s="44">
        <f t="shared" si="28"/>
        <v>0.20000000000000018</v>
      </c>
      <c r="U155" s="45" t="str">
        <f t="shared" si="24"/>
        <v xml:space="preserve"> </v>
      </c>
      <c r="V155" s="45" t="str">
        <f t="shared" si="29"/>
        <v xml:space="preserve"> </v>
      </c>
      <c r="W155" s="47"/>
      <c r="X155" s="28"/>
    </row>
    <row r="156" spans="1:24" s="12" customFormat="1" ht="18" customHeight="1">
      <c r="A156" s="28"/>
      <c r="B156" s="49"/>
      <c r="C156" s="53" t="s">
        <v>71</v>
      </c>
      <c r="D156" s="30" t="s">
        <v>40</v>
      </c>
      <c r="E156" s="52">
        <v>1.2</v>
      </c>
      <c r="F156" s="51">
        <v>0.03</v>
      </c>
      <c r="G156" s="51">
        <v>-0.03</v>
      </c>
      <c r="H156" s="50" t="s">
        <v>45</v>
      </c>
      <c r="I156" s="33"/>
      <c r="J156" s="33"/>
      <c r="K156" s="34">
        <v>1.18</v>
      </c>
      <c r="L156" s="34">
        <v>1.19</v>
      </c>
      <c r="M156" s="34">
        <v>1.1879999999999999</v>
      </c>
      <c r="N156" s="28"/>
      <c r="O156" s="35">
        <f t="shared" si="32"/>
        <v>-2.0000000000000018E-2</v>
      </c>
      <c r="P156" s="36">
        <f t="shared" si="33"/>
        <v>-1.0000000000000009E-2</v>
      </c>
      <c r="Q156" s="36">
        <f t="shared" si="34"/>
        <v>-1.2000000000000011E-2</v>
      </c>
      <c r="R156" s="43">
        <f t="shared" si="35"/>
        <v>1.1859999999999999</v>
      </c>
      <c r="S156" s="44">
        <f t="shared" si="27"/>
        <v>0</v>
      </c>
      <c r="T156" s="44">
        <f t="shared" si="28"/>
        <v>0.6666666666666673</v>
      </c>
      <c r="U156" s="45" t="str">
        <f t="shared" si="24"/>
        <v xml:space="preserve"> </v>
      </c>
      <c r="V156" s="45" t="str">
        <f t="shared" si="29"/>
        <v>Alert</v>
      </c>
      <c r="W156" s="47"/>
      <c r="X156" s="28"/>
    </row>
    <row r="157" spans="1:24" s="12" customFormat="1" ht="18" customHeight="1">
      <c r="A157" s="28"/>
      <c r="B157" s="49">
        <v>71</v>
      </c>
      <c r="C157" s="56"/>
      <c r="D157" s="30" t="s">
        <v>40</v>
      </c>
      <c r="E157" s="52">
        <v>2.27</v>
      </c>
      <c r="F157" s="51">
        <v>0.1</v>
      </c>
      <c r="G157" s="51">
        <v>-0.1</v>
      </c>
      <c r="H157" s="50" t="s">
        <v>45</v>
      </c>
      <c r="I157" s="33">
        <f t="shared" si="30"/>
        <v>2.37</v>
      </c>
      <c r="J157" s="33">
        <f t="shared" si="31"/>
        <v>2.17</v>
      </c>
      <c r="K157" s="34"/>
      <c r="L157" s="34"/>
      <c r="M157" s="34"/>
      <c r="N157" s="28"/>
      <c r="O157" s="35" t="str">
        <f t="shared" si="32"/>
        <v xml:space="preserve"> </v>
      </c>
      <c r="P157" s="36" t="str">
        <f t="shared" si="33"/>
        <v xml:space="preserve"> </v>
      </c>
      <c r="Q157" s="36" t="str">
        <f t="shared" si="34"/>
        <v xml:space="preserve"> </v>
      </c>
      <c r="R157" s="43" t="str">
        <f t="shared" si="35"/>
        <v xml:space="preserve"> </v>
      </c>
      <c r="S157" s="44" t="str">
        <f t="shared" si="27"/>
        <v xml:space="preserve"> </v>
      </c>
      <c r="T157" s="44" t="str">
        <f t="shared" si="28"/>
        <v xml:space="preserve"> </v>
      </c>
      <c r="U157" s="45" t="str">
        <f t="shared" si="24"/>
        <v xml:space="preserve"> </v>
      </c>
      <c r="V157" s="45" t="str">
        <f t="shared" si="29"/>
        <v/>
      </c>
      <c r="W157" s="63" t="s">
        <v>91</v>
      </c>
      <c r="X157" s="28"/>
    </row>
    <row r="158" spans="1:24" s="12" customFormat="1" ht="18" customHeight="1">
      <c r="A158" s="28"/>
      <c r="B158" s="49">
        <v>72</v>
      </c>
      <c r="C158" s="56"/>
      <c r="D158" s="30" t="s">
        <v>40</v>
      </c>
      <c r="E158" s="52">
        <v>3</v>
      </c>
      <c r="F158" s="51">
        <v>0.3</v>
      </c>
      <c r="G158" s="51">
        <v>-0.3</v>
      </c>
      <c r="H158" s="50" t="s">
        <v>45</v>
      </c>
      <c r="I158" s="33">
        <f t="shared" si="30"/>
        <v>3.3</v>
      </c>
      <c r="J158" s="33">
        <f t="shared" si="31"/>
        <v>2.7</v>
      </c>
      <c r="K158" s="34"/>
      <c r="L158" s="34"/>
      <c r="M158" s="34"/>
      <c r="N158" s="28"/>
      <c r="O158" s="35" t="str">
        <f t="shared" si="32"/>
        <v xml:space="preserve"> </v>
      </c>
      <c r="P158" s="36" t="str">
        <f t="shared" si="33"/>
        <v xml:space="preserve"> </v>
      </c>
      <c r="Q158" s="36" t="str">
        <f t="shared" si="34"/>
        <v xml:space="preserve"> </v>
      </c>
      <c r="R158" s="43" t="str">
        <f t="shared" si="35"/>
        <v xml:space="preserve"> </v>
      </c>
      <c r="S158" s="44" t="str">
        <f t="shared" si="27"/>
        <v xml:space="preserve"> </v>
      </c>
      <c r="T158" s="44" t="str">
        <f t="shared" si="28"/>
        <v xml:space="preserve"> </v>
      </c>
      <c r="U158" s="45" t="str">
        <f t="shared" si="24"/>
        <v xml:space="preserve"> </v>
      </c>
      <c r="V158" s="45" t="str">
        <f t="shared" si="29"/>
        <v/>
      </c>
      <c r="W158" s="63" t="s">
        <v>91</v>
      </c>
      <c r="X158" s="28"/>
    </row>
    <row r="159" spans="1:24" s="12" customFormat="1" ht="18" customHeight="1">
      <c r="A159" s="28"/>
      <c r="B159" s="49">
        <v>73</v>
      </c>
      <c r="C159" s="56"/>
      <c r="D159" s="30" t="s">
        <v>40</v>
      </c>
      <c r="E159" s="52">
        <v>2.41</v>
      </c>
      <c r="F159" s="57">
        <v>2.5000000000000001E-2</v>
      </c>
      <c r="G159" s="57">
        <v>-2.5000000000000001E-2</v>
      </c>
      <c r="H159" s="50" t="s">
        <v>45</v>
      </c>
      <c r="I159" s="33">
        <f t="shared" si="30"/>
        <v>2.4350000000000001</v>
      </c>
      <c r="J159" s="33">
        <f t="shared" si="31"/>
        <v>2.3850000000000002</v>
      </c>
      <c r="K159" s="34"/>
      <c r="L159" s="34"/>
      <c r="M159" s="34"/>
      <c r="N159" s="28"/>
      <c r="O159" s="35" t="str">
        <f t="shared" si="32"/>
        <v xml:space="preserve"> </v>
      </c>
      <c r="P159" s="36" t="str">
        <f t="shared" si="33"/>
        <v xml:space="preserve"> </v>
      </c>
      <c r="Q159" s="36" t="str">
        <f t="shared" si="34"/>
        <v xml:space="preserve"> </v>
      </c>
      <c r="R159" s="43" t="str">
        <f t="shared" si="35"/>
        <v xml:space="preserve"> </v>
      </c>
      <c r="S159" s="44" t="str">
        <f t="shared" si="27"/>
        <v xml:space="preserve"> </v>
      </c>
      <c r="T159" s="44" t="str">
        <f t="shared" si="28"/>
        <v xml:space="preserve"> </v>
      </c>
      <c r="U159" s="45" t="str">
        <f t="shared" si="24"/>
        <v xml:space="preserve"> </v>
      </c>
      <c r="V159" s="45" t="str">
        <f t="shared" si="29"/>
        <v/>
      </c>
      <c r="W159" s="63" t="s">
        <v>91</v>
      </c>
      <c r="X159" s="28"/>
    </row>
    <row r="160" spans="1:24" s="12" customFormat="1" ht="18" customHeight="1">
      <c r="A160" s="28"/>
      <c r="B160" s="49">
        <v>74</v>
      </c>
      <c r="C160" s="56"/>
      <c r="D160" s="30" t="s">
        <v>40</v>
      </c>
      <c r="E160" s="52">
        <v>0</v>
      </c>
      <c r="F160" s="51">
        <v>0.1</v>
      </c>
      <c r="G160" s="51">
        <v>0</v>
      </c>
      <c r="H160" s="50" t="s">
        <v>45</v>
      </c>
      <c r="I160" s="33">
        <f t="shared" si="30"/>
        <v>0.1</v>
      </c>
      <c r="J160" s="33">
        <f t="shared" si="31"/>
        <v>0</v>
      </c>
      <c r="K160" s="34"/>
      <c r="L160" s="34"/>
      <c r="M160" s="34"/>
      <c r="N160" s="28"/>
      <c r="O160" s="35" t="str">
        <f t="shared" si="32"/>
        <v xml:space="preserve"> </v>
      </c>
      <c r="P160" s="36" t="str">
        <f t="shared" si="33"/>
        <v xml:space="preserve"> </v>
      </c>
      <c r="Q160" s="36" t="str">
        <f t="shared" si="34"/>
        <v xml:space="preserve"> </v>
      </c>
      <c r="R160" s="43" t="str">
        <f t="shared" si="35"/>
        <v xml:space="preserve"> </v>
      </c>
      <c r="S160" s="44" t="str">
        <f t="shared" si="27"/>
        <v xml:space="preserve"> </v>
      </c>
      <c r="T160" s="44" t="str">
        <f t="shared" si="28"/>
        <v xml:space="preserve"> </v>
      </c>
      <c r="U160" s="45" t="str">
        <f t="shared" si="24"/>
        <v xml:space="preserve"> </v>
      </c>
      <c r="V160" s="45" t="str">
        <f t="shared" si="29"/>
        <v/>
      </c>
      <c r="W160" s="63" t="s">
        <v>91</v>
      </c>
      <c r="X160" s="28"/>
    </row>
    <row r="161" spans="1:24" s="12" customFormat="1" ht="18" customHeight="1">
      <c r="A161" s="28"/>
      <c r="B161" s="49">
        <v>75</v>
      </c>
      <c r="C161" s="56"/>
      <c r="D161" s="30" t="s">
        <v>40</v>
      </c>
      <c r="E161" s="62">
        <v>13</v>
      </c>
      <c r="F161" s="51">
        <v>0.2</v>
      </c>
      <c r="G161" s="51">
        <v>-0.2</v>
      </c>
      <c r="H161" s="50" t="s">
        <v>45</v>
      </c>
      <c r="I161" s="33">
        <f t="shared" si="30"/>
        <v>13.2</v>
      </c>
      <c r="J161" s="33">
        <f t="shared" si="31"/>
        <v>12.8</v>
      </c>
      <c r="K161" s="34"/>
      <c r="L161" s="34"/>
      <c r="M161" s="34"/>
      <c r="N161" s="28"/>
      <c r="O161" s="35" t="str">
        <f t="shared" si="32"/>
        <v xml:space="preserve"> </v>
      </c>
      <c r="P161" s="36" t="str">
        <f t="shared" si="33"/>
        <v xml:space="preserve"> </v>
      </c>
      <c r="Q161" s="36" t="str">
        <f t="shared" si="34"/>
        <v xml:space="preserve"> </v>
      </c>
      <c r="R161" s="43" t="str">
        <f t="shared" si="35"/>
        <v xml:space="preserve"> </v>
      </c>
      <c r="S161" s="44" t="str">
        <f t="shared" si="27"/>
        <v xml:space="preserve"> </v>
      </c>
      <c r="T161" s="44" t="str">
        <f t="shared" si="28"/>
        <v xml:space="preserve"> </v>
      </c>
      <c r="U161" s="45" t="str">
        <f t="shared" si="24"/>
        <v xml:space="preserve"> </v>
      </c>
      <c r="V161" s="45" t="str">
        <f t="shared" si="29"/>
        <v/>
      </c>
      <c r="W161" s="63" t="s">
        <v>91</v>
      </c>
      <c r="X161" s="28"/>
    </row>
    <row r="162" spans="1:24" s="12" customFormat="1" ht="18" customHeight="1">
      <c r="A162" s="28"/>
      <c r="B162" s="49">
        <v>76</v>
      </c>
      <c r="C162" s="56"/>
      <c r="D162" s="30" t="s">
        <v>40</v>
      </c>
      <c r="E162" s="62">
        <v>23</v>
      </c>
      <c r="F162" s="51">
        <v>0.3</v>
      </c>
      <c r="G162" s="51">
        <v>-0.3</v>
      </c>
      <c r="H162" s="50" t="s">
        <v>45</v>
      </c>
      <c r="I162" s="33">
        <f t="shared" si="30"/>
        <v>23.3</v>
      </c>
      <c r="J162" s="33">
        <f t="shared" si="31"/>
        <v>22.7</v>
      </c>
      <c r="K162" s="34"/>
      <c r="L162" s="34"/>
      <c r="M162" s="34"/>
      <c r="N162" s="28"/>
      <c r="O162" s="35" t="str">
        <f t="shared" si="32"/>
        <v xml:space="preserve"> </v>
      </c>
      <c r="P162" s="36" t="str">
        <f t="shared" si="33"/>
        <v xml:space="preserve"> </v>
      </c>
      <c r="Q162" s="36" t="str">
        <f t="shared" si="34"/>
        <v xml:space="preserve"> </v>
      </c>
      <c r="R162" s="43" t="str">
        <f t="shared" si="35"/>
        <v xml:space="preserve"> </v>
      </c>
      <c r="S162" s="44" t="str">
        <f t="shared" si="27"/>
        <v xml:space="preserve"> </v>
      </c>
      <c r="T162" s="44" t="str">
        <f t="shared" si="28"/>
        <v xml:space="preserve"> </v>
      </c>
      <c r="U162" s="45" t="str">
        <f t="shared" si="24"/>
        <v xml:space="preserve"> </v>
      </c>
      <c r="V162" s="45" t="str">
        <f t="shared" si="29"/>
        <v/>
      </c>
      <c r="W162" s="63" t="s">
        <v>91</v>
      </c>
      <c r="X162" s="28"/>
    </row>
    <row r="163" spans="1:24" s="12" customFormat="1" ht="18" customHeight="1">
      <c r="A163" s="28"/>
      <c r="B163" s="49">
        <v>77</v>
      </c>
      <c r="C163" s="56"/>
      <c r="D163" s="30" t="s">
        <v>40</v>
      </c>
      <c r="E163" s="52">
        <v>3</v>
      </c>
      <c r="F163" s="51">
        <v>0.3</v>
      </c>
      <c r="G163" s="51">
        <v>-0.3</v>
      </c>
      <c r="H163" s="50" t="s">
        <v>45</v>
      </c>
      <c r="I163" s="33">
        <f t="shared" si="30"/>
        <v>3.3</v>
      </c>
      <c r="J163" s="33">
        <f t="shared" si="31"/>
        <v>2.7</v>
      </c>
      <c r="K163" s="34"/>
      <c r="L163" s="34"/>
      <c r="M163" s="34"/>
      <c r="N163" s="28"/>
      <c r="O163" s="35" t="str">
        <f t="shared" si="32"/>
        <v xml:space="preserve"> </v>
      </c>
      <c r="P163" s="36" t="str">
        <f t="shared" si="33"/>
        <v xml:space="preserve"> </v>
      </c>
      <c r="Q163" s="36" t="str">
        <f t="shared" si="34"/>
        <v xml:space="preserve"> </v>
      </c>
      <c r="R163" s="43" t="str">
        <f t="shared" si="35"/>
        <v xml:space="preserve"> </v>
      </c>
      <c r="S163" s="44" t="str">
        <f t="shared" si="27"/>
        <v xml:space="preserve"> </v>
      </c>
      <c r="T163" s="44" t="str">
        <f t="shared" si="28"/>
        <v xml:space="preserve"> </v>
      </c>
      <c r="U163" s="45" t="str">
        <f t="shared" si="24"/>
        <v xml:space="preserve"> </v>
      </c>
      <c r="V163" s="45" t="str">
        <f t="shared" si="29"/>
        <v/>
      </c>
      <c r="W163" s="63" t="s">
        <v>91</v>
      </c>
      <c r="X163" s="28"/>
    </row>
    <row r="164" spans="1:24" s="12" customFormat="1" ht="18" customHeight="1">
      <c r="A164" s="28"/>
      <c r="B164" s="49">
        <v>78</v>
      </c>
      <c r="C164" s="56"/>
      <c r="D164" s="30" t="s">
        <v>40</v>
      </c>
      <c r="E164" s="52">
        <v>2.41</v>
      </c>
      <c r="F164" s="57">
        <v>2.5000000000000001E-2</v>
      </c>
      <c r="G164" s="57">
        <v>-2.5000000000000001E-2</v>
      </c>
      <c r="H164" s="50" t="s">
        <v>45</v>
      </c>
      <c r="I164" s="33">
        <f t="shared" si="30"/>
        <v>2.4350000000000001</v>
      </c>
      <c r="J164" s="33">
        <f t="shared" si="31"/>
        <v>2.3850000000000002</v>
      </c>
      <c r="K164" s="34"/>
      <c r="L164" s="34"/>
      <c r="M164" s="34"/>
      <c r="N164" s="28"/>
      <c r="O164" s="35" t="str">
        <f t="shared" si="32"/>
        <v xml:space="preserve"> </v>
      </c>
      <c r="P164" s="36" t="str">
        <f t="shared" si="33"/>
        <v xml:space="preserve"> </v>
      </c>
      <c r="Q164" s="36" t="str">
        <f t="shared" si="34"/>
        <v xml:space="preserve"> </v>
      </c>
      <c r="R164" s="43" t="str">
        <f t="shared" si="35"/>
        <v xml:space="preserve"> </v>
      </c>
      <c r="S164" s="44" t="str">
        <f t="shared" si="27"/>
        <v xml:space="preserve"> </v>
      </c>
      <c r="T164" s="44" t="str">
        <f t="shared" si="28"/>
        <v xml:space="preserve"> </v>
      </c>
      <c r="U164" s="45" t="str">
        <f t="shared" si="24"/>
        <v xml:space="preserve"> </v>
      </c>
      <c r="V164" s="45" t="str">
        <f t="shared" si="29"/>
        <v/>
      </c>
      <c r="W164" s="63" t="s">
        <v>91</v>
      </c>
      <c r="X164" s="28"/>
    </row>
    <row r="165" spans="1:24" s="12" customFormat="1" ht="18" customHeight="1">
      <c r="A165" s="28"/>
      <c r="B165" s="49">
        <v>79</v>
      </c>
      <c r="C165" s="56"/>
      <c r="D165" s="30" t="s">
        <v>40</v>
      </c>
      <c r="E165" s="52">
        <v>13</v>
      </c>
      <c r="F165" s="51">
        <v>0.2</v>
      </c>
      <c r="G165" s="51">
        <v>-0.2</v>
      </c>
      <c r="H165" s="50" t="s">
        <v>45</v>
      </c>
      <c r="I165" s="33">
        <f t="shared" si="30"/>
        <v>13.2</v>
      </c>
      <c r="J165" s="33">
        <f t="shared" si="31"/>
        <v>12.8</v>
      </c>
      <c r="K165" s="34"/>
      <c r="L165" s="34"/>
      <c r="M165" s="34"/>
      <c r="N165" s="28"/>
      <c r="O165" s="35" t="str">
        <f t="shared" si="32"/>
        <v xml:space="preserve"> </v>
      </c>
      <c r="P165" s="36" t="str">
        <f t="shared" si="33"/>
        <v xml:space="preserve"> </v>
      </c>
      <c r="Q165" s="36" t="str">
        <f t="shared" si="34"/>
        <v xml:space="preserve"> </v>
      </c>
      <c r="R165" s="43" t="str">
        <f t="shared" si="35"/>
        <v xml:space="preserve"> </v>
      </c>
      <c r="S165" s="44" t="str">
        <f t="shared" si="27"/>
        <v xml:space="preserve"> </v>
      </c>
      <c r="T165" s="44" t="str">
        <f t="shared" si="28"/>
        <v xml:space="preserve"> </v>
      </c>
      <c r="U165" s="45" t="str">
        <f t="shared" si="24"/>
        <v xml:space="preserve"> </v>
      </c>
      <c r="V165" s="45" t="str">
        <f t="shared" si="29"/>
        <v/>
      </c>
      <c r="W165" s="63" t="s">
        <v>91</v>
      </c>
      <c r="X165" s="28"/>
    </row>
    <row r="166" spans="1:24" s="12" customFormat="1" ht="18" customHeight="1">
      <c r="A166" s="28"/>
      <c r="B166" s="49">
        <v>80</v>
      </c>
      <c r="C166" s="56"/>
      <c r="D166" s="30" t="s">
        <v>40</v>
      </c>
      <c r="E166" s="52">
        <v>2.27</v>
      </c>
      <c r="F166" s="51">
        <v>0.1</v>
      </c>
      <c r="G166" s="51">
        <v>-0.1</v>
      </c>
      <c r="H166" s="50" t="s">
        <v>45</v>
      </c>
      <c r="I166" s="33">
        <f t="shared" si="30"/>
        <v>2.37</v>
      </c>
      <c r="J166" s="33">
        <f t="shared" si="31"/>
        <v>2.17</v>
      </c>
      <c r="K166" s="34"/>
      <c r="L166" s="34"/>
      <c r="M166" s="34"/>
      <c r="N166" s="28"/>
      <c r="O166" s="35" t="str">
        <f t="shared" si="32"/>
        <v xml:space="preserve"> </v>
      </c>
      <c r="P166" s="36" t="str">
        <f t="shared" si="33"/>
        <v xml:space="preserve"> </v>
      </c>
      <c r="Q166" s="36" t="str">
        <f t="shared" si="34"/>
        <v xml:space="preserve"> </v>
      </c>
      <c r="R166" s="43" t="str">
        <f t="shared" si="35"/>
        <v xml:space="preserve"> </v>
      </c>
      <c r="S166" s="44" t="str">
        <f t="shared" si="27"/>
        <v xml:space="preserve"> </v>
      </c>
      <c r="T166" s="44" t="str">
        <f t="shared" si="28"/>
        <v xml:space="preserve"> </v>
      </c>
      <c r="U166" s="45" t="str">
        <f t="shared" si="24"/>
        <v xml:space="preserve"> </v>
      </c>
      <c r="V166" s="45" t="str">
        <f t="shared" si="29"/>
        <v/>
      </c>
      <c r="W166" s="63" t="s">
        <v>91</v>
      </c>
      <c r="X166" s="28"/>
    </row>
    <row r="167" spans="1:24" s="12" customFormat="1" ht="18" customHeight="1">
      <c r="A167" s="28"/>
      <c r="B167" s="49">
        <v>81</v>
      </c>
      <c r="C167" s="56"/>
      <c r="D167" s="30" t="s">
        <v>40</v>
      </c>
      <c r="E167" s="52">
        <v>23</v>
      </c>
      <c r="F167" s="51">
        <v>0.3</v>
      </c>
      <c r="G167" s="51">
        <v>-0.3</v>
      </c>
      <c r="H167" s="50" t="s">
        <v>45</v>
      </c>
      <c r="I167" s="33">
        <f t="shared" si="30"/>
        <v>23.3</v>
      </c>
      <c r="J167" s="33">
        <f t="shared" si="31"/>
        <v>22.7</v>
      </c>
      <c r="K167" s="34"/>
      <c r="L167" s="34"/>
      <c r="M167" s="34"/>
      <c r="N167" s="28"/>
      <c r="O167" s="35" t="str">
        <f t="shared" si="32"/>
        <v xml:space="preserve"> </v>
      </c>
      <c r="P167" s="36" t="str">
        <f t="shared" si="33"/>
        <v xml:space="preserve"> </v>
      </c>
      <c r="Q167" s="36" t="str">
        <f t="shared" si="34"/>
        <v xml:space="preserve"> </v>
      </c>
      <c r="R167" s="43" t="str">
        <f t="shared" si="35"/>
        <v xml:space="preserve"> </v>
      </c>
      <c r="S167" s="44" t="str">
        <f t="shared" si="27"/>
        <v xml:space="preserve"> </v>
      </c>
      <c r="T167" s="44" t="str">
        <f t="shared" si="28"/>
        <v xml:space="preserve"> </v>
      </c>
      <c r="U167" s="45" t="str">
        <f t="shared" si="24"/>
        <v xml:space="preserve"> </v>
      </c>
      <c r="V167" s="45" t="str">
        <f t="shared" si="29"/>
        <v/>
      </c>
      <c r="W167" s="63" t="s">
        <v>91</v>
      </c>
      <c r="X167" s="28"/>
    </row>
    <row r="168" spans="1:24" s="12" customFormat="1" ht="18" customHeight="1">
      <c r="A168" s="28"/>
      <c r="B168" s="49">
        <v>82</v>
      </c>
      <c r="C168" s="56"/>
      <c r="D168" s="30" t="s">
        <v>40</v>
      </c>
      <c r="E168" s="52">
        <v>0</v>
      </c>
      <c r="F168" s="51">
        <v>0.1</v>
      </c>
      <c r="G168" s="51">
        <v>0</v>
      </c>
      <c r="H168" s="50" t="s">
        <v>45</v>
      </c>
      <c r="I168" s="33">
        <f t="shared" si="30"/>
        <v>0.1</v>
      </c>
      <c r="J168" s="33">
        <f t="shared" si="31"/>
        <v>0</v>
      </c>
      <c r="K168" s="34"/>
      <c r="L168" s="34"/>
      <c r="M168" s="34"/>
      <c r="N168" s="28"/>
      <c r="O168" s="35" t="str">
        <f t="shared" si="32"/>
        <v xml:space="preserve"> </v>
      </c>
      <c r="P168" s="36" t="str">
        <f t="shared" si="33"/>
        <v xml:space="preserve"> </v>
      </c>
      <c r="Q168" s="36" t="str">
        <f t="shared" si="34"/>
        <v xml:space="preserve"> </v>
      </c>
      <c r="R168" s="43" t="str">
        <f t="shared" si="35"/>
        <v xml:space="preserve"> </v>
      </c>
      <c r="S168" s="44" t="str">
        <f t="shared" si="27"/>
        <v xml:space="preserve"> </v>
      </c>
      <c r="T168" s="44" t="str">
        <f t="shared" si="28"/>
        <v xml:space="preserve"> </v>
      </c>
      <c r="U168" s="45" t="str">
        <f t="shared" si="24"/>
        <v xml:space="preserve"> </v>
      </c>
      <c r="V168" s="45" t="str">
        <f t="shared" si="29"/>
        <v/>
      </c>
      <c r="W168" s="63" t="s">
        <v>91</v>
      </c>
      <c r="X168" s="28"/>
    </row>
    <row r="169" spans="1:24" s="12" customFormat="1" ht="18" customHeight="1">
      <c r="A169" s="28"/>
      <c r="B169" s="49">
        <v>83</v>
      </c>
      <c r="C169" s="56"/>
      <c r="D169" s="30" t="s">
        <v>40</v>
      </c>
      <c r="E169" s="52">
        <v>10.06</v>
      </c>
      <c r="F169" s="51">
        <v>0.05</v>
      </c>
      <c r="G169" s="51">
        <v>-0.05</v>
      </c>
      <c r="H169" s="50" t="s">
        <v>45</v>
      </c>
      <c r="I169" s="33">
        <f t="shared" si="30"/>
        <v>10.110000000000001</v>
      </c>
      <c r="J169" s="33">
        <f t="shared" si="31"/>
        <v>10.01</v>
      </c>
      <c r="K169" s="34">
        <v>10.1</v>
      </c>
      <c r="L169" s="34">
        <v>10.102</v>
      </c>
      <c r="M169" s="34">
        <v>10.108000000000001</v>
      </c>
      <c r="N169" s="28"/>
      <c r="O169" s="35">
        <f t="shared" si="32"/>
        <v>3.9999999999999147E-2</v>
      </c>
      <c r="P169" s="36">
        <f t="shared" si="33"/>
        <v>4.1999999999999815E-2</v>
      </c>
      <c r="Q169" s="36">
        <f t="shared" si="34"/>
        <v>4.8000000000000043E-2</v>
      </c>
      <c r="R169" s="43">
        <f t="shared" si="35"/>
        <v>10.103333333333333</v>
      </c>
      <c r="S169" s="44">
        <f t="shared" si="27"/>
        <v>0.96000000000000085</v>
      </c>
      <c r="T169" s="44">
        <f t="shared" si="28"/>
        <v>0</v>
      </c>
      <c r="U169" s="45" t="str">
        <f t="shared" si="24"/>
        <v>Alert</v>
      </c>
      <c r="V169" s="45" t="str">
        <f t="shared" si="29"/>
        <v xml:space="preserve"> </v>
      </c>
      <c r="W169" s="47"/>
      <c r="X169" s="28"/>
    </row>
    <row r="170" spans="1:24" s="12" customFormat="1" ht="18" customHeight="1">
      <c r="A170" s="28"/>
      <c r="B170" s="49">
        <v>84</v>
      </c>
      <c r="C170" s="56"/>
      <c r="D170" s="30" t="s">
        <v>40</v>
      </c>
      <c r="E170" s="52">
        <v>3.55</v>
      </c>
      <c r="F170" s="51">
        <v>0.05</v>
      </c>
      <c r="G170" s="51">
        <v>-0.05</v>
      </c>
      <c r="H170" s="50" t="s">
        <v>45</v>
      </c>
      <c r="I170" s="33">
        <f t="shared" si="30"/>
        <v>3.5999999999999996</v>
      </c>
      <c r="J170" s="33">
        <f t="shared" si="31"/>
        <v>3.5</v>
      </c>
      <c r="K170" s="34">
        <v>3.5019999999999998</v>
      </c>
      <c r="L170" s="34">
        <v>3.5110000000000001</v>
      </c>
      <c r="M170" s="34">
        <v>3.512</v>
      </c>
      <c r="N170" s="28"/>
      <c r="O170" s="35">
        <f t="shared" si="32"/>
        <v>-4.8000000000000043E-2</v>
      </c>
      <c r="P170" s="36">
        <f t="shared" si="33"/>
        <v>-3.8999999999999702E-2</v>
      </c>
      <c r="Q170" s="36">
        <f t="shared" si="34"/>
        <v>-3.7999999999999812E-2</v>
      </c>
      <c r="R170" s="43">
        <f t="shared" si="35"/>
        <v>3.5083333333333333</v>
      </c>
      <c r="S170" s="44">
        <f t="shared" si="27"/>
        <v>0</v>
      </c>
      <c r="T170" s="44">
        <f t="shared" si="28"/>
        <v>0.96000000000000085</v>
      </c>
      <c r="U170" s="45" t="str">
        <f t="shared" si="24"/>
        <v xml:space="preserve"> </v>
      </c>
      <c r="V170" s="45" t="str">
        <f t="shared" si="29"/>
        <v>Alert</v>
      </c>
      <c r="W170" s="47"/>
      <c r="X170" s="28"/>
    </row>
    <row r="171" spans="1:24" s="12" customFormat="1" ht="18" customHeight="1">
      <c r="A171" s="28"/>
      <c r="B171" s="29">
        <v>85</v>
      </c>
      <c r="C171" s="56"/>
      <c r="D171" s="30" t="s">
        <v>40</v>
      </c>
      <c r="E171" s="52">
        <v>138.88999999999999</v>
      </c>
      <c r="F171" s="51">
        <v>0.15</v>
      </c>
      <c r="G171" s="51">
        <v>-0.15</v>
      </c>
      <c r="H171" s="50" t="s">
        <v>45</v>
      </c>
      <c r="I171" s="33">
        <f t="shared" si="30"/>
        <v>139.04</v>
      </c>
      <c r="J171" s="33">
        <f t="shared" si="31"/>
        <v>138.73999999999998</v>
      </c>
      <c r="K171" s="34">
        <v>138.99799999999999</v>
      </c>
      <c r="L171" s="34">
        <v>138.994</v>
      </c>
      <c r="M171" s="34">
        <v>139.01599999999999</v>
      </c>
      <c r="N171" s="28"/>
      <c r="O171" s="35">
        <f t="shared" si="32"/>
        <v>0.10800000000000409</v>
      </c>
      <c r="P171" s="36">
        <f t="shared" si="33"/>
        <v>0.10400000000001342</v>
      </c>
      <c r="Q171" s="36">
        <f t="shared" si="34"/>
        <v>0.12600000000000477</v>
      </c>
      <c r="R171" s="43">
        <f t="shared" si="35"/>
        <v>139.00266666666664</v>
      </c>
      <c r="S171" s="44">
        <f t="shared" si="27"/>
        <v>0.84000000000003183</v>
      </c>
      <c r="T171" s="44">
        <f t="shared" si="28"/>
        <v>0</v>
      </c>
      <c r="U171" s="45" t="str">
        <f t="shared" si="24"/>
        <v>Alert</v>
      </c>
      <c r="V171" s="45" t="str">
        <f t="shared" si="29"/>
        <v xml:space="preserve"> </v>
      </c>
      <c r="W171" s="47"/>
      <c r="X171" s="28"/>
    </row>
    <row r="172" spans="1:24" s="12" customFormat="1" ht="18" customHeight="1">
      <c r="A172" s="28"/>
      <c r="B172" s="29">
        <v>86</v>
      </c>
      <c r="C172" s="53" t="s">
        <v>73</v>
      </c>
      <c r="D172" s="30" t="s">
        <v>40</v>
      </c>
      <c r="E172" s="52">
        <v>41.14</v>
      </c>
      <c r="F172" s="51">
        <v>0.05</v>
      </c>
      <c r="G172" s="51">
        <v>-0.05</v>
      </c>
      <c r="H172" s="50" t="s">
        <v>45</v>
      </c>
      <c r="I172" s="33">
        <f t="shared" ref="I172:I180" si="45">IF(AND(E172="",F172=""),"",IF(E172="",F172,E172+F172))</f>
        <v>41.19</v>
      </c>
      <c r="J172" s="33">
        <f t="shared" ref="J172:J180" si="46">IF(AND(E172="",G172=""),"",IF(E172="",G172,E172+G172))</f>
        <v>41.09</v>
      </c>
      <c r="K172" s="34">
        <v>41.17</v>
      </c>
      <c r="L172" s="34">
        <v>41.174999999999997</v>
      </c>
      <c r="M172" s="34">
        <v>41.173000000000002</v>
      </c>
      <c r="N172" s="28"/>
      <c r="O172" s="35">
        <f t="shared" si="32"/>
        <v>3.0000000000001137E-2</v>
      </c>
      <c r="P172" s="36">
        <f t="shared" si="33"/>
        <v>3.4999999999996589E-2</v>
      </c>
      <c r="Q172" s="36">
        <f t="shared" si="34"/>
        <v>3.3000000000001251E-2</v>
      </c>
      <c r="R172" s="43">
        <f t="shared" si="35"/>
        <v>41.172666666666665</v>
      </c>
      <c r="S172" s="44">
        <f t="shared" si="27"/>
        <v>0.69999999999993179</v>
      </c>
      <c r="T172" s="44">
        <f t="shared" si="28"/>
        <v>0</v>
      </c>
      <c r="U172" s="45" t="str">
        <f t="shared" si="24"/>
        <v>Alert</v>
      </c>
      <c r="V172" s="45" t="str">
        <f t="shared" si="29"/>
        <v xml:space="preserve"> </v>
      </c>
      <c r="W172" s="47"/>
      <c r="X172" s="28"/>
    </row>
    <row r="173" spans="1:24" s="12" customFormat="1" ht="18" customHeight="1">
      <c r="A173" s="28"/>
      <c r="B173" s="29"/>
      <c r="C173" s="53" t="s">
        <v>74</v>
      </c>
      <c r="D173" s="30" t="s">
        <v>40</v>
      </c>
      <c r="E173" s="52">
        <v>41.14</v>
      </c>
      <c r="F173" s="51">
        <v>0.05</v>
      </c>
      <c r="G173" s="51">
        <v>-0.05</v>
      </c>
      <c r="H173" s="50" t="s">
        <v>45</v>
      </c>
      <c r="I173" s="33">
        <f t="shared" si="45"/>
        <v>41.19</v>
      </c>
      <c r="J173" s="33">
        <f t="shared" si="46"/>
        <v>41.09</v>
      </c>
      <c r="K173" s="34">
        <v>41.183</v>
      </c>
      <c r="L173" s="34">
        <v>41.180999999999997</v>
      </c>
      <c r="M173" s="34">
        <v>41.185000000000002</v>
      </c>
      <c r="N173" s="28"/>
      <c r="O173" s="35">
        <f t="shared" si="32"/>
        <v>4.2999999999999261E-2</v>
      </c>
      <c r="P173" s="36">
        <f t="shared" si="33"/>
        <v>4.0999999999996817E-2</v>
      </c>
      <c r="Q173" s="36">
        <f t="shared" si="34"/>
        <v>4.5000000000001705E-2</v>
      </c>
      <c r="R173" s="43">
        <f t="shared" si="35"/>
        <v>41.183</v>
      </c>
      <c r="S173" s="44">
        <f t="shared" si="27"/>
        <v>0.90000000000003411</v>
      </c>
      <c r="T173" s="44">
        <f t="shared" si="28"/>
        <v>0</v>
      </c>
      <c r="U173" s="45" t="str">
        <f t="shared" si="24"/>
        <v>Alert</v>
      </c>
      <c r="V173" s="45" t="str">
        <f t="shared" si="29"/>
        <v xml:space="preserve"> </v>
      </c>
      <c r="W173" s="47"/>
      <c r="X173" s="28"/>
    </row>
    <row r="174" spans="1:24" s="12" customFormat="1" ht="18" customHeight="1">
      <c r="A174" s="28"/>
      <c r="B174" s="29">
        <v>87</v>
      </c>
      <c r="C174" s="53" t="s">
        <v>73</v>
      </c>
      <c r="D174" s="30" t="s">
        <v>40</v>
      </c>
      <c r="E174" s="52">
        <v>0.6</v>
      </c>
      <c r="F174" s="51">
        <v>0.03</v>
      </c>
      <c r="G174" s="51">
        <v>-0.03</v>
      </c>
      <c r="H174" s="50" t="s">
        <v>78</v>
      </c>
      <c r="I174" s="33">
        <f t="shared" si="45"/>
        <v>0.63</v>
      </c>
      <c r="J174" s="33">
        <f t="shared" si="46"/>
        <v>0.56999999999999995</v>
      </c>
      <c r="K174" s="34">
        <v>0.55900000000000005</v>
      </c>
      <c r="L174" s="34">
        <v>0.56599999999999995</v>
      </c>
      <c r="M174" s="34">
        <v>0.56000000000000005</v>
      </c>
      <c r="N174" s="28"/>
      <c r="O174" s="35">
        <f t="shared" si="32"/>
        <v>-4.0999999999999925E-2</v>
      </c>
      <c r="P174" s="36">
        <f t="shared" si="33"/>
        <v>-3.400000000000003E-2</v>
      </c>
      <c r="Q174" s="36">
        <f t="shared" si="34"/>
        <v>-3.9999999999999925E-2</v>
      </c>
      <c r="R174" s="43">
        <f t="shared" si="35"/>
        <v>0.56166666666666665</v>
      </c>
      <c r="S174" s="44">
        <f t="shared" si="27"/>
        <v>0</v>
      </c>
      <c r="T174" s="44">
        <f t="shared" si="28"/>
        <v>1.3666666666666643</v>
      </c>
      <c r="U174" s="45" t="str">
        <f t="shared" si="24"/>
        <v xml:space="preserve"> </v>
      </c>
      <c r="V174" s="45" t="str">
        <f t="shared" si="29"/>
        <v>Reject</v>
      </c>
      <c r="W174" s="108" t="s">
        <v>104</v>
      </c>
      <c r="X174" s="28"/>
    </row>
    <row r="175" spans="1:24" s="12" customFormat="1" ht="18" customHeight="1">
      <c r="A175" s="28"/>
      <c r="B175" s="29"/>
      <c r="C175" s="53" t="s">
        <v>81</v>
      </c>
      <c r="D175" s="30" t="s">
        <v>40</v>
      </c>
      <c r="E175" s="52">
        <v>0.6</v>
      </c>
      <c r="F175" s="51">
        <v>0.03</v>
      </c>
      <c r="G175" s="51">
        <v>-0.03</v>
      </c>
      <c r="H175" s="50" t="s">
        <v>78</v>
      </c>
      <c r="I175" s="33">
        <f t="shared" si="45"/>
        <v>0.63</v>
      </c>
      <c r="J175" s="33">
        <f t="shared" si="46"/>
        <v>0.56999999999999995</v>
      </c>
      <c r="K175" s="34">
        <v>0.57499999999999996</v>
      </c>
      <c r="L175" s="34">
        <v>0.57299999999999995</v>
      </c>
      <c r="M175" s="34">
        <v>0.57399999999999995</v>
      </c>
      <c r="N175" s="28"/>
      <c r="O175" s="35">
        <f t="shared" si="32"/>
        <v>-2.5000000000000022E-2</v>
      </c>
      <c r="P175" s="36">
        <f t="shared" si="33"/>
        <v>-2.7000000000000024E-2</v>
      </c>
      <c r="Q175" s="36">
        <f t="shared" si="34"/>
        <v>-2.6000000000000023E-2</v>
      </c>
      <c r="R175" s="43">
        <f t="shared" si="35"/>
        <v>0.57399999999999995</v>
      </c>
      <c r="S175" s="44">
        <f t="shared" si="27"/>
        <v>0</v>
      </c>
      <c r="T175" s="44">
        <f t="shared" si="28"/>
        <v>0.9000000000000008</v>
      </c>
      <c r="U175" s="45" t="str">
        <f t="shared" si="24"/>
        <v xml:space="preserve"> </v>
      </c>
      <c r="V175" s="45" t="str">
        <f t="shared" si="29"/>
        <v>Alert</v>
      </c>
      <c r="W175" s="47"/>
      <c r="X175" s="28"/>
    </row>
    <row r="176" spans="1:24" s="12" customFormat="1" ht="18" customHeight="1">
      <c r="A176" s="28"/>
      <c r="B176" s="29"/>
      <c r="C176" s="53" t="s">
        <v>74</v>
      </c>
      <c r="D176" s="30" t="s">
        <v>40</v>
      </c>
      <c r="E176" s="52">
        <v>0.6</v>
      </c>
      <c r="F176" s="51">
        <v>0.03</v>
      </c>
      <c r="G176" s="51">
        <v>-0.03</v>
      </c>
      <c r="H176" s="50" t="s">
        <v>78</v>
      </c>
      <c r="I176" s="33">
        <f t="shared" si="45"/>
        <v>0.63</v>
      </c>
      <c r="J176" s="33">
        <f t="shared" si="46"/>
        <v>0.56999999999999995</v>
      </c>
      <c r="K176" s="34">
        <v>0.58599999999999997</v>
      </c>
      <c r="L176" s="34">
        <v>0.58299999999999996</v>
      </c>
      <c r="M176" s="34">
        <v>0.58099999999999996</v>
      </c>
      <c r="N176" s="28"/>
      <c r="O176" s="35">
        <f t="shared" si="32"/>
        <v>-1.4000000000000012E-2</v>
      </c>
      <c r="P176" s="36">
        <f t="shared" si="33"/>
        <v>-1.7000000000000015E-2</v>
      </c>
      <c r="Q176" s="36">
        <f t="shared" si="34"/>
        <v>-1.9000000000000017E-2</v>
      </c>
      <c r="R176" s="43">
        <f t="shared" si="35"/>
        <v>0.58333333333333337</v>
      </c>
      <c r="S176" s="44">
        <f t="shared" si="27"/>
        <v>0</v>
      </c>
      <c r="T176" s="44">
        <f t="shared" si="28"/>
        <v>0.63333333333333397</v>
      </c>
      <c r="U176" s="45" t="str">
        <f t="shared" si="24"/>
        <v xml:space="preserve"> </v>
      </c>
      <c r="V176" s="45" t="str">
        <f t="shared" si="29"/>
        <v xml:space="preserve"> </v>
      </c>
      <c r="W176" s="47"/>
      <c r="X176" s="28"/>
    </row>
    <row r="177" spans="1:24" s="12" customFormat="1" ht="18" customHeight="1">
      <c r="A177" s="28"/>
      <c r="B177" s="29">
        <v>88</v>
      </c>
      <c r="C177" s="56"/>
      <c r="D177" s="30" t="s">
        <v>40</v>
      </c>
      <c r="E177" s="52">
        <v>0.7</v>
      </c>
      <c r="F177" s="51">
        <v>0.03</v>
      </c>
      <c r="G177" s="51">
        <v>-0.03</v>
      </c>
      <c r="H177" s="50" t="s">
        <v>78</v>
      </c>
      <c r="I177" s="33">
        <f t="shared" si="45"/>
        <v>0.73</v>
      </c>
      <c r="J177" s="33">
        <f t="shared" si="46"/>
        <v>0.66999999999999993</v>
      </c>
      <c r="K177" s="34">
        <v>0.70599999999999996</v>
      </c>
      <c r="L177" s="34">
        <v>0.72199999999999998</v>
      </c>
      <c r="M177" s="34">
        <v>0.71799999999999997</v>
      </c>
      <c r="N177" s="28"/>
      <c r="O177" s="35">
        <f t="shared" si="32"/>
        <v>6.0000000000000053E-3</v>
      </c>
      <c r="P177" s="36">
        <f t="shared" si="33"/>
        <v>2.200000000000002E-2</v>
      </c>
      <c r="Q177" s="36">
        <f t="shared" si="34"/>
        <v>1.8000000000000016E-2</v>
      </c>
      <c r="R177" s="43">
        <f t="shared" si="35"/>
        <v>0.71533333333333327</v>
      </c>
      <c r="S177" s="44">
        <f t="shared" ref="S177:S180" si="47">IF(ISERR(F177/F177)=TRUE," ",IF(ISERR(K177/K177)=TRUE," ",IF(ISNUMBER($K177)=FALSE," ",IF(MAX($K177:$M177)&lt;$E177,0,(MAX($K177:$M177)-$E177)/$F177))))</f>
        <v>0.73333333333333406</v>
      </c>
      <c r="T177" s="44">
        <f t="shared" ref="T177:T180" si="48">IF(ISERR(G177/E177)=TRUE," ",IF(ISERR(G177/G177)=TRUE," ",IF(ISERR(K177/K177)=TRUE," ",IF(ISNUMBER(K177)=FALSE," ",IF(MIN(K177:M177)&gt;$E177,0,($E177-MIN(K177:M177))/-G177)))))</f>
        <v>0</v>
      </c>
      <c r="U177" s="45" t="str">
        <f t="shared" si="24"/>
        <v>Alert</v>
      </c>
      <c r="V177" s="45" t="str">
        <f t="shared" ref="V177:V180" si="49">IF(K177="","",IF(ISERR(G177/G177)=TRUE," ",IF(ISERR(G177/E177)=TRUE,IF((G177-MIN(K177:M177))&gt;0.001,"Reject",""),IF(ISNUMBER($T177)=TRUE,IF($T177&gt;0.651,IF($T177&gt;1.001,"Reject","Alert")," ")," "))))</f>
        <v xml:space="preserve"> </v>
      </c>
      <c r="W177" s="47"/>
      <c r="X177" s="28"/>
    </row>
    <row r="178" spans="1:24" s="12" customFormat="1" ht="18" customHeight="1">
      <c r="A178" s="28"/>
      <c r="B178" s="29">
        <v>89</v>
      </c>
      <c r="C178" s="53" t="s">
        <v>73</v>
      </c>
      <c r="D178" s="30" t="s">
        <v>40</v>
      </c>
      <c r="E178" s="52">
        <v>1.1100000000000001</v>
      </c>
      <c r="F178" s="51">
        <v>0.03</v>
      </c>
      <c r="G178" s="51">
        <v>-0.03</v>
      </c>
      <c r="H178" s="50" t="s">
        <v>45</v>
      </c>
      <c r="I178" s="33">
        <f t="shared" si="45"/>
        <v>1.1400000000000001</v>
      </c>
      <c r="J178" s="33">
        <f t="shared" si="46"/>
        <v>1.08</v>
      </c>
      <c r="K178" s="34">
        <v>1.1200000000000001</v>
      </c>
      <c r="L178" s="34">
        <v>1.1240000000000001</v>
      </c>
      <c r="M178" s="34">
        <v>1.127</v>
      </c>
      <c r="N178" s="28"/>
      <c r="O178" s="35">
        <f t="shared" si="32"/>
        <v>1.0000000000000009E-2</v>
      </c>
      <c r="P178" s="36">
        <f t="shared" si="33"/>
        <v>1.4000000000000012E-2</v>
      </c>
      <c r="Q178" s="36">
        <f t="shared" si="34"/>
        <v>1.6999999999999904E-2</v>
      </c>
      <c r="R178" s="43">
        <f t="shared" si="35"/>
        <v>1.1236666666666668</v>
      </c>
      <c r="S178" s="44">
        <f t="shared" si="47"/>
        <v>0.56666666666666354</v>
      </c>
      <c r="T178" s="44">
        <f t="shared" si="48"/>
        <v>0</v>
      </c>
      <c r="U178" s="45" t="str">
        <f t="shared" si="24"/>
        <v xml:space="preserve"> </v>
      </c>
      <c r="V178" s="45" t="str">
        <f t="shared" si="49"/>
        <v xml:space="preserve"> </v>
      </c>
      <c r="W178" s="47"/>
      <c r="X178" s="28"/>
    </row>
    <row r="179" spans="1:24" s="12" customFormat="1" ht="18" customHeight="1">
      <c r="A179" s="28"/>
      <c r="B179" s="29"/>
      <c r="C179" s="53" t="s">
        <v>81</v>
      </c>
      <c r="D179" s="30" t="s">
        <v>40</v>
      </c>
      <c r="E179" s="52">
        <v>1.1100000000000001</v>
      </c>
      <c r="F179" s="51">
        <v>0.03</v>
      </c>
      <c r="G179" s="51">
        <v>-0.03</v>
      </c>
      <c r="H179" s="50" t="s">
        <v>45</v>
      </c>
      <c r="I179" s="33">
        <f t="shared" si="45"/>
        <v>1.1400000000000001</v>
      </c>
      <c r="J179" s="33">
        <f t="shared" si="46"/>
        <v>1.08</v>
      </c>
      <c r="K179" s="34">
        <v>1.1499999999999999</v>
      </c>
      <c r="L179" s="34">
        <v>1.147</v>
      </c>
      <c r="M179" s="34">
        <v>1.149</v>
      </c>
      <c r="N179" s="28"/>
      <c r="O179" s="35">
        <f t="shared" si="32"/>
        <v>3.9999999999999813E-2</v>
      </c>
      <c r="P179" s="36">
        <f t="shared" si="33"/>
        <v>3.6999999999999922E-2</v>
      </c>
      <c r="Q179" s="36">
        <f t="shared" si="34"/>
        <v>3.8999999999999924E-2</v>
      </c>
      <c r="R179" s="43">
        <f t="shared" si="35"/>
        <v>1.1486666666666665</v>
      </c>
      <c r="S179" s="44">
        <f t="shared" si="47"/>
        <v>1.3333333333333273</v>
      </c>
      <c r="T179" s="44">
        <f t="shared" si="48"/>
        <v>0</v>
      </c>
      <c r="U179" s="45" t="str">
        <f t="shared" si="24"/>
        <v>Reject</v>
      </c>
      <c r="V179" s="45" t="str">
        <f t="shared" si="49"/>
        <v xml:space="preserve"> </v>
      </c>
      <c r="W179" s="108" t="s">
        <v>101</v>
      </c>
      <c r="X179" s="28"/>
    </row>
    <row r="180" spans="1:24" s="12" customFormat="1" ht="18" customHeight="1">
      <c r="A180" s="28"/>
      <c r="B180" s="29"/>
      <c r="C180" s="53" t="s">
        <v>74</v>
      </c>
      <c r="D180" s="30" t="s">
        <v>40</v>
      </c>
      <c r="E180" s="52">
        <v>1.1100000000000001</v>
      </c>
      <c r="F180" s="51">
        <v>0.03</v>
      </c>
      <c r="G180" s="51">
        <v>-0.03</v>
      </c>
      <c r="H180" s="50" t="s">
        <v>45</v>
      </c>
      <c r="I180" s="33">
        <f t="shared" si="45"/>
        <v>1.1400000000000001</v>
      </c>
      <c r="J180" s="33">
        <f t="shared" si="46"/>
        <v>1.08</v>
      </c>
      <c r="K180" s="34">
        <v>1.1200000000000001</v>
      </c>
      <c r="L180" s="34">
        <v>1.123</v>
      </c>
      <c r="M180" s="34">
        <v>1.1259999999999999</v>
      </c>
      <c r="N180" s="28"/>
      <c r="O180" s="35">
        <f t="shared" si="32"/>
        <v>1.0000000000000009E-2</v>
      </c>
      <c r="P180" s="36">
        <f t="shared" si="33"/>
        <v>1.2999999999999901E-2</v>
      </c>
      <c r="Q180" s="36">
        <f t="shared" si="34"/>
        <v>1.5999999999999792E-2</v>
      </c>
      <c r="R180" s="43">
        <f t="shared" si="35"/>
        <v>1.123</v>
      </c>
      <c r="S180" s="44">
        <f t="shared" si="47"/>
        <v>0.53333333333332644</v>
      </c>
      <c r="T180" s="44">
        <f t="shared" si="48"/>
        <v>0</v>
      </c>
      <c r="U180" s="45" t="str">
        <f t="shared" si="24"/>
        <v xml:space="preserve"> </v>
      </c>
      <c r="V180" s="45" t="str">
        <f t="shared" si="49"/>
        <v xml:space="preserve"> </v>
      </c>
      <c r="W180" s="47"/>
      <c r="X180" s="28"/>
    </row>
  </sheetData>
  <mergeCells count="30">
    <mergeCell ref="A8:J8"/>
    <mergeCell ref="K8:Q8"/>
    <mergeCell ref="R8:V8"/>
    <mergeCell ref="W8:X8"/>
    <mergeCell ref="H9:H10"/>
    <mergeCell ref="I9:I10"/>
    <mergeCell ref="J9:J10"/>
    <mergeCell ref="K9:M9"/>
    <mergeCell ref="O9:Q9"/>
    <mergeCell ref="R9:R10"/>
    <mergeCell ref="U6:X6"/>
    <mergeCell ref="B5:C5"/>
    <mergeCell ref="D5:H5"/>
    <mergeCell ref="K5:L5"/>
    <mergeCell ref="M5:Q5"/>
    <mergeCell ref="R5:T5"/>
    <mergeCell ref="U5:X5"/>
    <mergeCell ref="B6:C6"/>
    <mergeCell ref="D6:H6"/>
    <mergeCell ref="K6:L6"/>
    <mergeCell ref="M6:Q6"/>
    <mergeCell ref="R6:T6"/>
    <mergeCell ref="A1:W1"/>
    <mergeCell ref="U2:V2"/>
    <mergeCell ref="B4:C4"/>
    <mergeCell ref="D4:H4"/>
    <mergeCell ref="K4:L4"/>
    <mergeCell ref="M4:Q4"/>
    <mergeCell ref="R4:T4"/>
    <mergeCell ref="U4:X4"/>
  </mergeCells>
  <phoneticPr fontId="27" type="noConversion"/>
  <conditionalFormatting sqref="E11:E180">
    <cfRule type="expression" dxfId="7109" priority="13978">
      <formula>AND($D11&lt;&gt;"Tolerance",$E11&lt;&gt;"")</formula>
    </cfRule>
    <cfRule type="expression" dxfId="7108" priority="13979">
      <formula>AND(OR($D11="GD&amp;T",$D11="MAX",$D11="MIN"),$E11="")</formula>
    </cfRule>
    <cfRule type="containsBlanks" dxfId="7107" priority="13980">
      <formula>LEN(TRIM(E11))=0</formula>
    </cfRule>
  </conditionalFormatting>
  <conditionalFormatting sqref="F11:F180">
    <cfRule type="expression" dxfId="7106" priority="13975">
      <formula>AND($D11="MIN",$F11&lt;&gt;"")</formula>
    </cfRule>
    <cfRule type="expression" dxfId="7105" priority="13976">
      <formula>AND($D11="MIN",$F11="")</formula>
    </cfRule>
    <cfRule type="containsBlanks" dxfId="7104" priority="13977">
      <formula>LEN(TRIM(F11))=0</formula>
    </cfRule>
  </conditionalFormatting>
  <conditionalFormatting sqref="G11:G180">
    <cfRule type="expression" dxfId="7103" priority="13972">
      <formula>AND(OR($D11="GD&amp;T",$D11="MAX"),$G11&lt;&gt;"")</formula>
    </cfRule>
    <cfRule type="expression" dxfId="7102" priority="13973">
      <formula>AND(OR($D11="GD&amp;T",$D11="MAX"),$G11="")</formula>
    </cfRule>
    <cfRule type="containsBlanks" dxfId="7101" priority="13974">
      <formula>LEN(TRIM(G11))=0</formula>
    </cfRule>
  </conditionalFormatting>
  <conditionalFormatting sqref="U11:V180">
    <cfRule type="containsText" dxfId="7100" priority="13970" operator="containsText" text="Alert">
      <formula>NOT(ISERROR(SEARCH("Alert",U11)))</formula>
    </cfRule>
    <cfRule type="containsText" dxfId="7099" priority="13971" operator="containsText" text="Reject">
      <formula>NOT(ISERROR(SEARCH("Reject",U11)))</formula>
    </cfRule>
  </conditionalFormatting>
  <conditionalFormatting sqref="K11:M180">
    <cfRule type="containsBlanks" dxfId="7098" priority="13969">
      <formula>LEN(TRIM(K11))=0</formula>
    </cfRule>
  </conditionalFormatting>
  <conditionalFormatting sqref="R11:R180 K11:M180">
    <cfRule type="expression" dxfId="7097" priority="13966">
      <formula>AND($J11&lt;&gt;"",K11&lt;$J11)</formula>
    </cfRule>
    <cfRule type="expression" dxfId="7096" priority="13967">
      <formula>AND($I11&lt;&gt;"",K11&gt;$I11)</formula>
    </cfRule>
    <cfRule type="notContainsBlanks" dxfId="7095" priority="13968">
      <formula>LEN(TRIM(K11))&gt;0</formula>
    </cfRule>
  </conditionalFormatting>
  <conditionalFormatting sqref="R11:T180">
    <cfRule type="containsBlanks" dxfId="7094" priority="13965">
      <formula>LEN(TRIM(R11))=0</formula>
    </cfRule>
  </conditionalFormatting>
  <conditionalFormatting sqref="S11:T180">
    <cfRule type="cellIs" dxfId="7093" priority="13964" operator="greaterThanOrEqual">
      <formula>1</formula>
    </cfRule>
  </conditionalFormatting>
  <conditionalFormatting sqref="E11:E15 E35:E180">
    <cfRule type="expression" dxfId="7092" priority="13961">
      <formula>AND($D11&lt;&gt;"Tolerance",$E11&lt;&gt;"")</formula>
    </cfRule>
    <cfRule type="expression" dxfId="7091" priority="13962">
      <formula>AND(OR($D11="GD&amp;T",$D11="MAX",$D11="MIN"),$E11="")</formula>
    </cfRule>
    <cfRule type="containsBlanks" dxfId="7090" priority="13963">
      <formula>LEN(TRIM(E11))=0</formula>
    </cfRule>
  </conditionalFormatting>
  <conditionalFormatting sqref="F11:F180">
    <cfRule type="expression" dxfId="7089" priority="13958">
      <formula>AND($D11="MIN",$F11&lt;&gt;"")</formula>
    </cfRule>
    <cfRule type="expression" dxfId="7088" priority="13959">
      <formula>AND($D11="MIN",$F11="")</formula>
    </cfRule>
    <cfRule type="containsBlanks" dxfId="7087" priority="13960">
      <formula>LEN(TRIM(F11))=0</formula>
    </cfRule>
  </conditionalFormatting>
  <conditionalFormatting sqref="G11:G180">
    <cfRule type="expression" dxfId="7086" priority="13955">
      <formula>AND(OR($D11="GD&amp;T",$D11="MAX"),$G11&lt;&gt;"")</formula>
    </cfRule>
    <cfRule type="expression" dxfId="7085" priority="13956">
      <formula>AND(OR($D11="GD&amp;T",$D11="MAX"),$G11="")</formula>
    </cfRule>
    <cfRule type="containsBlanks" dxfId="7084" priority="13957">
      <formula>LEN(TRIM(G11))=0</formula>
    </cfRule>
  </conditionalFormatting>
  <conditionalFormatting sqref="F11">
    <cfRule type="expression" dxfId="7083" priority="13952">
      <formula>AND($D11="MIN",$F11&lt;&gt;"")</formula>
    </cfRule>
    <cfRule type="expression" dxfId="7082" priority="13953">
      <formula>AND($D11="MIN",$F11="")</formula>
    </cfRule>
    <cfRule type="containsBlanks" dxfId="7081" priority="13954">
      <formula>LEN(TRIM(F11))=0</formula>
    </cfRule>
  </conditionalFormatting>
  <conditionalFormatting sqref="G11:G12">
    <cfRule type="expression" dxfId="7080" priority="13949">
      <formula>AND(OR($D11="GD&amp;T",$D11="MAX"),$G11&lt;&gt;"")</formula>
    </cfRule>
    <cfRule type="expression" dxfId="7079" priority="13950">
      <formula>AND(OR($D11="GD&amp;T",$D11="MAX"),$G11="")</formula>
    </cfRule>
    <cfRule type="containsBlanks" dxfId="7078" priority="13951">
      <formula>LEN(TRIM(G11))=0</formula>
    </cfRule>
  </conditionalFormatting>
  <conditionalFormatting sqref="E11">
    <cfRule type="expression" dxfId="7077" priority="13946">
      <formula>AND($D11&lt;&gt;"Tolerance",$E11&lt;&gt;"")</formula>
    </cfRule>
    <cfRule type="expression" dxfId="7076" priority="13947">
      <formula>AND(OR($D11="GD&amp;T",$D11="MAX",$D11="MIN"),$E11="")</formula>
    </cfRule>
    <cfRule type="containsBlanks" dxfId="7075" priority="13948">
      <formula>LEN(TRIM(E11))=0</formula>
    </cfRule>
  </conditionalFormatting>
  <conditionalFormatting sqref="E11">
    <cfRule type="expression" dxfId="7074" priority="13943">
      <formula>AND($D11&lt;&gt;"Tolerance",$E11&lt;&gt;"")</formula>
    </cfRule>
    <cfRule type="expression" dxfId="7073" priority="13944">
      <formula>AND(OR($D11="GD&amp;T",$D11="MAX",$D11="MIN"),$E11="")</formula>
    </cfRule>
    <cfRule type="containsBlanks" dxfId="7072" priority="13945">
      <formula>LEN(TRIM(E11))=0</formula>
    </cfRule>
  </conditionalFormatting>
  <conditionalFormatting sqref="E11">
    <cfRule type="expression" dxfId="7071" priority="13940">
      <formula>AND($D11="MIN",$F11&lt;&gt;"")</formula>
    </cfRule>
    <cfRule type="expression" dxfId="7070" priority="13941">
      <formula>AND($D11="MIN",$F11="")</formula>
    </cfRule>
    <cfRule type="containsBlanks" dxfId="7069" priority="13942">
      <formula>LEN(TRIM(E11))=0</formula>
    </cfRule>
  </conditionalFormatting>
  <conditionalFormatting sqref="E11">
    <cfRule type="expression" dxfId="7068" priority="13937">
      <formula>AND($D11="MIN",$F11&lt;&gt;"")</formula>
    </cfRule>
    <cfRule type="expression" dxfId="7067" priority="13938">
      <formula>AND($D11="MIN",$F11="")</formula>
    </cfRule>
    <cfRule type="containsBlanks" dxfId="7066" priority="13939">
      <formula>LEN(TRIM(E11))=0</formula>
    </cfRule>
  </conditionalFormatting>
  <conditionalFormatting sqref="F12 F14:F15">
    <cfRule type="expression" dxfId="7065" priority="13934">
      <formula>AND($D12="MIN",$F12&lt;&gt;"")</formula>
    </cfRule>
    <cfRule type="expression" dxfId="7064" priority="13935">
      <formula>AND($D12="MIN",$F12="")</formula>
    </cfRule>
    <cfRule type="containsBlanks" dxfId="7063" priority="13936">
      <formula>LEN(TRIM(F12))=0</formula>
    </cfRule>
  </conditionalFormatting>
  <conditionalFormatting sqref="G12 G14:G15">
    <cfRule type="expression" dxfId="7062" priority="13931">
      <formula>AND(OR($D12="GD&amp;T",$D12="MAX"),$G12&lt;&gt;"")</formula>
    </cfRule>
    <cfRule type="expression" dxfId="7061" priority="13932">
      <formula>AND(OR($D12="GD&amp;T",$D12="MAX"),$G12="")</formula>
    </cfRule>
    <cfRule type="containsBlanks" dxfId="7060" priority="13933">
      <formula>LEN(TRIM(G12))=0</formula>
    </cfRule>
  </conditionalFormatting>
  <conditionalFormatting sqref="F12 F14:F15">
    <cfRule type="expression" dxfId="7059" priority="13928">
      <formula>AND($D12="MIN",$F12&lt;&gt;"")</formula>
    </cfRule>
    <cfRule type="expression" dxfId="7058" priority="13929">
      <formula>AND($D12="MIN",$F12="")</formula>
    </cfRule>
    <cfRule type="containsBlanks" dxfId="7057" priority="13930">
      <formula>LEN(TRIM(F12))=0</formula>
    </cfRule>
  </conditionalFormatting>
  <conditionalFormatting sqref="G12 G14:G15">
    <cfRule type="expression" dxfId="7056" priority="13925">
      <formula>AND(OR($D12="GD&amp;T",$D12="MAX"),$G12&lt;&gt;"")</formula>
    </cfRule>
    <cfRule type="expression" dxfId="7055" priority="13926">
      <formula>AND(OR($D12="GD&amp;T",$D12="MAX"),$G12="")</formula>
    </cfRule>
    <cfRule type="containsBlanks" dxfId="7054" priority="13927">
      <formula>LEN(TRIM(G12))=0</formula>
    </cfRule>
  </conditionalFormatting>
  <conditionalFormatting sqref="F13">
    <cfRule type="expression" dxfId="7053" priority="13922">
      <formula>AND($D13="MIN",$F13&lt;&gt;"")</formula>
    </cfRule>
    <cfRule type="expression" dxfId="7052" priority="13923">
      <formula>AND($D13="MIN",$F13="")</formula>
    </cfRule>
    <cfRule type="containsBlanks" dxfId="7051" priority="13924">
      <formula>LEN(TRIM(F13))=0</formula>
    </cfRule>
  </conditionalFormatting>
  <conditionalFormatting sqref="G13">
    <cfRule type="expression" dxfId="7050" priority="13919">
      <formula>AND(OR($D13="GD&amp;T",$D13="MAX"),$G13&lt;&gt;"")</formula>
    </cfRule>
    <cfRule type="expression" dxfId="7049" priority="13920">
      <formula>AND(OR($D13="GD&amp;T",$D13="MAX"),$G13="")</formula>
    </cfRule>
    <cfRule type="containsBlanks" dxfId="7048" priority="13921">
      <formula>LEN(TRIM(G13))=0</formula>
    </cfRule>
  </conditionalFormatting>
  <conditionalFormatting sqref="F13">
    <cfRule type="expression" dxfId="7047" priority="13916">
      <formula>AND($D13="MIN",$F13&lt;&gt;"")</formula>
    </cfRule>
    <cfRule type="expression" dxfId="7046" priority="13917">
      <formula>AND($D13="MIN",$F13="")</formula>
    </cfRule>
    <cfRule type="containsBlanks" dxfId="7045" priority="13918">
      <formula>LEN(TRIM(F13))=0</formula>
    </cfRule>
  </conditionalFormatting>
  <conditionalFormatting sqref="G13">
    <cfRule type="expression" dxfId="7044" priority="13913">
      <formula>AND(OR($D13="GD&amp;T",$D13="MAX"),$G13&lt;&gt;"")</formula>
    </cfRule>
    <cfRule type="expression" dxfId="7043" priority="13914">
      <formula>AND(OR($D13="GD&amp;T",$D13="MAX"),$G13="")</formula>
    </cfRule>
    <cfRule type="containsBlanks" dxfId="7042" priority="13915">
      <formula>LEN(TRIM(G13))=0</formula>
    </cfRule>
  </conditionalFormatting>
  <conditionalFormatting sqref="E13">
    <cfRule type="expression" dxfId="7041" priority="13910">
      <formula>AND($D13&lt;&gt;"Tolerance",$E13&lt;&gt;"")</formula>
    </cfRule>
    <cfRule type="expression" dxfId="7040" priority="13911">
      <formula>AND(OR($D13="GD&amp;T",$D13="MAX",$D13="MIN"),$E13="")</formula>
    </cfRule>
    <cfRule type="containsBlanks" dxfId="7039" priority="13912">
      <formula>LEN(TRIM(E13))=0</formula>
    </cfRule>
  </conditionalFormatting>
  <conditionalFormatting sqref="E11:E15">
    <cfRule type="expression" dxfId="7038" priority="13907">
      <formula>AND($D11&lt;&gt;"Tolerance",$E11&lt;&gt;"")</formula>
    </cfRule>
    <cfRule type="expression" dxfId="7037" priority="13908">
      <formula>AND(OR($D11="GD&amp;T",$D11="MAX",$D11="MIN"),$E11="")</formula>
    </cfRule>
    <cfRule type="containsBlanks" dxfId="7036" priority="13909">
      <formula>LEN(TRIM(E11))=0</formula>
    </cfRule>
  </conditionalFormatting>
  <conditionalFormatting sqref="F11">
    <cfRule type="expression" dxfId="7035" priority="13904">
      <formula>AND($D11="MIN",$F11&lt;&gt;"")</formula>
    </cfRule>
    <cfRule type="expression" dxfId="7034" priority="13905">
      <formula>AND($D11="MIN",$F11="")</formula>
    </cfRule>
    <cfRule type="containsBlanks" dxfId="7033" priority="13906">
      <formula>LEN(TRIM(F11))=0</formula>
    </cfRule>
  </conditionalFormatting>
  <conditionalFormatting sqref="G11:G12">
    <cfRule type="expression" dxfId="7032" priority="13901">
      <formula>AND(OR($D11="GD&amp;T",$D11="MAX"),$G11&lt;&gt;"")</formula>
    </cfRule>
    <cfRule type="expression" dxfId="7031" priority="13902">
      <formula>AND(OR($D11="GD&amp;T",$D11="MAX"),$G11="")</formula>
    </cfRule>
    <cfRule type="containsBlanks" dxfId="7030" priority="13903">
      <formula>LEN(TRIM(G11))=0</formula>
    </cfRule>
  </conditionalFormatting>
  <conditionalFormatting sqref="F11">
    <cfRule type="expression" dxfId="7029" priority="13898">
      <formula>AND($D11="MIN",$F11&lt;&gt;"")</formula>
    </cfRule>
    <cfRule type="expression" dxfId="7028" priority="13899">
      <formula>AND($D11="MIN",$F11="")</formula>
    </cfRule>
    <cfRule type="containsBlanks" dxfId="7027" priority="13900">
      <formula>LEN(TRIM(F11))=0</formula>
    </cfRule>
  </conditionalFormatting>
  <conditionalFormatting sqref="G11:G12">
    <cfRule type="expression" dxfId="7026" priority="13895">
      <formula>AND(OR($D11="GD&amp;T",$D11="MAX"),$G11&lt;&gt;"")</formula>
    </cfRule>
    <cfRule type="expression" dxfId="7025" priority="13896">
      <formula>AND(OR($D11="GD&amp;T",$D11="MAX"),$G11="")</formula>
    </cfRule>
    <cfRule type="containsBlanks" dxfId="7024" priority="13897">
      <formula>LEN(TRIM(G11))=0</formula>
    </cfRule>
  </conditionalFormatting>
  <conditionalFormatting sqref="E11">
    <cfRule type="expression" dxfId="7023" priority="13892">
      <formula>AND($D11&lt;&gt;"Tolerance",$E11&lt;&gt;"")</formula>
    </cfRule>
    <cfRule type="expression" dxfId="7022" priority="13893">
      <formula>AND(OR($D11="GD&amp;T",$D11="MAX",$D11="MIN"),$E11="")</formula>
    </cfRule>
    <cfRule type="containsBlanks" dxfId="7021" priority="13894">
      <formula>LEN(TRIM(E11))=0</formula>
    </cfRule>
  </conditionalFormatting>
  <conditionalFormatting sqref="E11">
    <cfRule type="expression" dxfId="7020" priority="13889">
      <formula>AND($D11&lt;&gt;"Tolerance",$E11&lt;&gt;"")</formula>
    </cfRule>
    <cfRule type="expression" dxfId="7019" priority="13890">
      <formula>AND(OR($D11="GD&amp;T",$D11="MAX",$D11="MIN"),$E11="")</formula>
    </cfRule>
    <cfRule type="containsBlanks" dxfId="7018" priority="13891">
      <formula>LEN(TRIM(E11))=0</formula>
    </cfRule>
  </conditionalFormatting>
  <conditionalFormatting sqref="E11">
    <cfRule type="expression" dxfId="7017" priority="13886">
      <formula>AND($D11="MIN",$F11&lt;&gt;"")</formula>
    </cfRule>
    <cfRule type="expression" dxfId="7016" priority="13887">
      <formula>AND($D11="MIN",$F11="")</formula>
    </cfRule>
    <cfRule type="containsBlanks" dxfId="7015" priority="13888">
      <formula>LEN(TRIM(E11))=0</formula>
    </cfRule>
  </conditionalFormatting>
  <conditionalFormatting sqref="E11">
    <cfRule type="expression" dxfId="7014" priority="13883">
      <formula>AND($D11="MIN",$F11&lt;&gt;"")</formula>
    </cfRule>
    <cfRule type="expression" dxfId="7013" priority="13884">
      <formula>AND($D11="MIN",$F11="")</formula>
    </cfRule>
    <cfRule type="containsBlanks" dxfId="7012" priority="13885">
      <formula>LEN(TRIM(E11))=0</formula>
    </cfRule>
  </conditionalFormatting>
  <conditionalFormatting sqref="F12 F14:F15">
    <cfRule type="expression" dxfId="7011" priority="13880">
      <formula>AND($D12="MIN",$F12&lt;&gt;"")</formula>
    </cfRule>
    <cfRule type="expression" dxfId="7010" priority="13881">
      <formula>AND($D12="MIN",$F12="")</formula>
    </cfRule>
    <cfRule type="containsBlanks" dxfId="7009" priority="13882">
      <formula>LEN(TRIM(F12))=0</formula>
    </cfRule>
  </conditionalFormatting>
  <conditionalFormatting sqref="G12 G14:G15">
    <cfRule type="expression" dxfId="7008" priority="13877">
      <formula>AND(OR($D12="GD&amp;T",$D12="MAX"),$G12&lt;&gt;"")</formula>
    </cfRule>
    <cfRule type="expression" dxfId="7007" priority="13878">
      <formula>AND(OR($D12="GD&amp;T",$D12="MAX"),$G12="")</formula>
    </cfRule>
    <cfRule type="containsBlanks" dxfId="7006" priority="13879">
      <formula>LEN(TRIM(G12))=0</formula>
    </cfRule>
  </conditionalFormatting>
  <conditionalFormatting sqref="F12 F14:F15">
    <cfRule type="expression" dxfId="7005" priority="13874">
      <formula>AND($D12="MIN",$F12&lt;&gt;"")</formula>
    </cfRule>
    <cfRule type="expression" dxfId="7004" priority="13875">
      <formula>AND($D12="MIN",$F12="")</formula>
    </cfRule>
    <cfRule type="containsBlanks" dxfId="7003" priority="13876">
      <formula>LEN(TRIM(F12))=0</formula>
    </cfRule>
  </conditionalFormatting>
  <conditionalFormatting sqref="G12 G14:G15">
    <cfRule type="expression" dxfId="7002" priority="13871">
      <formula>AND(OR($D12="GD&amp;T",$D12="MAX"),$G12&lt;&gt;"")</formula>
    </cfRule>
    <cfRule type="expression" dxfId="7001" priority="13872">
      <formula>AND(OR($D12="GD&amp;T",$D12="MAX"),$G12="")</formula>
    </cfRule>
    <cfRule type="containsBlanks" dxfId="7000" priority="13873">
      <formula>LEN(TRIM(G12))=0</formula>
    </cfRule>
  </conditionalFormatting>
  <conditionalFormatting sqref="F13">
    <cfRule type="expression" dxfId="6999" priority="13868">
      <formula>AND($D13="MIN",$F13&lt;&gt;"")</formula>
    </cfRule>
    <cfRule type="expression" dxfId="6998" priority="13869">
      <formula>AND($D13="MIN",$F13="")</formula>
    </cfRule>
    <cfRule type="containsBlanks" dxfId="6997" priority="13870">
      <formula>LEN(TRIM(F13))=0</formula>
    </cfRule>
  </conditionalFormatting>
  <conditionalFormatting sqref="G13">
    <cfRule type="expression" dxfId="6996" priority="13865">
      <formula>AND(OR($D13="GD&amp;T",$D13="MAX"),$G13&lt;&gt;"")</formula>
    </cfRule>
    <cfRule type="expression" dxfId="6995" priority="13866">
      <formula>AND(OR($D13="GD&amp;T",$D13="MAX"),$G13="")</formula>
    </cfRule>
    <cfRule type="containsBlanks" dxfId="6994" priority="13867">
      <formula>LEN(TRIM(G13))=0</formula>
    </cfRule>
  </conditionalFormatting>
  <conditionalFormatting sqref="F13">
    <cfRule type="expression" dxfId="6993" priority="13862">
      <formula>AND($D13="MIN",$F13&lt;&gt;"")</formula>
    </cfRule>
    <cfRule type="expression" dxfId="6992" priority="13863">
      <formula>AND($D13="MIN",$F13="")</formula>
    </cfRule>
    <cfRule type="containsBlanks" dxfId="6991" priority="13864">
      <formula>LEN(TRIM(F13))=0</formula>
    </cfRule>
  </conditionalFormatting>
  <conditionalFormatting sqref="G13">
    <cfRule type="expression" dxfId="6990" priority="13859">
      <formula>AND(OR($D13="GD&amp;T",$D13="MAX"),$G13&lt;&gt;"")</formula>
    </cfRule>
    <cfRule type="expression" dxfId="6989" priority="13860">
      <formula>AND(OR($D13="GD&amp;T",$D13="MAX"),$G13="")</formula>
    </cfRule>
    <cfRule type="containsBlanks" dxfId="6988" priority="13861">
      <formula>LEN(TRIM(G13))=0</formula>
    </cfRule>
  </conditionalFormatting>
  <conditionalFormatting sqref="E13">
    <cfRule type="expression" dxfId="6987" priority="13856">
      <formula>AND($D13&lt;&gt;"Tolerance",$E13&lt;&gt;"")</formula>
    </cfRule>
    <cfRule type="expression" dxfId="6986" priority="13857">
      <formula>AND(OR($D13="GD&amp;T",$D13="MAX",$D13="MIN"),$E13="")</formula>
    </cfRule>
    <cfRule type="containsBlanks" dxfId="6985" priority="13858">
      <formula>LEN(TRIM(E13))=0</formula>
    </cfRule>
  </conditionalFormatting>
  <conditionalFormatting sqref="K11:M180">
    <cfRule type="containsBlanks" dxfId="6984" priority="13855">
      <formula>LEN(TRIM(K11))=0</formula>
    </cfRule>
  </conditionalFormatting>
  <conditionalFormatting sqref="E63:E64 E26 E66 E28:E33 E11:E24">
    <cfRule type="expression" dxfId="6983" priority="13852">
      <formula>AND($D11&lt;&gt;"Tolerance",$E11&lt;&gt;"")</formula>
    </cfRule>
    <cfRule type="expression" dxfId="6982" priority="13853">
      <formula>AND(OR($D11="GD&amp;T",$D11="MAX",$D11="MIN"),$E11="")</formula>
    </cfRule>
    <cfRule type="containsBlanks" dxfId="6981" priority="13854">
      <formula>LEN(TRIM(E11))=0</formula>
    </cfRule>
  </conditionalFormatting>
  <conditionalFormatting sqref="F11">
    <cfRule type="expression" dxfId="6980" priority="13849">
      <formula>AND($D11="MIN",$F11&lt;&gt;"")</formula>
    </cfRule>
    <cfRule type="expression" dxfId="6979" priority="13850">
      <formula>AND($D11="MIN",$F11="")</formula>
    </cfRule>
    <cfRule type="containsBlanks" dxfId="6978" priority="13851">
      <formula>LEN(TRIM(F11))=0</formula>
    </cfRule>
  </conditionalFormatting>
  <conditionalFormatting sqref="G11:G12">
    <cfRule type="expression" dxfId="6977" priority="13846">
      <formula>AND(OR($D11="GD&amp;T",$D11="MAX"),$G11&lt;&gt;"")</formula>
    </cfRule>
    <cfRule type="expression" dxfId="6976" priority="13847">
      <formula>AND(OR($D11="GD&amp;T",$D11="MAX"),$G11="")</formula>
    </cfRule>
    <cfRule type="containsBlanks" dxfId="6975" priority="13848">
      <formula>LEN(TRIM(G11))=0</formula>
    </cfRule>
  </conditionalFormatting>
  <conditionalFormatting sqref="F11">
    <cfRule type="expression" dxfId="6974" priority="13843">
      <formula>AND($D11="MIN",$F11&lt;&gt;"")</formula>
    </cfRule>
    <cfRule type="expression" dxfId="6973" priority="13844">
      <formula>AND($D11="MIN",$F11="")</formula>
    </cfRule>
    <cfRule type="containsBlanks" dxfId="6972" priority="13845">
      <formula>LEN(TRIM(F11))=0</formula>
    </cfRule>
  </conditionalFormatting>
  <conditionalFormatting sqref="G11:G12">
    <cfRule type="expression" dxfId="6971" priority="13840">
      <formula>AND(OR($D11="GD&amp;T",$D11="MAX"),$G11&lt;&gt;"")</formula>
    </cfRule>
    <cfRule type="expression" dxfId="6970" priority="13841">
      <formula>AND(OR($D11="GD&amp;T",$D11="MAX"),$G11="")</formula>
    </cfRule>
    <cfRule type="containsBlanks" dxfId="6969" priority="13842">
      <formula>LEN(TRIM(G11))=0</formula>
    </cfRule>
  </conditionalFormatting>
  <conditionalFormatting sqref="E11">
    <cfRule type="expression" dxfId="6968" priority="13837">
      <formula>AND($D11&lt;&gt;"Tolerance",$E11&lt;&gt;"")</formula>
    </cfRule>
    <cfRule type="expression" dxfId="6967" priority="13838">
      <formula>AND(OR($D11="GD&amp;T",$D11="MAX",$D11="MIN"),$E11="")</formula>
    </cfRule>
    <cfRule type="containsBlanks" dxfId="6966" priority="13839">
      <formula>LEN(TRIM(E11))=0</formula>
    </cfRule>
  </conditionalFormatting>
  <conditionalFormatting sqref="E11">
    <cfRule type="expression" dxfId="6965" priority="13834">
      <formula>AND($D11&lt;&gt;"Tolerance",$E11&lt;&gt;"")</formula>
    </cfRule>
    <cfRule type="expression" dxfId="6964" priority="13835">
      <formula>AND(OR($D11="GD&amp;T",$D11="MAX",$D11="MIN"),$E11="")</formula>
    </cfRule>
    <cfRule type="containsBlanks" dxfId="6963" priority="13836">
      <formula>LEN(TRIM(E11))=0</formula>
    </cfRule>
  </conditionalFormatting>
  <conditionalFormatting sqref="E11">
    <cfRule type="expression" dxfId="6962" priority="13831">
      <formula>AND($D11="MIN",$F11&lt;&gt;"")</formula>
    </cfRule>
    <cfRule type="expression" dxfId="6961" priority="13832">
      <formula>AND($D11="MIN",$F11="")</formula>
    </cfRule>
    <cfRule type="containsBlanks" dxfId="6960" priority="13833">
      <formula>LEN(TRIM(E11))=0</formula>
    </cfRule>
  </conditionalFormatting>
  <conditionalFormatting sqref="E11">
    <cfRule type="expression" dxfId="6959" priority="13828">
      <formula>AND($D11="MIN",$F11&lt;&gt;"")</formula>
    </cfRule>
    <cfRule type="expression" dxfId="6958" priority="13829">
      <formula>AND($D11="MIN",$F11="")</formula>
    </cfRule>
    <cfRule type="containsBlanks" dxfId="6957" priority="13830">
      <formula>LEN(TRIM(E11))=0</formula>
    </cfRule>
  </conditionalFormatting>
  <conditionalFormatting sqref="E34">
    <cfRule type="expression" dxfId="6956" priority="13825">
      <formula>AND($D34&lt;&gt;"Tolerance",$E34&lt;&gt;"")</formula>
    </cfRule>
    <cfRule type="expression" dxfId="6955" priority="13826">
      <formula>AND(OR($D34="GD&amp;T",$D34="MAX",$D34="MIN"),$E34="")</formula>
    </cfRule>
    <cfRule type="containsBlanks" dxfId="6954" priority="13827">
      <formula>LEN(TRIM(E34))=0</formula>
    </cfRule>
  </conditionalFormatting>
  <conditionalFormatting sqref="E62">
    <cfRule type="expression" dxfId="6953" priority="13819">
      <formula>AND($D62&lt;&gt;"Tolerance",$E62&lt;&gt;"")</formula>
    </cfRule>
    <cfRule type="expression" dxfId="6952" priority="13820">
      <formula>AND(OR($D62="GD&amp;T",$D62="MAX",$D62="MIN"),$E62="")</formula>
    </cfRule>
    <cfRule type="containsBlanks" dxfId="6951" priority="13821">
      <formula>LEN(TRIM(E62))=0</formula>
    </cfRule>
  </conditionalFormatting>
  <conditionalFormatting sqref="E13">
    <cfRule type="expression" dxfId="6950" priority="13816">
      <formula>AND($D13&lt;&gt;"Tolerance",$E13&lt;&gt;"")</formula>
    </cfRule>
    <cfRule type="expression" dxfId="6949" priority="13817">
      <formula>AND(OR($D13="GD&amp;T",$D13="MAX",$D13="MIN"),$E13="")</formula>
    </cfRule>
    <cfRule type="containsBlanks" dxfId="6948" priority="13818">
      <formula>LEN(TRIM(E13))=0</formula>
    </cfRule>
  </conditionalFormatting>
  <conditionalFormatting sqref="E17:E20">
    <cfRule type="expression" dxfId="6947" priority="13813">
      <formula>AND($D17&lt;&gt;"Tolerance",$E17&lt;&gt;"")</formula>
    </cfRule>
    <cfRule type="expression" dxfId="6946" priority="13814">
      <formula>AND(OR($D17="GD&amp;T",$D17="MAX",$D17="MIN"),$E17="")</formula>
    </cfRule>
    <cfRule type="containsBlanks" dxfId="6945" priority="13815">
      <formula>LEN(TRIM(E17))=0</formula>
    </cfRule>
  </conditionalFormatting>
  <conditionalFormatting sqref="E25">
    <cfRule type="expression" dxfId="6944" priority="13810">
      <formula>AND($D25&lt;&gt;"Tolerance",$E25&lt;&gt;"")</formula>
    </cfRule>
    <cfRule type="expression" dxfId="6943" priority="13811">
      <formula>AND(OR($D25="GD&amp;T",$D25="MAX",$D25="MIN"),$E25="")</formula>
    </cfRule>
    <cfRule type="containsBlanks" dxfId="6942" priority="13812">
      <formula>LEN(TRIM(E25))=0</formula>
    </cfRule>
  </conditionalFormatting>
  <conditionalFormatting sqref="E27">
    <cfRule type="expression" dxfId="6941" priority="13807">
      <formula>AND($D27&lt;&gt;"Tolerance",$E27&lt;&gt;"")</formula>
    </cfRule>
    <cfRule type="expression" dxfId="6940" priority="13808">
      <formula>AND(OR($D27="GD&amp;T",$D27="MAX",$D27="MIN"),$E27="")</formula>
    </cfRule>
    <cfRule type="containsBlanks" dxfId="6939" priority="13809">
      <formula>LEN(TRIM(E27))=0</formula>
    </cfRule>
  </conditionalFormatting>
  <conditionalFormatting sqref="E29">
    <cfRule type="expression" dxfId="6938" priority="13804">
      <formula>AND($D29&lt;&gt;"Tolerance",$E29&lt;&gt;"")</formula>
    </cfRule>
    <cfRule type="expression" dxfId="6937" priority="13805">
      <formula>AND(OR($D29="GD&amp;T",$D29="MAX",$D29="MIN"),$E29="")</formula>
    </cfRule>
    <cfRule type="containsBlanks" dxfId="6936" priority="13806">
      <formula>LEN(TRIM(E29))=0</formula>
    </cfRule>
  </conditionalFormatting>
  <conditionalFormatting sqref="E31">
    <cfRule type="expression" dxfId="6935" priority="13801">
      <formula>AND($D31&lt;&gt;"Tolerance",$E31&lt;&gt;"")</formula>
    </cfRule>
    <cfRule type="expression" dxfId="6934" priority="13802">
      <formula>AND(OR($D31="GD&amp;T",$D31="MAX",$D31="MIN"),$E31="")</formula>
    </cfRule>
    <cfRule type="containsBlanks" dxfId="6933" priority="13803">
      <formula>LEN(TRIM(E31))=0</formula>
    </cfRule>
  </conditionalFormatting>
  <conditionalFormatting sqref="E33">
    <cfRule type="expression" dxfId="6932" priority="13798">
      <formula>AND($D33&lt;&gt;"Tolerance",$E33&lt;&gt;"")</formula>
    </cfRule>
    <cfRule type="expression" dxfId="6931" priority="13799">
      <formula>AND(OR($D33="GD&amp;T",$D33="MAX",$D33="MIN"),$E33="")</formula>
    </cfRule>
    <cfRule type="containsBlanks" dxfId="6930" priority="13800">
      <formula>LEN(TRIM(E33))=0</formula>
    </cfRule>
  </conditionalFormatting>
  <conditionalFormatting sqref="E65">
    <cfRule type="expression" dxfId="6929" priority="13795">
      <formula>AND($D65&lt;&gt;"Tolerance",$E65&lt;&gt;"")</formula>
    </cfRule>
    <cfRule type="expression" dxfId="6928" priority="13796">
      <formula>AND(OR($D65="GD&amp;T",$D65="MAX",$D65="MIN"),$E65="")</formula>
    </cfRule>
    <cfRule type="containsBlanks" dxfId="6927" priority="13797">
      <formula>LEN(TRIM(E65))=0</formula>
    </cfRule>
  </conditionalFormatting>
  <conditionalFormatting sqref="E67">
    <cfRule type="expression" dxfId="6926" priority="13792">
      <formula>AND($D67&lt;&gt;"Tolerance",$E67&lt;&gt;"")</formula>
    </cfRule>
    <cfRule type="expression" dxfId="6925" priority="13793">
      <formula>AND(OR($D67="GD&amp;T",$D67="MAX",$D67="MIN"),$E67="")</formula>
    </cfRule>
    <cfRule type="containsBlanks" dxfId="6924" priority="13794">
      <formula>LEN(TRIM(E67))=0</formula>
    </cfRule>
  </conditionalFormatting>
  <conditionalFormatting sqref="K11:M180">
    <cfRule type="expression" dxfId="6923" priority="13786">
      <formula>AND($J11&lt;&gt;"",K11&lt;$J11)</formula>
    </cfRule>
    <cfRule type="expression" dxfId="6922" priority="13787">
      <formula>AND($I11&lt;&gt;"",K11&gt;$I11)</formula>
    </cfRule>
    <cfRule type="notContainsBlanks" dxfId="6921" priority="13788">
      <formula>LEN(TRIM(K11))&gt;0</formula>
    </cfRule>
  </conditionalFormatting>
  <conditionalFormatting sqref="K67:M67">
    <cfRule type="expression" dxfId="6920" priority="13783">
      <formula>AND($J67&lt;&gt;"",K67&lt;$J67)</formula>
    </cfRule>
    <cfRule type="expression" dxfId="6919" priority="13784">
      <formula>AND($I67&lt;&gt;"",K67&gt;$I67)</formula>
    </cfRule>
    <cfRule type="notContainsBlanks" dxfId="6918" priority="13785">
      <formula>LEN(TRIM(K67))&gt;0</formula>
    </cfRule>
  </conditionalFormatting>
  <conditionalFormatting sqref="K11:M15">
    <cfRule type="expression" dxfId="6917" priority="13777">
      <formula>AND($J11&lt;&gt;"",K11&lt;$J11)</formula>
    </cfRule>
    <cfRule type="expression" dxfId="6916" priority="13778">
      <formula>AND($I11&lt;&gt;"",K11&gt;$I11)</formula>
    </cfRule>
    <cfRule type="notContainsBlanks" dxfId="6915" priority="13779">
      <formula>LEN(TRIM(K11))&gt;0</formula>
    </cfRule>
  </conditionalFormatting>
  <conditionalFormatting sqref="K13:M13">
    <cfRule type="expression" dxfId="6914" priority="13774">
      <formula>AND($J13&lt;&gt;"",K13&lt;$J13)</formula>
    </cfRule>
    <cfRule type="expression" dxfId="6913" priority="13775">
      <formula>AND($I13&lt;&gt;"",K13&gt;$I13)</formula>
    </cfRule>
    <cfRule type="notContainsBlanks" dxfId="6912" priority="13776">
      <formula>LEN(TRIM(K13))&gt;0</formula>
    </cfRule>
  </conditionalFormatting>
  <conditionalFormatting sqref="K11:M15">
    <cfRule type="expression" dxfId="6911" priority="13771">
      <formula>AND($J11&lt;&gt;"",K11&lt;$J11)</formula>
    </cfRule>
    <cfRule type="expression" dxfId="6910" priority="13772">
      <formula>AND($I11&lt;&gt;"",K11&gt;$I11)</formula>
    </cfRule>
    <cfRule type="notContainsBlanks" dxfId="6909" priority="13773">
      <formula>LEN(TRIM(K11))&gt;0</formula>
    </cfRule>
  </conditionalFormatting>
  <conditionalFormatting sqref="K13:M13">
    <cfRule type="expression" dxfId="6908" priority="13768">
      <formula>AND($J13&lt;&gt;"",K13&lt;$J13)</formula>
    </cfRule>
    <cfRule type="expression" dxfId="6907" priority="13769">
      <formula>AND($I13&lt;&gt;"",K13&gt;$I13)</formula>
    </cfRule>
    <cfRule type="notContainsBlanks" dxfId="6906" priority="13770">
      <formula>LEN(TRIM(K13))&gt;0</formula>
    </cfRule>
  </conditionalFormatting>
  <conditionalFormatting sqref="K11:M15">
    <cfRule type="expression" dxfId="6905" priority="13765">
      <formula>AND($J11&lt;&gt;"",K11&lt;$J11)</formula>
    </cfRule>
    <cfRule type="expression" dxfId="6904" priority="13766">
      <formula>AND($I11&lt;&gt;"",K11&gt;$I11)</formula>
    </cfRule>
    <cfRule type="notContainsBlanks" dxfId="6903" priority="13767">
      <formula>LEN(TRIM(K11))&gt;0</formula>
    </cfRule>
  </conditionalFormatting>
  <conditionalFormatting sqref="K13:M13">
    <cfRule type="expression" dxfId="6902" priority="13762">
      <formula>AND($J13&lt;&gt;"",K13&lt;$J13)</formula>
    </cfRule>
    <cfRule type="expression" dxfId="6901" priority="13763">
      <formula>AND($I13&lt;&gt;"",K13&gt;$I13)</formula>
    </cfRule>
    <cfRule type="notContainsBlanks" dxfId="6900" priority="13764">
      <formula>LEN(TRIM(K13))&gt;0</formula>
    </cfRule>
  </conditionalFormatting>
  <conditionalFormatting sqref="K11:M15">
    <cfRule type="expression" dxfId="6899" priority="13759">
      <formula>AND($J11&lt;&gt;"",K11&lt;$J11)</formula>
    </cfRule>
    <cfRule type="expression" dxfId="6898" priority="13760">
      <formula>AND($I11&lt;&gt;"",K11&gt;$I11)</formula>
    </cfRule>
    <cfRule type="notContainsBlanks" dxfId="6897" priority="13761">
      <formula>LEN(TRIM(K11))&gt;0</formula>
    </cfRule>
  </conditionalFormatting>
  <conditionalFormatting sqref="K13:M13">
    <cfRule type="expression" dxfId="6896" priority="13756">
      <formula>AND($J13&lt;&gt;"",K13&lt;$J13)</formula>
    </cfRule>
    <cfRule type="expression" dxfId="6895" priority="13757">
      <formula>AND($I13&lt;&gt;"",K13&gt;$I13)</formula>
    </cfRule>
    <cfRule type="notContainsBlanks" dxfId="6894" priority="13758">
      <formula>LEN(TRIM(K13))&gt;0</formula>
    </cfRule>
  </conditionalFormatting>
  <conditionalFormatting sqref="K11:M15">
    <cfRule type="expression" dxfId="6893" priority="13753">
      <formula>AND($J11&lt;&gt;"",K11&lt;$J11)</formula>
    </cfRule>
    <cfRule type="expression" dxfId="6892" priority="13754">
      <formula>AND($I11&lt;&gt;"",K11&gt;$I11)</formula>
    </cfRule>
    <cfRule type="notContainsBlanks" dxfId="6891" priority="13755">
      <formula>LEN(TRIM(K11))&gt;0</formula>
    </cfRule>
  </conditionalFormatting>
  <conditionalFormatting sqref="K13:M13">
    <cfRule type="expression" dxfId="6890" priority="13750">
      <formula>AND($J13&lt;&gt;"",K13&lt;$J13)</formula>
    </cfRule>
    <cfRule type="expression" dxfId="6889" priority="13751">
      <formula>AND($I13&lt;&gt;"",K13&gt;$I13)</formula>
    </cfRule>
    <cfRule type="notContainsBlanks" dxfId="6888" priority="13752">
      <formula>LEN(TRIM(K13))&gt;0</formula>
    </cfRule>
  </conditionalFormatting>
  <conditionalFormatting sqref="K34:M34">
    <cfRule type="expression" dxfId="6887" priority="13747">
      <formula>AND($J34&lt;&gt;"",K34&lt;$J34)</formula>
    </cfRule>
    <cfRule type="expression" dxfId="6886" priority="13748">
      <formula>AND($I34&lt;&gt;"",K34&gt;$I34)</formula>
    </cfRule>
    <cfRule type="notContainsBlanks" dxfId="6885" priority="13749">
      <formula>LEN(TRIM(K34))&gt;0</formula>
    </cfRule>
  </conditionalFormatting>
  <conditionalFormatting sqref="K34:K44">
    <cfRule type="expression" dxfId="6884" priority="13744">
      <formula>AND($J34&lt;&gt;"",K34&lt;$J34)</formula>
    </cfRule>
    <cfRule type="expression" dxfId="6883" priority="13745">
      <formula>AND($I34&lt;&gt;"",K34&gt;$I34)</formula>
    </cfRule>
    <cfRule type="notContainsBlanks" dxfId="6882" priority="13746">
      <formula>LEN(TRIM(K34))&gt;0</formula>
    </cfRule>
  </conditionalFormatting>
  <conditionalFormatting sqref="K34:K44">
    <cfRule type="expression" dxfId="6881" priority="13741">
      <formula>AND($J34&lt;&gt;"",K34&lt;$J34)</formula>
    </cfRule>
    <cfRule type="expression" dxfId="6880" priority="13742">
      <formula>AND($I34&lt;&gt;"",K34&gt;$I34)</formula>
    </cfRule>
    <cfRule type="notContainsBlanks" dxfId="6879" priority="13743">
      <formula>LEN(TRIM(K34))&gt;0</formula>
    </cfRule>
  </conditionalFormatting>
  <conditionalFormatting sqref="K62:M62">
    <cfRule type="expression" dxfId="6878" priority="13738">
      <formula>AND($J62&lt;&gt;"",K62&lt;$J62)</formula>
    </cfRule>
    <cfRule type="expression" dxfId="6877" priority="13739">
      <formula>AND($I62&lt;&gt;"",K62&gt;$I62)</formula>
    </cfRule>
    <cfRule type="notContainsBlanks" dxfId="6876" priority="13740">
      <formula>LEN(TRIM(K62))&gt;0</formula>
    </cfRule>
  </conditionalFormatting>
  <conditionalFormatting sqref="K13:M13">
    <cfRule type="expression" dxfId="6875" priority="13735">
      <formula>AND($J13&lt;&gt;"",K13&lt;$J13)</formula>
    </cfRule>
    <cfRule type="expression" dxfId="6874" priority="13736">
      <formula>AND($I13&lt;&gt;"",K13&gt;$I13)</formula>
    </cfRule>
    <cfRule type="notContainsBlanks" dxfId="6873" priority="13737">
      <formula>LEN(TRIM(K13))&gt;0</formula>
    </cfRule>
  </conditionalFormatting>
  <conditionalFormatting sqref="K17:M17">
    <cfRule type="expression" dxfId="6872" priority="13732">
      <formula>AND($J17&lt;&gt;"",K17&lt;$J17)</formula>
    </cfRule>
    <cfRule type="expression" dxfId="6871" priority="13733">
      <formula>AND($I17&lt;&gt;"",K17&gt;$I17)</formula>
    </cfRule>
    <cfRule type="notContainsBlanks" dxfId="6870" priority="13734">
      <formula>LEN(TRIM(K17))&gt;0</formula>
    </cfRule>
  </conditionalFormatting>
  <conditionalFormatting sqref="K25:M25">
    <cfRule type="expression" dxfId="6869" priority="13729">
      <formula>AND($J25&lt;&gt;"",K25&lt;$J25)</formula>
    </cfRule>
    <cfRule type="expression" dxfId="6868" priority="13730">
      <formula>AND($I25&lt;&gt;"",K25&gt;$I25)</formula>
    </cfRule>
    <cfRule type="notContainsBlanks" dxfId="6867" priority="13731">
      <formula>LEN(TRIM(K25))&gt;0</formula>
    </cfRule>
  </conditionalFormatting>
  <conditionalFormatting sqref="K27">
    <cfRule type="expression" dxfId="6866" priority="13726">
      <formula>AND($J27&lt;&gt;"",K27&lt;$J27)</formula>
    </cfRule>
    <cfRule type="expression" dxfId="6865" priority="13727">
      <formula>AND($I27&lt;&gt;"",K27&gt;$I27)</formula>
    </cfRule>
    <cfRule type="notContainsBlanks" dxfId="6864" priority="13728">
      <formula>LEN(TRIM(K27))&gt;0</formula>
    </cfRule>
  </conditionalFormatting>
  <conditionalFormatting sqref="K29:M29">
    <cfRule type="expression" dxfId="6863" priority="13723">
      <formula>AND($J29&lt;&gt;"",K29&lt;$J29)</formula>
    </cfRule>
    <cfRule type="expression" dxfId="6862" priority="13724">
      <formula>AND($I29&lt;&gt;"",K29&gt;$I29)</formula>
    </cfRule>
    <cfRule type="notContainsBlanks" dxfId="6861" priority="13725">
      <formula>LEN(TRIM(K29))&gt;0</formula>
    </cfRule>
  </conditionalFormatting>
  <conditionalFormatting sqref="K31:M31">
    <cfRule type="expression" dxfId="6860" priority="13720">
      <formula>AND($J31&lt;&gt;"",K31&lt;$J31)</formula>
    </cfRule>
    <cfRule type="expression" dxfId="6859" priority="13721">
      <formula>AND($I31&lt;&gt;"",K31&gt;$I31)</formula>
    </cfRule>
    <cfRule type="notContainsBlanks" dxfId="6858" priority="13722">
      <formula>LEN(TRIM(K31))&gt;0</formula>
    </cfRule>
  </conditionalFormatting>
  <conditionalFormatting sqref="K33:M33">
    <cfRule type="expression" dxfId="6857" priority="13717">
      <formula>AND($J33&lt;&gt;"",K33&lt;$J33)</formula>
    </cfRule>
    <cfRule type="expression" dxfId="6856" priority="13718">
      <formula>AND($I33&lt;&gt;"",K33&gt;$I33)</formula>
    </cfRule>
    <cfRule type="notContainsBlanks" dxfId="6855" priority="13719">
      <formula>LEN(TRIM(K33))&gt;0</formula>
    </cfRule>
  </conditionalFormatting>
  <conditionalFormatting sqref="K64:M65 K162:M163">
    <cfRule type="expression" dxfId="6854" priority="13714">
      <formula>AND($J64&lt;&gt;"",K64&lt;$J64)</formula>
    </cfRule>
    <cfRule type="expression" dxfId="6853" priority="13715">
      <formula>AND($I64&lt;&gt;"",K64&gt;$I64)</formula>
    </cfRule>
    <cfRule type="notContainsBlanks" dxfId="6852" priority="13716">
      <formula>LEN(TRIM(K64))&gt;0</formula>
    </cfRule>
  </conditionalFormatting>
  <conditionalFormatting sqref="L26:M26">
    <cfRule type="expression" dxfId="6851" priority="13711">
      <formula>AND($J26&lt;&gt;"",L26&lt;$J26)</formula>
    </cfRule>
    <cfRule type="expression" dxfId="6850" priority="13712">
      <formula>AND($I26&lt;&gt;"",L26&gt;$I26)</formula>
    </cfRule>
    <cfRule type="notContainsBlanks" dxfId="6849" priority="13713">
      <formula>LEN(TRIM(L26))&gt;0</formula>
    </cfRule>
  </conditionalFormatting>
  <conditionalFormatting sqref="L27:M27">
    <cfRule type="expression" dxfId="6848" priority="13708">
      <formula>AND($J27&lt;&gt;"",L27&lt;$J27)</formula>
    </cfRule>
    <cfRule type="expression" dxfId="6847" priority="13709">
      <formula>AND($I27&lt;&gt;"",L27&gt;$I27)</formula>
    </cfRule>
    <cfRule type="notContainsBlanks" dxfId="6846" priority="13710">
      <formula>LEN(TRIM(L27))&gt;0</formula>
    </cfRule>
  </conditionalFormatting>
  <conditionalFormatting sqref="K24:M24">
    <cfRule type="expression" dxfId="6845" priority="13705">
      <formula>AND($J24&lt;&gt;"",K24&lt;$J24)</formula>
    </cfRule>
    <cfRule type="expression" dxfId="6844" priority="13706">
      <formula>AND($I24&lt;&gt;"",K24&gt;$I24)</formula>
    </cfRule>
    <cfRule type="notContainsBlanks" dxfId="6843" priority="13707">
      <formula>LEN(TRIM(K24))&gt;0</formula>
    </cfRule>
  </conditionalFormatting>
  <conditionalFormatting sqref="K26">
    <cfRule type="expression" dxfId="6842" priority="13702">
      <formula>AND($J26&lt;&gt;"",K26&lt;$J26)</formula>
    </cfRule>
    <cfRule type="expression" dxfId="6841" priority="13703">
      <formula>AND($I26&lt;&gt;"",K26&gt;$I26)</formula>
    </cfRule>
    <cfRule type="notContainsBlanks" dxfId="6840" priority="13704">
      <formula>LEN(TRIM(K26))&gt;0</formula>
    </cfRule>
  </conditionalFormatting>
  <conditionalFormatting sqref="L25:M25">
    <cfRule type="expression" dxfId="6839" priority="13699">
      <formula>AND($J25&lt;&gt;"",L25&lt;$J25)</formula>
    </cfRule>
    <cfRule type="expression" dxfId="6838" priority="13700">
      <formula>AND($I25&lt;&gt;"",L25&gt;$I25)</formula>
    </cfRule>
    <cfRule type="notContainsBlanks" dxfId="6837" priority="13701">
      <formula>LEN(TRIM(L25))&gt;0</formula>
    </cfRule>
  </conditionalFormatting>
  <conditionalFormatting sqref="L26:M26">
    <cfRule type="expression" dxfId="6836" priority="13696">
      <formula>AND($J26&lt;&gt;"",L26&lt;$J26)</formula>
    </cfRule>
    <cfRule type="expression" dxfId="6835" priority="13697">
      <formula>AND($I26&lt;&gt;"",L26&gt;$I26)</formula>
    </cfRule>
    <cfRule type="notContainsBlanks" dxfId="6834" priority="13698">
      <formula>LEN(TRIM(L26))&gt;0</formula>
    </cfRule>
  </conditionalFormatting>
  <conditionalFormatting sqref="K24:M24">
    <cfRule type="expression" dxfId="6833" priority="13693">
      <formula>AND($J24&lt;&gt;"",K24&lt;$J24)</formula>
    </cfRule>
    <cfRule type="expression" dxfId="6832" priority="13694">
      <formula>AND($I24&lt;&gt;"",K24&gt;$I24)</formula>
    </cfRule>
    <cfRule type="notContainsBlanks" dxfId="6831" priority="13695">
      <formula>LEN(TRIM(K24))&gt;0</formula>
    </cfRule>
  </conditionalFormatting>
  <conditionalFormatting sqref="K26">
    <cfRule type="expression" dxfId="6830" priority="13690">
      <formula>AND($J26&lt;&gt;"",K26&lt;$J26)</formula>
    </cfRule>
    <cfRule type="expression" dxfId="6829" priority="13691">
      <formula>AND($I26&lt;&gt;"",K26&gt;$I26)</formula>
    </cfRule>
    <cfRule type="notContainsBlanks" dxfId="6828" priority="13692">
      <formula>LEN(TRIM(K26))&gt;0</formula>
    </cfRule>
  </conditionalFormatting>
  <conditionalFormatting sqref="L25:M25">
    <cfRule type="expression" dxfId="6827" priority="13687">
      <formula>AND($J25&lt;&gt;"",L25&lt;$J25)</formula>
    </cfRule>
    <cfRule type="expression" dxfId="6826" priority="13688">
      <formula>AND($I25&lt;&gt;"",L25&gt;$I25)</formula>
    </cfRule>
    <cfRule type="notContainsBlanks" dxfId="6825" priority="13689">
      <formula>LEN(TRIM(L25))&gt;0</formula>
    </cfRule>
  </conditionalFormatting>
  <conditionalFormatting sqref="L26:M26">
    <cfRule type="expression" dxfId="6824" priority="13684">
      <formula>AND($J26&lt;&gt;"",L26&lt;$J26)</formula>
    </cfRule>
    <cfRule type="expression" dxfId="6823" priority="13685">
      <formula>AND($I26&lt;&gt;"",L26&gt;$I26)</formula>
    </cfRule>
    <cfRule type="notContainsBlanks" dxfId="6822" priority="13686">
      <formula>LEN(TRIM(L26))&gt;0</formula>
    </cfRule>
  </conditionalFormatting>
  <conditionalFormatting sqref="K23:M23">
    <cfRule type="expression" dxfId="6821" priority="13681">
      <formula>AND($J23&lt;&gt;"",K23&lt;$J23)</formula>
    </cfRule>
    <cfRule type="expression" dxfId="6820" priority="13682">
      <formula>AND($I23&lt;&gt;"",K23&gt;$I23)</formula>
    </cfRule>
    <cfRule type="notContainsBlanks" dxfId="6819" priority="13683">
      <formula>LEN(TRIM(K23))&gt;0</formula>
    </cfRule>
  </conditionalFormatting>
  <conditionalFormatting sqref="K25">
    <cfRule type="expression" dxfId="6818" priority="13678">
      <formula>AND($J25&lt;&gt;"",K25&lt;$J25)</formula>
    </cfRule>
    <cfRule type="expression" dxfId="6817" priority="13679">
      <formula>AND($I25&lt;&gt;"",K25&gt;$I25)</formula>
    </cfRule>
    <cfRule type="notContainsBlanks" dxfId="6816" priority="13680">
      <formula>LEN(TRIM(K25))&gt;0</formula>
    </cfRule>
  </conditionalFormatting>
  <conditionalFormatting sqref="L24:M24">
    <cfRule type="expression" dxfId="6815" priority="13675">
      <formula>AND($J24&lt;&gt;"",L24&lt;$J24)</formula>
    </cfRule>
    <cfRule type="expression" dxfId="6814" priority="13676">
      <formula>AND($I24&lt;&gt;"",L24&gt;$I24)</formula>
    </cfRule>
    <cfRule type="notContainsBlanks" dxfId="6813" priority="13677">
      <formula>LEN(TRIM(L24))&gt;0</formula>
    </cfRule>
  </conditionalFormatting>
  <conditionalFormatting sqref="L25:M25">
    <cfRule type="expression" dxfId="6812" priority="13672">
      <formula>AND($J25&lt;&gt;"",L25&lt;$J25)</formula>
    </cfRule>
    <cfRule type="expression" dxfId="6811" priority="13673">
      <formula>AND($I25&lt;&gt;"",L25&gt;$I25)</formula>
    </cfRule>
    <cfRule type="notContainsBlanks" dxfId="6810" priority="13674">
      <formula>LEN(TRIM(L25))&gt;0</formula>
    </cfRule>
  </conditionalFormatting>
  <conditionalFormatting sqref="K30:M30">
    <cfRule type="expression" dxfId="6809" priority="13669">
      <formula>AND($J30&lt;&gt;"",K30&lt;$J30)</formula>
    </cfRule>
    <cfRule type="expression" dxfId="6808" priority="13670">
      <formula>AND($I30&lt;&gt;"",K30&gt;$I30)</formula>
    </cfRule>
    <cfRule type="notContainsBlanks" dxfId="6807" priority="13671">
      <formula>LEN(TRIM(K30))&gt;0</formula>
    </cfRule>
  </conditionalFormatting>
  <conditionalFormatting sqref="K31:M31">
    <cfRule type="expression" dxfId="6806" priority="13666">
      <formula>AND($J31&lt;&gt;"",K31&lt;$J31)</formula>
    </cfRule>
    <cfRule type="expression" dxfId="6805" priority="13667">
      <formula>AND($I31&lt;&gt;"",K31&gt;$I31)</formula>
    </cfRule>
    <cfRule type="notContainsBlanks" dxfId="6804" priority="13668">
      <formula>LEN(TRIM(K31))&gt;0</formula>
    </cfRule>
  </conditionalFormatting>
  <conditionalFormatting sqref="K31:M31">
    <cfRule type="expression" dxfId="6803" priority="13663">
      <formula>AND($J31&lt;&gt;"",K31&lt;$J31)</formula>
    </cfRule>
    <cfRule type="expression" dxfId="6802" priority="13664">
      <formula>AND($I31&lt;&gt;"",K31&gt;$I31)</formula>
    </cfRule>
    <cfRule type="notContainsBlanks" dxfId="6801" priority="13665">
      <formula>LEN(TRIM(K31))&gt;0</formula>
    </cfRule>
  </conditionalFormatting>
  <conditionalFormatting sqref="K33:M33">
    <cfRule type="expression" dxfId="6800" priority="13660">
      <formula>AND($J33&lt;&gt;"",K33&lt;$J33)</formula>
    </cfRule>
    <cfRule type="expression" dxfId="6799" priority="13661">
      <formula>AND($I33&lt;&gt;"",K33&gt;$I33)</formula>
    </cfRule>
    <cfRule type="notContainsBlanks" dxfId="6798" priority="13662">
      <formula>LEN(TRIM(K33))&gt;0</formula>
    </cfRule>
  </conditionalFormatting>
  <conditionalFormatting sqref="K29:M29">
    <cfRule type="expression" dxfId="6797" priority="13657">
      <formula>AND($J29&lt;&gt;"",K29&lt;$J29)</formula>
    </cfRule>
    <cfRule type="expression" dxfId="6796" priority="13658">
      <formula>AND($I29&lt;&gt;"",K29&gt;$I29)</formula>
    </cfRule>
    <cfRule type="notContainsBlanks" dxfId="6795" priority="13659">
      <formula>LEN(TRIM(K29))&gt;0</formula>
    </cfRule>
  </conditionalFormatting>
  <conditionalFormatting sqref="K62:M62">
    <cfRule type="expression" dxfId="6794" priority="13654">
      <formula>AND($J62&lt;&gt;"",K62&lt;$J62)</formula>
    </cfRule>
    <cfRule type="expression" dxfId="6793" priority="13655">
      <formula>AND($I62&lt;&gt;"",K62&gt;$I62)</formula>
    </cfRule>
    <cfRule type="notContainsBlanks" dxfId="6792" priority="13656">
      <formula>LEN(TRIM(K62))&gt;0</formula>
    </cfRule>
  </conditionalFormatting>
  <conditionalFormatting sqref="M11">
    <cfRule type="expression" dxfId="6791" priority="13648">
      <formula>AND($J11&lt;&gt;"",M11&lt;$J11)</formula>
    </cfRule>
    <cfRule type="expression" dxfId="6790" priority="13649">
      <formula>AND($I11&lt;&gt;"",M11&gt;$I11)</formula>
    </cfRule>
    <cfRule type="notContainsBlanks" dxfId="6789" priority="13650">
      <formula>LEN(TRIM(M11))&gt;0</formula>
    </cfRule>
  </conditionalFormatting>
  <conditionalFormatting sqref="M15">
    <cfRule type="expression" dxfId="6788" priority="13645">
      <formula>AND($J15&lt;&gt;"",M15&lt;$J15)</formula>
    </cfRule>
    <cfRule type="expression" dxfId="6787" priority="13646">
      <formula>AND($I15&lt;&gt;"",M15&gt;$I15)</formula>
    </cfRule>
    <cfRule type="notContainsBlanks" dxfId="6786" priority="13647">
      <formula>LEN(TRIM(M15))&gt;0</formula>
    </cfRule>
  </conditionalFormatting>
  <conditionalFormatting sqref="M12">
    <cfRule type="expression" dxfId="6785" priority="13642">
      <formula>AND($J12&lt;&gt;"",M12&lt;$J12)</formula>
    </cfRule>
    <cfRule type="expression" dxfId="6784" priority="13643">
      <formula>AND($I12&lt;&gt;"",M12&gt;$I12)</formula>
    </cfRule>
    <cfRule type="notContainsBlanks" dxfId="6783" priority="13644">
      <formula>LEN(TRIM(M12))&gt;0</formula>
    </cfRule>
  </conditionalFormatting>
  <conditionalFormatting sqref="M13">
    <cfRule type="expression" dxfId="6782" priority="13639">
      <formula>AND($J13&lt;&gt;"",M13&lt;$J13)</formula>
    </cfRule>
    <cfRule type="expression" dxfId="6781" priority="13640">
      <formula>AND($I13&lt;&gt;"",M13&gt;$I13)</formula>
    </cfRule>
    <cfRule type="notContainsBlanks" dxfId="6780" priority="13641">
      <formula>LEN(TRIM(M13))&gt;0</formula>
    </cfRule>
  </conditionalFormatting>
  <conditionalFormatting sqref="M11">
    <cfRule type="expression" dxfId="6779" priority="13636">
      <formula>AND($J11&lt;&gt;"",M11&lt;$J11)</formula>
    </cfRule>
    <cfRule type="expression" dxfId="6778" priority="13637">
      <formula>AND($I11&lt;&gt;"",M11&gt;$I11)</formula>
    </cfRule>
    <cfRule type="notContainsBlanks" dxfId="6777" priority="13638">
      <formula>LEN(TRIM(M11))&gt;0</formula>
    </cfRule>
  </conditionalFormatting>
  <conditionalFormatting sqref="M12">
    <cfRule type="expression" dxfId="6776" priority="13633">
      <formula>AND($J12&lt;&gt;"",M12&lt;$J12)</formula>
    </cfRule>
    <cfRule type="expression" dxfId="6775" priority="13634">
      <formula>AND($I12&lt;&gt;"",M12&gt;$I12)</formula>
    </cfRule>
    <cfRule type="notContainsBlanks" dxfId="6774" priority="13635">
      <formula>LEN(TRIM(M12))&gt;0</formula>
    </cfRule>
  </conditionalFormatting>
  <conditionalFormatting sqref="M11">
    <cfRule type="expression" dxfId="6773" priority="13630">
      <formula>AND($J11&lt;&gt;"",M11&lt;$J11)</formula>
    </cfRule>
    <cfRule type="expression" dxfId="6772" priority="13631">
      <formula>AND($I11&lt;&gt;"",M11&gt;$I11)</formula>
    </cfRule>
    <cfRule type="notContainsBlanks" dxfId="6771" priority="13632">
      <formula>LEN(TRIM(M11))&gt;0</formula>
    </cfRule>
  </conditionalFormatting>
  <conditionalFormatting sqref="M12">
    <cfRule type="expression" dxfId="6770" priority="13627">
      <formula>AND($J12&lt;&gt;"",M12&lt;$J12)</formula>
    </cfRule>
    <cfRule type="expression" dxfId="6769" priority="13628">
      <formula>AND($I12&lt;&gt;"",M12&gt;$I12)</formula>
    </cfRule>
    <cfRule type="notContainsBlanks" dxfId="6768" priority="13629">
      <formula>LEN(TRIM(M12))&gt;0</formula>
    </cfRule>
  </conditionalFormatting>
  <conditionalFormatting sqref="M11">
    <cfRule type="expression" dxfId="6767" priority="13624">
      <formula>AND($J11&lt;&gt;"",M11&lt;$J11)</formula>
    </cfRule>
    <cfRule type="expression" dxfId="6766" priority="13625">
      <formula>AND($I11&lt;&gt;"",M11&gt;$I11)</formula>
    </cfRule>
    <cfRule type="notContainsBlanks" dxfId="6765" priority="13626">
      <formula>LEN(TRIM(M11))&gt;0</formula>
    </cfRule>
  </conditionalFormatting>
  <conditionalFormatting sqref="M16">
    <cfRule type="expression" dxfId="6764" priority="13621">
      <formula>AND($J16&lt;&gt;"",M16&lt;$J16)</formula>
    </cfRule>
    <cfRule type="expression" dxfId="6763" priority="13622">
      <formula>AND($I16&lt;&gt;"",M16&gt;$I16)</formula>
    </cfRule>
    <cfRule type="notContainsBlanks" dxfId="6762" priority="13623">
      <formula>LEN(TRIM(M16))&gt;0</formula>
    </cfRule>
  </conditionalFormatting>
  <conditionalFormatting sqref="M15">
    <cfRule type="expression" dxfId="6761" priority="13618">
      <formula>AND($J15&lt;&gt;"",M15&lt;$J15)</formula>
    </cfRule>
    <cfRule type="expression" dxfId="6760" priority="13619">
      <formula>AND($I15&lt;&gt;"",M15&gt;$I15)</formula>
    </cfRule>
    <cfRule type="notContainsBlanks" dxfId="6759" priority="13620">
      <formula>LEN(TRIM(M15))&gt;0</formula>
    </cfRule>
  </conditionalFormatting>
  <conditionalFormatting sqref="K34:K44">
    <cfRule type="expression" dxfId="6758" priority="13612">
      <formula>AND($J34&lt;&gt;"",K34&lt;$J34)</formula>
    </cfRule>
    <cfRule type="expression" dxfId="6757" priority="13613">
      <formula>AND($I34&lt;&gt;"",K34&gt;$I34)</formula>
    </cfRule>
    <cfRule type="notContainsBlanks" dxfId="6756" priority="13614">
      <formula>LEN(TRIM(K34))&gt;0</formula>
    </cfRule>
  </conditionalFormatting>
  <conditionalFormatting sqref="E32:E33">
    <cfRule type="expression" dxfId="6755" priority="13572">
      <formula>AND($D32&lt;&gt;"Tolerance",$E32&lt;&gt;"")</formula>
    </cfRule>
    <cfRule type="expression" dxfId="6754" priority="13573">
      <formula>AND(OR($D32="GD&amp;T",$D32="MAX",$D32="MIN"),$E32="")</formula>
    </cfRule>
    <cfRule type="containsBlanks" dxfId="6753" priority="13574">
      <formula>LEN(TRIM(E32))=0</formula>
    </cfRule>
  </conditionalFormatting>
  <conditionalFormatting sqref="E52:E77">
    <cfRule type="expression" dxfId="6752" priority="13569">
      <formula>AND($D52&lt;&gt;"Tolerance",$E52&lt;&gt;"")</formula>
    </cfRule>
    <cfRule type="expression" dxfId="6751" priority="13570">
      <formula>AND(OR($D52="GD&amp;T",$D52="MAX",$D52="MIN"),$E52="")</formula>
    </cfRule>
    <cfRule type="containsBlanks" dxfId="6750" priority="13571">
      <formula>LEN(TRIM(E52))=0</formula>
    </cfRule>
  </conditionalFormatting>
  <conditionalFormatting sqref="E52:E77">
    <cfRule type="expression" dxfId="6749" priority="13566">
      <formula>AND($D52&lt;&gt;"Tolerance",$E52&lt;&gt;"")</formula>
    </cfRule>
    <cfRule type="expression" dxfId="6748" priority="13567">
      <formula>AND(OR($D52="GD&amp;T",$D52="MAX",$D52="MIN"),$E52="")</formula>
    </cfRule>
    <cfRule type="containsBlanks" dxfId="6747" priority="13568">
      <formula>LEN(TRIM(E52))=0</formula>
    </cfRule>
  </conditionalFormatting>
  <conditionalFormatting sqref="E88">
    <cfRule type="expression" dxfId="6746" priority="13563">
      <formula>AND($D88&lt;&gt;"Tolerance",$E88&lt;&gt;"")</formula>
    </cfRule>
    <cfRule type="expression" dxfId="6745" priority="13564">
      <formula>AND(OR($D88="GD&amp;T",$D88="MAX",$D88="MIN"),$E88="")</formula>
    </cfRule>
    <cfRule type="containsBlanks" dxfId="6744" priority="13565">
      <formula>LEN(TRIM(E88))=0</formula>
    </cfRule>
  </conditionalFormatting>
  <conditionalFormatting sqref="K88:M88">
    <cfRule type="expression" dxfId="6743" priority="13560">
      <formula>AND($J88&lt;&gt;"",K88&lt;$J88)</formula>
    </cfRule>
    <cfRule type="expression" dxfId="6742" priority="13561">
      <formula>AND($I88&lt;&gt;"",K88&gt;$I88)</formula>
    </cfRule>
    <cfRule type="notContainsBlanks" dxfId="6741" priority="13562">
      <formula>LEN(TRIM(K88))&gt;0</formula>
    </cfRule>
  </conditionalFormatting>
  <conditionalFormatting sqref="E72">
    <cfRule type="expression" dxfId="6740" priority="13557">
      <formula>AND($D72&lt;&gt;"Tolerance",$E72&lt;&gt;"")</formula>
    </cfRule>
    <cfRule type="expression" dxfId="6739" priority="13558">
      <formula>AND(OR($D72="GD&amp;T",$D72="MAX",$D72="MIN"),$E72="")</formula>
    </cfRule>
    <cfRule type="containsBlanks" dxfId="6738" priority="13559">
      <formula>LEN(TRIM(E72))=0</formula>
    </cfRule>
  </conditionalFormatting>
  <conditionalFormatting sqref="K72:M72">
    <cfRule type="expression" dxfId="6737" priority="13554">
      <formula>AND($J72&lt;&gt;"",K72&lt;$J72)</formula>
    </cfRule>
    <cfRule type="expression" dxfId="6736" priority="13555">
      <formula>AND($I72&lt;&gt;"",K72&gt;$I72)</formula>
    </cfRule>
    <cfRule type="notContainsBlanks" dxfId="6735" priority="13556">
      <formula>LEN(TRIM(K72))&gt;0</formula>
    </cfRule>
  </conditionalFormatting>
  <conditionalFormatting sqref="E100">
    <cfRule type="expression" dxfId="6734" priority="13551">
      <formula>AND($D100&lt;&gt;"Tolerance",$E100&lt;&gt;"")</formula>
    </cfRule>
    <cfRule type="expression" dxfId="6733" priority="13552">
      <formula>AND(OR($D100="GD&amp;T",$D100="MAX",$D100="MIN"),$E100="")</formula>
    </cfRule>
    <cfRule type="containsBlanks" dxfId="6732" priority="13553">
      <formula>LEN(TRIM(E100))=0</formula>
    </cfRule>
  </conditionalFormatting>
  <conditionalFormatting sqref="K100:M100">
    <cfRule type="expression" dxfId="6731" priority="13548">
      <formula>AND($J100&lt;&gt;"",K100&lt;$J100)</formula>
    </cfRule>
    <cfRule type="expression" dxfId="6730" priority="13549">
      <formula>AND($I100&lt;&gt;"",K100&gt;$I100)</formula>
    </cfRule>
    <cfRule type="notContainsBlanks" dxfId="6729" priority="13550">
      <formula>LEN(TRIM(K100))&gt;0</formula>
    </cfRule>
  </conditionalFormatting>
  <conditionalFormatting sqref="E111 E113:E114 E146:E166">
    <cfRule type="expression" dxfId="6728" priority="13518">
      <formula>AND($D111&lt;&gt;"Tolerance",$E111&lt;&gt;"")</formula>
    </cfRule>
    <cfRule type="expression" dxfId="6727" priority="13519">
      <formula>AND(OR($D111="GD&amp;T",$D111="MAX",$D111="MIN"),$E111="")</formula>
    </cfRule>
    <cfRule type="containsBlanks" dxfId="6726" priority="13520">
      <formula>LEN(TRIM(E111))=0</formula>
    </cfRule>
  </conditionalFormatting>
  <conditionalFormatting sqref="G111">
    <cfRule type="expression" dxfId="6725" priority="13515">
      <formula>AND(OR($D111="GD&amp;T",$D111="MAX"),$G111&lt;&gt;"")</formula>
    </cfRule>
    <cfRule type="expression" dxfId="6724" priority="13516">
      <formula>AND(OR($D111="GD&amp;T",$D111="MAX"),$G111="")</formula>
    </cfRule>
    <cfRule type="containsBlanks" dxfId="6723" priority="13517">
      <formula>LEN(TRIM(G111))=0</formula>
    </cfRule>
  </conditionalFormatting>
  <conditionalFormatting sqref="F111 F113:F114">
    <cfRule type="expression" dxfId="6722" priority="13512">
      <formula>AND($D111="MIN",$F111&lt;&gt;"")</formula>
    </cfRule>
    <cfRule type="expression" dxfId="6721" priority="13513">
      <formula>AND($D111="MIN",$F111="")</formula>
    </cfRule>
    <cfRule type="containsBlanks" dxfId="6720" priority="13514">
      <formula>LEN(TRIM(F111))=0</formula>
    </cfRule>
  </conditionalFormatting>
  <conditionalFormatting sqref="G111 G113:G114">
    <cfRule type="expression" dxfId="6719" priority="13509">
      <formula>AND(OR($D111="GD&amp;T",$D111="MAX"),$G111&lt;&gt;"")</formula>
    </cfRule>
    <cfRule type="expression" dxfId="6718" priority="13510">
      <formula>AND(OR($D111="GD&amp;T",$D111="MAX"),$G111="")</formula>
    </cfRule>
    <cfRule type="containsBlanks" dxfId="6717" priority="13511">
      <formula>LEN(TRIM(G111))=0</formula>
    </cfRule>
  </conditionalFormatting>
  <conditionalFormatting sqref="F111 F113:F114">
    <cfRule type="expression" dxfId="6716" priority="13506">
      <formula>AND($D111="MIN",$F111&lt;&gt;"")</formula>
    </cfRule>
    <cfRule type="expression" dxfId="6715" priority="13507">
      <formula>AND($D111="MIN",$F111="")</formula>
    </cfRule>
    <cfRule type="containsBlanks" dxfId="6714" priority="13508">
      <formula>LEN(TRIM(F111))=0</formula>
    </cfRule>
  </conditionalFormatting>
  <conditionalFormatting sqref="G111 G113:G114">
    <cfRule type="expression" dxfId="6713" priority="13503">
      <formula>AND(OR($D111="GD&amp;T",$D111="MAX"),$G111&lt;&gt;"")</formula>
    </cfRule>
    <cfRule type="expression" dxfId="6712" priority="13504">
      <formula>AND(OR($D111="GD&amp;T",$D111="MAX"),$G111="")</formula>
    </cfRule>
    <cfRule type="containsBlanks" dxfId="6711" priority="13505">
      <formula>LEN(TRIM(G111))=0</formula>
    </cfRule>
  </conditionalFormatting>
  <conditionalFormatting sqref="F112">
    <cfRule type="expression" dxfId="6710" priority="13500">
      <formula>AND($D112="MIN",$F112&lt;&gt;"")</formula>
    </cfRule>
    <cfRule type="expression" dxfId="6709" priority="13501">
      <formula>AND($D112="MIN",$F112="")</formula>
    </cfRule>
    <cfRule type="containsBlanks" dxfId="6708" priority="13502">
      <formula>LEN(TRIM(F112))=0</formula>
    </cfRule>
  </conditionalFormatting>
  <conditionalFormatting sqref="G112">
    <cfRule type="expression" dxfId="6707" priority="13497">
      <formula>AND(OR($D112="GD&amp;T",$D112="MAX"),$G112&lt;&gt;"")</formula>
    </cfRule>
    <cfRule type="expression" dxfId="6706" priority="13498">
      <formula>AND(OR($D112="GD&amp;T",$D112="MAX"),$G112="")</formula>
    </cfRule>
    <cfRule type="containsBlanks" dxfId="6705" priority="13499">
      <formula>LEN(TRIM(G112))=0</formula>
    </cfRule>
  </conditionalFormatting>
  <conditionalFormatting sqref="F112">
    <cfRule type="expression" dxfId="6704" priority="13494">
      <formula>AND($D112="MIN",$F112&lt;&gt;"")</formula>
    </cfRule>
    <cfRule type="expression" dxfId="6703" priority="13495">
      <formula>AND($D112="MIN",$F112="")</formula>
    </cfRule>
    <cfRule type="containsBlanks" dxfId="6702" priority="13496">
      <formula>LEN(TRIM(F112))=0</formula>
    </cfRule>
  </conditionalFormatting>
  <conditionalFormatting sqref="G112">
    <cfRule type="expression" dxfId="6701" priority="13491">
      <formula>AND(OR($D112="GD&amp;T",$D112="MAX"),$G112&lt;&gt;"")</formula>
    </cfRule>
    <cfRule type="expression" dxfId="6700" priority="13492">
      <formula>AND(OR($D112="GD&amp;T",$D112="MAX"),$G112="")</formula>
    </cfRule>
    <cfRule type="containsBlanks" dxfId="6699" priority="13493">
      <formula>LEN(TRIM(G112))=0</formula>
    </cfRule>
  </conditionalFormatting>
  <conditionalFormatting sqref="E112">
    <cfRule type="expression" dxfId="6698" priority="13488">
      <formula>AND($D112&lt;&gt;"Tolerance",$E112&lt;&gt;"")</formula>
    </cfRule>
    <cfRule type="expression" dxfId="6697" priority="13489">
      <formula>AND(OR($D112="GD&amp;T",$D112="MAX",$D112="MIN"),$E112="")</formula>
    </cfRule>
    <cfRule type="containsBlanks" dxfId="6696" priority="13490">
      <formula>LEN(TRIM(E112))=0</formula>
    </cfRule>
  </conditionalFormatting>
  <conditionalFormatting sqref="E111 E113:E114">
    <cfRule type="expression" dxfId="6695" priority="13485">
      <formula>AND($D111&lt;&gt;"Tolerance",$E111&lt;&gt;"")</formula>
    </cfRule>
    <cfRule type="expression" dxfId="6694" priority="13486">
      <formula>AND(OR($D111="GD&amp;T",$D111="MAX",$D111="MIN"),$E111="")</formula>
    </cfRule>
    <cfRule type="containsBlanks" dxfId="6693" priority="13487">
      <formula>LEN(TRIM(E111))=0</formula>
    </cfRule>
  </conditionalFormatting>
  <conditionalFormatting sqref="G111">
    <cfRule type="expression" dxfId="6692" priority="13482">
      <formula>AND(OR($D111="GD&amp;T",$D111="MAX"),$G111&lt;&gt;"")</formula>
    </cfRule>
    <cfRule type="expression" dxfId="6691" priority="13483">
      <formula>AND(OR($D111="GD&amp;T",$D111="MAX"),$G111="")</formula>
    </cfRule>
    <cfRule type="containsBlanks" dxfId="6690" priority="13484">
      <formula>LEN(TRIM(G111))=0</formula>
    </cfRule>
  </conditionalFormatting>
  <conditionalFormatting sqref="G111">
    <cfRule type="expression" dxfId="6689" priority="13479">
      <formula>AND(OR($D111="GD&amp;T",$D111="MAX"),$G111&lt;&gt;"")</formula>
    </cfRule>
    <cfRule type="expression" dxfId="6688" priority="13480">
      <formula>AND(OR($D111="GD&amp;T",$D111="MAX"),$G111="")</formula>
    </cfRule>
    <cfRule type="containsBlanks" dxfId="6687" priority="13481">
      <formula>LEN(TRIM(G111))=0</formula>
    </cfRule>
  </conditionalFormatting>
  <conditionalFormatting sqref="F111 F113:F114">
    <cfRule type="expression" dxfId="6686" priority="13476">
      <formula>AND($D111="MIN",$F111&lt;&gt;"")</formula>
    </cfRule>
    <cfRule type="expression" dxfId="6685" priority="13477">
      <formula>AND($D111="MIN",$F111="")</formula>
    </cfRule>
    <cfRule type="containsBlanks" dxfId="6684" priority="13478">
      <formula>LEN(TRIM(F111))=0</formula>
    </cfRule>
  </conditionalFormatting>
  <conditionalFormatting sqref="G111 G113:G114">
    <cfRule type="expression" dxfId="6683" priority="13473">
      <formula>AND(OR($D111="GD&amp;T",$D111="MAX"),$G111&lt;&gt;"")</formula>
    </cfRule>
    <cfRule type="expression" dxfId="6682" priority="13474">
      <formula>AND(OR($D111="GD&amp;T",$D111="MAX"),$G111="")</formula>
    </cfRule>
    <cfRule type="containsBlanks" dxfId="6681" priority="13475">
      <formula>LEN(TRIM(G111))=0</formula>
    </cfRule>
  </conditionalFormatting>
  <conditionalFormatting sqref="F111 F113:F114">
    <cfRule type="expression" dxfId="6680" priority="13470">
      <formula>AND($D111="MIN",$F111&lt;&gt;"")</formula>
    </cfRule>
    <cfRule type="expression" dxfId="6679" priority="13471">
      <formula>AND($D111="MIN",$F111="")</formula>
    </cfRule>
    <cfRule type="containsBlanks" dxfId="6678" priority="13472">
      <formula>LEN(TRIM(F111))=0</formula>
    </cfRule>
  </conditionalFormatting>
  <conditionalFormatting sqref="G111 G113:G114">
    <cfRule type="expression" dxfId="6677" priority="13467">
      <formula>AND(OR($D111="GD&amp;T",$D111="MAX"),$G111&lt;&gt;"")</formula>
    </cfRule>
    <cfRule type="expression" dxfId="6676" priority="13468">
      <formula>AND(OR($D111="GD&amp;T",$D111="MAX"),$G111="")</formula>
    </cfRule>
    <cfRule type="containsBlanks" dxfId="6675" priority="13469">
      <formula>LEN(TRIM(G111))=0</formula>
    </cfRule>
  </conditionalFormatting>
  <conditionalFormatting sqref="F112">
    <cfRule type="expression" dxfId="6674" priority="13464">
      <formula>AND($D112="MIN",$F112&lt;&gt;"")</formula>
    </cfRule>
    <cfRule type="expression" dxfId="6673" priority="13465">
      <formula>AND($D112="MIN",$F112="")</formula>
    </cfRule>
    <cfRule type="containsBlanks" dxfId="6672" priority="13466">
      <formula>LEN(TRIM(F112))=0</formula>
    </cfRule>
  </conditionalFormatting>
  <conditionalFormatting sqref="G112">
    <cfRule type="expression" dxfId="6671" priority="13461">
      <formula>AND(OR($D112="GD&amp;T",$D112="MAX"),$G112&lt;&gt;"")</formula>
    </cfRule>
    <cfRule type="expression" dxfId="6670" priority="13462">
      <formula>AND(OR($D112="GD&amp;T",$D112="MAX"),$G112="")</formula>
    </cfRule>
    <cfRule type="containsBlanks" dxfId="6669" priority="13463">
      <formula>LEN(TRIM(G112))=0</formula>
    </cfRule>
  </conditionalFormatting>
  <conditionalFormatting sqref="F112">
    <cfRule type="expression" dxfId="6668" priority="13458">
      <formula>AND($D112="MIN",$F112&lt;&gt;"")</formula>
    </cfRule>
    <cfRule type="expression" dxfId="6667" priority="13459">
      <formula>AND($D112="MIN",$F112="")</formula>
    </cfRule>
    <cfRule type="containsBlanks" dxfId="6666" priority="13460">
      <formula>LEN(TRIM(F112))=0</formula>
    </cfRule>
  </conditionalFormatting>
  <conditionalFormatting sqref="G112">
    <cfRule type="expression" dxfId="6665" priority="13455">
      <formula>AND(OR($D112="GD&amp;T",$D112="MAX"),$G112&lt;&gt;"")</formula>
    </cfRule>
    <cfRule type="expression" dxfId="6664" priority="13456">
      <formula>AND(OR($D112="GD&amp;T",$D112="MAX"),$G112="")</formula>
    </cfRule>
    <cfRule type="containsBlanks" dxfId="6663" priority="13457">
      <formula>LEN(TRIM(G112))=0</formula>
    </cfRule>
  </conditionalFormatting>
  <conditionalFormatting sqref="E112">
    <cfRule type="expression" dxfId="6662" priority="13452">
      <formula>AND($D112&lt;&gt;"Tolerance",$E112&lt;&gt;"")</formula>
    </cfRule>
    <cfRule type="expression" dxfId="6661" priority="13453">
      <formula>AND(OR($D112="GD&amp;T",$D112="MAX",$D112="MIN"),$E112="")</formula>
    </cfRule>
    <cfRule type="containsBlanks" dxfId="6660" priority="13454">
      <formula>LEN(TRIM(E112))=0</formula>
    </cfRule>
  </conditionalFormatting>
  <conditionalFormatting sqref="G111">
    <cfRule type="expression" dxfId="6659" priority="13449">
      <formula>AND(OR($D111="GD&amp;T",$D111="MAX"),$G111&lt;&gt;"")</formula>
    </cfRule>
    <cfRule type="expression" dxfId="6658" priority="13450">
      <formula>AND(OR($D111="GD&amp;T",$D111="MAX"),$G111="")</formula>
    </cfRule>
    <cfRule type="containsBlanks" dxfId="6657" priority="13451">
      <formula>LEN(TRIM(G111))=0</formula>
    </cfRule>
  </conditionalFormatting>
  <conditionalFormatting sqref="G111">
    <cfRule type="expression" dxfId="6656" priority="13446">
      <formula>AND(OR($D111="GD&amp;T",$D111="MAX"),$G111&lt;&gt;"")</formula>
    </cfRule>
    <cfRule type="expression" dxfId="6655" priority="13447">
      <formula>AND(OR($D111="GD&amp;T",$D111="MAX"),$G111="")</formula>
    </cfRule>
    <cfRule type="containsBlanks" dxfId="6654" priority="13448">
      <formula>LEN(TRIM(G111))=0</formula>
    </cfRule>
  </conditionalFormatting>
  <conditionalFormatting sqref="E128">
    <cfRule type="expression" dxfId="6653" priority="13443">
      <formula>AND($D128&lt;&gt;"Tolerance",$E128&lt;&gt;"")</formula>
    </cfRule>
    <cfRule type="expression" dxfId="6652" priority="13444">
      <formula>AND(OR($D128="GD&amp;T",$D128="MAX",$D128="MIN"),$E128="")</formula>
    </cfRule>
    <cfRule type="containsBlanks" dxfId="6651" priority="13445">
      <formula>LEN(TRIM(E128))=0</formula>
    </cfRule>
  </conditionalFormatting>
  <conditionalFormatting sqref="E129:E146">
    <cfRule type="expression" dxfId="6650" priority="13440">
      <formula>AND($D129&lt;&gt;"Tolerance",$E129&lt;&gt;"")</formula>
    </cfRule>
    <cfRule type="expression" dxfId="6649" priority="13441">
      <formula>AND(OR($D129="GD&amp;T",$D129="MAX",$D129="MIN"),$E129="")</formula>
    </cfRule>
    <cfRule type="containsBlanks" dxfId="6648" priority="13442">
      <formula>LEN(TRIM(E129))=0</formula>
    </cfRule>
  </conditionalFormatting>
  <conditionalFormatting sqref="E160">
    <cfRule type="expression" dxfId="6647" priority="13437">
      <formula>AND($D160&lt;&gt;"Tolerance",$E160&lt;&gt;"")</formula>
    </cfRule>
    <cfRule type="expression" dxfId="6646" priority="13438">
      <formula>AND(OR($D160="GD&amp;T",$D160="MAX",$D160="MIN"),$E160="")</formula>
    </cfRule>
    <cfRule type="containsBlanks" dxfId="6645" priority="13439">
      <formula>LEN(TRIM(E160))=0</formula>
    </cfRule>
  </conditionalFormatting>
  <conditionalFormatting sqref="E112">
    <cfRule type="expression" dxfId="6644" priority="13434">
      <formula>AND($D112&lt;&gt;"Tolerance",$E112&lt;&gt;"")</formula>
    </cfRule>
    <cfRule type="expression" dxfId="6643" priority="13435">
      <formula>AND(OR($D112="GD&amp;T",$D112="MAX",$D112="MIN"),$E112="")</formula>
    </cfRule>
    <cfRule type="containsBlanks" dxfId="6642" priority="13436">
      <formula>LEN(TRIM(E112))=0</formula>
    </cfRule>
  </conditionalFormatting>
  <conditionalFormatting sqref="E116">
    <cfRule type="expression" dxfId="6641" priority="13431">
      <formula>AND($D116&lt;&gt;"Tolerance",$E116&lt;&gt;"")</formula>
    </cfRule>
    <cfRule type="expression" dxfId="6640" priority="13432">
      <formula>AND(OR($D116="GD&amp;T",$D116="MAX",$D116="MIN"),$E116="")</formula>
    </cfRule>
    <cfRule type="containsBlanks" dxfId="6639" priority="13433">
      <formula>LEN(TRIM(E116))=0</formula>
    </cfRule>
  </conditionalFormatting>
  <conditionalFormatting sqref="E123">
    <cfRule type="expression" dxfId="6638" priority="13428">
      <formula>AND($D123&lt;&gt;"Tolerance",$E123&lt;&gt;"")</formula>
    </cfRule>
    <cfRule type="expression" dxfId="6637" priority="13429">
      <formula>AND(OR($D123="GD&amp;T",$D123="MAX",$D123="MIN"),$E123="")</formula>
    </cfRule>
    <cfRule type="containsBlanks" dxfId="6636" priority="13430">
      <formula>LEN(TRIM(E123))=0</formula>
    </cfRule>
  </conditionalFormatting>
  <conditionalFormatting sqref="E125">
    <cfRule type="expression" dxfId="6635" priority="13419">
      <formula>AND($D125&lt;&gt;"Tolerance",$E125&lt;&gt;"")</formula>
    </cfRule>
    <cfRule type="expression" dxfId="6634" priority="13420">
      <formula>AND(OR($D125="GD&amp;T",$D125="MAX",$D125="MIN"),$E125="")</formula>
    </cfRule>
    <cfRule type="containsBlanks" dxfId="6633" priority="13421">
      <formula>LEN(TRIM(E125))=0</formula>
    </cfRule>
  </conditionalFormatting>
  <conditionalFormatting sqref="E127">
    <cfRule type="expression" dxfId="6632" priority="13416">
      <formula>AND($D127&lt;&gt;"Tolerance",$E127&lt;&gt;"")</formula>
    </cfRule>
    <cfRule type="expression" dxfId="6631" priority="13417">
      <formula>AND(OR($D127="GD&amp;T",$D127="MAX",$D127="MIN"),$E127="")</formula>
    </cfRule>
    <cfRule type="containsBlanks" dxfId="6630" priority="13418">
      <formula>LEN(TRIM(E127))=0</formula>
    </cfRule>
  </conditionalFormatting>
  <conditionalFormatting sqref="E163">
    <cfRule type="expression" dxfId="6629" priority="13413">
      <formula>AND($D163&lt;&gt;"Tolerance",$E163&lt;&gt;"")</formula>
    </cfRule>
    <cfRule type="expression" dxfId="6628" priority="13414">
      <formula>AND(OR($D163="GD&amp;T",$D163="MAX",$D163="MIN"),$E163="")</formula>
    </cfRule>
    <cfRule type="containsBlanks" dxfId="6627" priority="13415">
      <formula>LEN(TRIM(E163))=0</formula>
    </cfRule>
  </conditionalFormatting>
  <conditionalFormatting sqref="E165">
    <cfRule type="expression" dxfId="6626" priority="13410">
      <formula>AND($D165&lt;&gt;"Tolerance",$E165&lt;&gt;"")</formula>
    </cfRule>
    <cfRule type="expression" dxfId="6625" priority="13411">
      <formula>AND(OR($D165="GD&amp;T",$D165="MAX",$D165="MIN"),$E165="")</formula>
    </cfRule>
    <cfRule type="containsBlanks" dxfId="6624" priority="13412">
      <formula>LEN(TRIM(E165))=0</formula>
    </cfRule>
  </conditionalFormatting>
  <conditionalFormatting sqref="K165:M165">
    <cfRule type="expression" dxfId="6623" priority="13407">
      <formula>AND($J165&lt;&gt;"",K165&lt;$J165)</formula>
    </cfRule>
    <cfRule type="expression" dxfId="6622" priority="13408">
      <formula>AND($I165&lt;&gt;"",K165&gt;$I165)</formula>
    </cfRule>
    <cfRule type="notContainsBlanks" dxfId="6621" priority="13409">
      <formula>LEN(TRIM(K165))&gt;0</formula>
    </cfRule>
  </conditionalFormatting>
  <conditionalFormatting sqref="K111:M115">
    <cfRule type="expression" dxfId="6620" priority="13404">
      <formula>AND($J111&lt;&gt;"",K111&lt;$J111)</formula>
    </cfRule>
    <cfRule type="expression" dxfId="6619" priority="13405">
      <formula>AND($I111&lt;&gt;"",K111&gt;$I111)</formula>
    </cfRule>
    <cfRule type="notContainsBlanks" dxfId="6618" priority="13406">
      <formula>LEN(TRIM(K111))&gt;0</formula>
    </cfRule>
  </conditionalFormatting>
  <conditionalFormatting sqref="K112:M112">
    <cfRule type="expression" dxfId="6617" priority="13401">
      <formula>AND($J112&lt;&gt;"",K112&lt;$J112)</formula>
    </cfRule>
    <cfRule type="expression" dxfId="6616" priority="13402">
      <formula>AND($I112&lt;&gt;"",K112&gt;$I112)</formula>
    </cfRule>
    <cfRule type="notContainsBlanks" dxfId="6615" priority="13403">
      <formula>LEN(TRIM(K112))&gt;0</formula>
    </cfRule>
  </conditionalFormatting>
  <conditionalFormatting sqref="K111:M115">
    <cfRule type="expression" dxfId="6614" priority="13398">
      <formula>AND($J111&lt;&gt;"",K111&lt;$J111)</formula>
    </cfRule>
    <cfRule type="expression" dxfId="6613" priority="13399">
      <formula>AND($I111&lt;&gt;"",K111&gt;$I111)</formula>
    </cfRule>
    <cfRule type="notContainsBlanks" dxfId="6612" priority="13400">
      <formula>LEN(TRIM(K111))&gt;0</formula>
    </cfRule>
  </conditionalFormatting>
  <conditionalFormatting sqref="K112:M112">
    <cfRule type="expression" dxfId="6611" priority="13395">
      <formula>AND($J112&lt;&gt;"",K112&lt;$J112)</formula>
    </cfRule>
    <cfRule type="expression" dxfId="6610" priority="13396">
      <formula>AND($I112&lt;&gt;"",K112&gt;$I112)</formula>
    </cfRule>
    <cfRule type="notContainsBlanks" dxfId="6609" priority="13397">
      <formula>LEN(TRIM(K112))&gt;0</formula>
    </cfRule>
  </conditionalFormatting>
  <conditionalFormatting sqref="K111:M115">
    <cfRule type="expression" dxfId="6608" priority="13392">
      <formula>AND($J111&lt;&gt;"",K111&lt;$J111)</formula>
    </cfRule>
    <cfRule type="expression" dxfId="6607" priority="13393">
      <formula>AND($I111&lt;&gt;"",K111&gt;$I111)</formula>
    </cfRule>
    <cfRule type="notContainsBlanks" dxfId="6606" priority="13394">
      <formula>LEN(TRIM(K111))&gt;0</formula>
    </cfRule>
  </conditionalFormatting>
  <conditionalFormatting sqref="K112:M112">
    <cfRule type="expression" dxfId="6605" priority="13389">
      <formula>AND($J112&lt;&gt;"",K112&lt;$J112)</formula>
    </cfRule>
    <cfRule type="expression" dxfId="6604" priority="13390">
      <formula>AND($I112&lt;&gt;"",K112&gt;$I112)</formula>
    </cfRule>
    <cfRule type="notContainsBlanks" dxfId="6603" priority="13391">
      <formula>LEN(TRIM(K112))&gt;0</formula>
    </cfRule>
  </conditionalFormatting>
  <conditionalFormatting sqref="K111:M115">
    <cfRule type="expression" dxfId="6602" priority="13386">
      <formula>AND($J111&lt;&gt;"",K111&lt;$J111)</formula>
    </cfRule>
    <cfRule type="expression" dxfId="6601" priority="13387">
      <formula>AND($I111&lt;&gt;"",K111&gt;$I111)</formula>
    </cfRule>
    <cfRule type="notContainsBlanks" dxfId="6600" priority="13388">
      <formula>LEN(TRIM(K111))&gt;0</formula>
    </cfRule>
  </conditionalFormatting>
  <conditionalFormatting sqref="K112:M112">
    <cfRule type="expression" dxfId="6599" priority="13383">
      <formula>AND($J112&lt;&gt;"",K112&lt;$J112)</formula>
    </cfRule>
    <cfRule type="expression" dxfId="6598" priority="13384">
      <formula>AND($I112&lt;&gt;"",K112&gt;$I112)</formula>
    </cfRule>
    <cfRule type="notContainsBlanks" dxfId="6597" priority="13385">
      <formula>LEN(TRIM(K112))&gt;0</formula>
    </cfRule>
  </conditionalFormatting>
  <conditionalFormatting sqref="K111:M115">
    <cfRule type="expression" dxfId="6596" priority="13380">
      <formula>AND($J111&lt;&gt;"",K111&lt;$J111)</formula>
    </cfRule>
    <cfRule type="expression" dxfId="6595" priority="13381">
      <formula>AND($I111&lt;&gt;"",K111&gt;$I111)</formula>
    </cfRule>
    <cfRule type="notContainsBlanks" dxfId="6594" priority="13382">
      <formula>LEN(TRIM(K111))&gt;0</formula>
    </cfRule>
  </conditionalFormatting>
  <conditionalFormatting sqref="K112:M112">
    <cfRule type="expression" dxfId="6593" priority="13377">
      <formula>AND($J112&lt;&gt;"",K112&lt;$J112)</formula>
    </cfRule>
    <cfRule type="expression" dxfId="6592" priority="13378">
      <formula>AND($I112&lt;&gt;"",K112&gt;$I112)</formula>
    </cfRule>
    <cfRule type="notContainsBlanks" dxfId="6591" priority="13379">
      <formula>LEN(TRIM(K112))&gt;0</formula>
    </cfRule>
  </conditionalFormatting>
  <conditionalFormatting sqref="K128:M128">
    <cfRule type="expression" dxfId="6590" priority="13374">
      <formula>AND($J128&lt;&gt;"",K128&lt;$J128)</formula>
    </cfRule>
    <cfRule type="expression" dxfId="6589" priority="13375">
      <formula>AND($I128&lt;&gt;"",K128&gt;$I128)</formula>
    </cfRule>
    <cfRule type="notContainsBlanks" dxfId="6588" priority="13376">
      <formula>LEN(TRIM(K128))&gt;0</formula>
    </cfRule>
  </conditionalFormatting>
  <conditionalFormatting sqref="K160:M160">
    <cfRule type="expression" dxfId="6587" priority="13371">
      <formula>AND($J160&lt;&gt;"",K160&lt;$J160)</formula>
    </cfRule>
    <cfRule type="expression" dxfId="6586" priority="13372">
      <formula>AND($I160&lt;&gt;"",K160&gt;$I160)</formula>
    </cfRule>
    <cfRule type="notContainsBlanks" dxfId="6585" priority="13373">
      <formula>LEN(TRIM(K160))&gt;0</formula>
    </cfRule>
  </conditionalFormatting>
  <conditionalFormatting sqref="K112:M112">
    <cfRule type="expression" dxfId="6584" priority="13368">
      <formula>AND($J112&lt;&gt;"",K112&lt;$J112)</formula>
    </cfRule>
    <cfRule type="expression" dxfId="6583" priority="13369">
      <formula>AND($I112&lt;&gt;"",K112&gt;$I112)</formula>
    </cfRule>
    <cfRule type="notContainsBlanks" dxfId="6582" priority="13370">
      <formula>LEN(TRIM(K112))&gt;0</formula>
    </cfRule>
  </conditionalFormatting>
  <conditionalFormatting sqref="K116:M116">
    <cfRule type="expression" dxfId="6581" priority="13365">
      <formula>AND($J116&lt;&gt;"",K116&lt;$J116)</formula>
    </cfRule>
    <cfRule type="expression" dxfId="6580" priority="13366">
      <formula>AND($I116&lt;&gt;"",K116&gt;$I116)</formula>
    </cfRule>
    <cfRule type="notContainsBlanks" dxfId="6579" priority="13367">
      <formula>LEN(TRIM(K116))&gt;0</formula>
    </cfRule>
  </conditionalFormatting>
  <conditionalFormatting sqref="K123:M123">
    <cfRule type="expression" dxfId="6578" priority="13362">
      <formula>AND($J123&lt;&gt;"",K123&lt;$J123)</formula>
    </cfRule>
    <cfRule type="expression" dxfId="6577" priority="13363">
      <formula>AND($I123&lt;&gt;"",K123&gt;$I123)</formula>
    </cfRule>
    <cfRule type="notContainsBlanks" dxfId="6576" priority="13364">
      <formula>LEN(TRIM(K123))&gt;0</formula>
    </cfRule>
  </conditionalFormatting>
  <conditionalFormatting sqref="K125:M125">
    <cfRule type="expression" dxfId="6575" priority="13353">
      <formula>AND($J125&lt;&gt;"",K125&lt;$J125)</formula>
    </cfRule>
    <cfRule type="expression" dxfId="6574" priority="13354">
      <formula>AND($I125&lt;&gt;"",K125&gt;$I125)</formula>
    </cfRule>
    <cfRule type="notContainsBlanks" dxfId="6573" priority="13355">
      <formula>LEN(TRIM(K125))&gt;0</formula>
    </cfRule>
  </conditionalFormatting>
  <conditionalFormatting sqref="K127:M127">
    <cfRule type="expression" dxfId="6572" priority="13350">
      <formula>AND($J127&lt;&gt;"",K127&lt;$J127)</formula>
    </cfRule>
    <cfRule type="expression" dxfId="6571" priority="13351">
      <formula>AND($I127&lt;&gt;"",K127&gt;$I127)</formula>
    </cfRule>
    <cfRule type="notContainsBlanks" dxfId="6570" priority="13352">
      <formula>LEN(TRIM(K127))&gt;0</formula>
    </cfRule>
  </conditionalFormatting>
  <conditionalFormatting sqref="L124:M124">
    <cfRule type="expression" dxfId="6569" priority="13347">
      <formula>AND($J124&lt;&gt;"",L124&lt;$J124)</formula>
    </cfRule>
    <cfRule type="expression" dxfId="6568" priority="13348">
      <formula>AND($I124&lt;&gt;"",L124&gt;$I124)</formula>
    </cfRule>
    <cfRule type="notContainsBlanks" dxfId="6567" priority="13349">
      <formula>LEN(TRIM(L124))&gt;0</formula>
    </cfRule>
  </conditionalFormatting>
  <conditionalFormatting sqref="K122:M122">
    <cfRule type="expression" dxfId="6566" priority="13341">
      <formula>AND($J122&lt;&gt;"",K122&lt;$J122)</formula>
    </cfRule>
    <cfRule type="expression" dxfId="6565" priority="13342">
      <formula>AND($I122&lt;&gt;"",K122&gt;$I122)</formula>
    </cfRule>
    <cfRule type="notContainsBlanks" dxfId="6564" priority="13343">
      <formula>LEN(TRIM(K122))&gt;0</formula>
    </cfRule>
  </conditionalFormatting>
  <conditionalFormatting sqref="K124">
    <cfRule type="expression" dxfId="6563" priority="13338">
      <formula>AND($J124&lt;&gt;"",K124&lt;$J124)</formula>
    </cfRule>
    <cfRule type="expression" dxfId="6562" priority="13339">
      <formula>AND($I124&lt;&gt;"",K124&gt;$I124)</formula>
    </cfRule>
    <cfRule type="notContainsBlanks" dxfId="6561" priority="13340">
      <formula>LEN(TRIM(K124))&gt;0</formula>
    </cfRule>
  </conditionalFormatting>
  <conditionalFormatting sqref="L123:M123">
    <cfRule type="expression" dxfId="6560" priority="13335">
      <formula>AND($J123&lt;&gt;"",L123&lt;$J123)</formula>
    </cfRule>
    <cfRule type="expression" dxfId="6559" priority="13336">
      <formula>AND($I123&lt;&gt;"",L123&gt;$I123)</formula>
    </cfRule>
    <cfRule type="notContainsBlanks" dxfId="6558" priority="13337">
      <formula>LEN(TRIM(L123))&gt;0</formula>
    </cfRule>
  </conditionalFormatting>
  <conditionalFormatting sqref="L124:M124">
    <cfRule type="expression" dxfId="6557" priority="13332">
      <formula>AND($J124&lt;&gt;"",L124&lt;$J124)</formula>
    </cfRule>
    <cfRule type="expression" dxfId="6556" priority="13333">
      <formula>AND($I124&lt;&gt;"",L124&gt;$I124)</formula>
    </cfRule>
    <cfRule type="notContainsBlanks" dxfId="6555" priority="13334">
      <formula>LEN(TRIM(L124))&gt;0</formula>
    </cfRule>
  </conditionalFormatting>
  <conditionalFormatting sqref="K122:M122">
    <cfRule type="expression" dxfId="6554" priority="13329">
      <formula>AND($J122&lt;&gt;"",K122&lt;$J122)</formula>
    </cfRule>
    <cfRule type="expression" dxfId="6553" priority="13330">
      <formula>AND($I122&lt;&gt;"",K122&gt;$I122)</formula>
    </cfRule>
    <cfRule type="notContainsBlanks" dxfId="6552" priority="13331">
      <formula>LEN(TRIM(K122))&gt;0</formula>
    </cfRule>
  </conditionalFormatting>
  <conditionalFormatting sqref="K124">
    <cfRule type="expression" dxfId="6551" priority="13326">
      <formula>AND($J124&lt;&gt;"",K124&lt;$J124)</formula>
    </cfRule>
    <cfRule type="expression" dxfId="6550" priority="13327">
      <formula>AND($I124&lt;&gt;"",K124&gt;$I124)</formula>
    </cfRule>
    <cfRule type="notContainsBlanks" dxfId="6549" priority="13328">
      <formula>LEN(TRIM(K124))&gt;0</formula>
    </cfRule>
  </conditionalFormatting>
  <conditionalFormatting sqref="L123:M123">
    <cfRule type="expression" dxfId="6548" priority="13323">
      <formula>AND($J123&lt;&gt;"",L123&lt;$J123)</formula>
    </cfRule>
    <cfRule type="expression" dxfId="6547" priority="13324">
      <formula>AND($I123&lt;&gt;"",L123&gt;$I123)</formula>
    </cfRule>
    <cfRule type="notContainsBlanks" dxfId="6546" priority="13325">
      <formula>LEN(TRIM(L123))&gt;0</formula>
    </cfRule>
  </conditionalFormatting>
  <conditionalFormatting sqref="L124:M124">
    <cfRule type="expression" dxfId="6545" priority="13320">
      <formula>AND($J124&lt;&gt;"",L124&lt;$J124)</formula>
    </cfRule>
    <cfRule type="expression" dxfId="6544" priority="13321">
      <formula>AND($I124&lt;&gt;"",L124&gt;$I124)</formula>
    </cfRule>
    <cfRule type="notContainsBlanks" dxfId="6543" priority="13322">
      <formula>LEN(TRIM(L124))&gt;0</formula>
    </cfRule>
  </conditionalFormatting>
  <conditionalFormatting sqref="K123">
    <cfRule type="expression" dxfId="6542" priority="13314">
      <formula>AND($J123&lt;&gt;"",K123&lt;$J123)</formula>
    </cfRule>
    <cfRule type="expression" dxfId="6541" priority="13315">
      <formula>AND($I123&lt;&gt;"",K123&gt;$I123)</formula>
    </cfRule>
    <cfRule type="notContainsBlanks" dxfId="6540" priority="13316">
      <formula>LEN(TRIM(K123))&gt;0</formula>
    </cfRule>
  </conditionalFormatting>
  <conditionalFormatting sqref="L122:M122">
    <cfRule type="expression" dxfId="6539" priority="13311">
      <formula>AND($J122&lt;&gt;"",L122&lt;$J122)</formula>
    </cfRule>
    <cfRule type="expression" dxfId="6538" priority="13312">
      <formula>AND($I122&lt;&gt;"",L122&gt;$I122)</formula>
    </cfRule>
    <cfRule type="notContainsBlanks" dxfId="6537" priority="13313">
      <formula>LEN(TRIM(L122))&gt;0</formula>
    </cfRule>
  </conditionalFormatting>
  <conditionalFormatting sqref="L123:M123">
    <cfRule type="expression" dxfId="6536" priority="13308">
      <formula>AND($J123&lt;&gt;"",L123&lt;$J123)</formula>
    </cfRule>
    <cfRule type="expression" dxfId="6535" priority="13309">
      <formula>AND($I123&lt;&gt;"",L123&gt;$I123)</formula>
    </cfRule>
    <cfRule type="notContainsBlanks" dxfId="6534" priority="13310">
      <formula>LEN(TRIM(L123))&gt;0</formula>
    </cfRule>
  </conditionalFormatting>
  <conditionalFormatting sqref="K125:M125">
    <cfRule type="expression" dxfId="6533" priority="13302">
      <formula>AND($J125&lt;&gt;"",K125&lt;$J125)</formula>
    </cfRule>
    <cfRule type="expression" dxfId="6532" priority="13303">
      <formula>AND($I125&lt;&gt;"",K125&gt;$I125)</formula>
    </cfRule>
    <cfRule type="notContainsBlanks" dxfId="6531" priority="13304">
      <formula>LEN(TRIM(K125))&gt;0</formula>
    </cfRule>
  </conditionalFormatting>
  <conditionalFormatting sqref="K125:M125">
    <cfRule type="expression" dxfId="6530" priority="13299">
      <formula>AND($J125&lt;&gt;"",K125&lt;$J125)</formula>
    </cfRule>
    <cfRule type="expression" dxfId="6529" priority="13300">
      <formula>AND($I125&lt;&gt;"",K125&gt;$I125)</formula>
    </cfRule>
    <cfRule type="notContainsBlanks" dxfId="6528" priority="13301">
      <formula>LEN(TRIM(K125))&gt;0</formula>
    </cfRule>
  </conditionalFormatting>
  <conditionalFormatting sqref="K127:M127">
    <cfRule type="expression" dxfId="6527" priority="13296">
      <formula>AND($J127&lt;&gt;"",K127&lt;$J127)</formula>
    </cfRule>
    <cfRule type="expression" dxfId="6526" priority="13297">
      <formula>AND($I127&lt;&gt;"",K127&gt;$I127)</formula>
    </cfRule>
    <cfRule type="notContainsBlanks" dxfId="6525" priority="13298">
      <formula>LEN(TRIM(K127))&gt;0</formula>
    </cfRule>
  </conditionalFormatting>
  <conditionalFormatting sqref="K160:M160">
    <cfRule type="expression" dxfId="6524" priority="13290">
      <formula>AND($J160&lt;&gt;"",K160&lt;$J160)</formula>
    </cfRule>
    <cfRule type="expression" dxfId="6523" priority="13291">
      <formula>AND($I160&lt;&gt;"",K160&gt;$I160)</formula>
    </cfRule>
    <cfRule type="notContainsBlanks" dxfId="6522" priority="13292">
      <formula>LEN(TRIM(K160))&gt;0</formula>
    </cfRule>
  </conditionalFormatting>
  <conditionalFormatting sqref="M114">
    <cfRule type="expression" dxfId="6521" priority="13287">
      <formula>AND($J114&lt;&gt;"",M114&lt;$J114)</formula>
    </cfRule>
    <cfRule type="expression" dxfId="6520" priority="13288">
      <formula>AND($I114&lt;&gt;"",M114&gt;$I114)</formula>
    </cfRule>
    <cfRule type="notContainsBlanks" dxfId="6519" priority="13289">
      <formula>LEN(TRIM(M114))&gt;0</formula>
    </cfRule>
  </conditionalFormatting>
  <conditionalFormatting sqref="M111">
    <cfRule type="expression" dxfId="6518" priority="13284">
      <formula>AND($J111&lt;&gt;"",M111&lt;$J111)</formula>
    </cfRule>
    <cfRule type="expression" dxfId="6517" priority="13285">
      <formula>AND($I111&lt;&gt;"",M111&gt;$I111)</formula>
    </cfRule>
    <cfRule type="notContainsBlanks" dxfId="6516" priority="13286">
      <formula>LEN(TRIM(M111))&gt;0</formula>
    </cfRule>
  </conditionalFormatting>
  <conditionalFormatting sqref="M112">
    <cfRule type="expression" dxfId="6515" priority="13281">
      <formula>AND($J112&lt;&gt;"",M112&lt;$J112)</formula>
    </cfRule>
    <cfRule type="expression" dxfId="6514" priority="13282">
      <formula>AND($I112&lt;&gt;"",M112&gt;$I112)</formula>
    </cfRule>
    <cfRule type="notContainsBlanks" dxfId="6513" priority="13283">
      <formula>LEN(TRIM(M112))&gt;0</formula>
    </cfRule>
  </conditionalFormatting>
  <conditionalFormatting sqref="M111">
    <cfRule type="expression" dxfId="6512" priority="13278">
      <formula>AND($J111&lt;&gt;"",M111&lt;$J111)</formula>
    </cfRule>
    <cfRule type="expression" dxfId="6511" priority="13279">
      <formula>AND($I111&lt;&gt;"",M111&gt;$I111)</formula>
    </cfRule>
    <cfRule type="notContainsBlanks" dxfId="6510" priority="13280">
      <formula>LEN(TRIM(M111))&gt;0</formula>
    </cfRule>
  </conditionalFormatting>
  <conditionalFormatting sqref="M111">
    <cfRule type="expression" dxfId="6509" priority="13275">
      <formula>AND($J111&lt;&gt;"",M111&lt;$J111)</formula>
    </cfRule>
    <cfRule type="expression" dxfId="6508" priority="13276">
      <formula>AND($I111&lt;&gt;"",M111&gt;$I111)</formula>
    </cfRule>
    <cfRule type="notContainsBlanks" dxfId="6507" priority="13277">
      <formula>LEN(TRIM(M111))&gt;0</formula>
    </cfRule>
  </conditionalFormatting>
  <conditionalFormatting sqref="M115">
    <cfRule type="expression" dxfId="6506" priority="13272">
      <formula>AND($J115&lt;&gt;"",M115&lt;$J115)</formula>
    </cfRule>
    <cfRule type="expression" dxfId="6505" priority="13273">
      <formula>AND($I115&lt;&gt;"",M115&gt;$I115)</formula>
    </cfRule>
    <cfRule type="notContainsBlanks" dxfId="6504" priority="13274">
      <formula>LEN(TRIM(M115))&gt;0</formula>
    </cfRule>
  </conditionalFormatting>
  <conditionalFormatting sqref="M114">
    <cfRule type="expression" dxfId="6503" priority="13269">
      <formula>AND($J114&lt;&gt;"",M114&lt;$J114)</formula>
    </cfRule>
    <cfRule type="expression" dxfId="6502" priority="13270">
      <formula>AND($I114&lt;&gt;"",M114&gt;$I114)</formula>
    </cfRule>
    <cfRule type="notContainsBlanks" dxfId="6501" priority="13271">
      <formula>LEN(TRIM(M114))&gt;0</formula>
    </cfRule>
  </conditionalFormatting>
  <conditionalFormatting sqref="E129:E146">
    <cfRule type="expression" dxfId="6500" priority="13266">
      <formula>AND($D129&lt;&gt;"Tolerance",$E129&lt;&gt;"")</formula>
    </cfRule>
    <cfRule type="expression" dxfId="6499" priority="13267">
      <formula>AND(OR($D129="GD&amp;T",$D129="MAX",$D129="MIN"),$E129="")</formula>
    </cfRule>
    <cfRule type="containsBlanks" dxfId="6498" priority="13268">
      <formula>LEN(TRIM(E129))=0</formula>
    </cfRule>
  </conditionalFormatting>
  <conditionalFormatting sqref="E139:E145">
    <cfRule type="expression" dxfId="6497" priority="13263">
      <formula>AND($D139&lt;&gt;"Tolerance",$E139&lt;&gt;"")</formula>
    </cfRule>
    <cfRule type="expression" dxfId="6496" priority="13264">
      <formula>AND(OR($D139="GD&amp;T",$D139="MAX",$D139="MIN"),$E139="")</formula>
    </cfRule>
    <cfRule type="containsBlanks" dxfId="6495" priority="13265">
      <formula>LEN(TRIM(E139))=0</formula>
    </cfRule>
  </conditionalFormatting>
  <conditionalFormatting sqref="K139:K148">
    <cfRule type="expression" dxfId="6494" priority="13259">
      <formula>AND($J139&lt;&gt;"",K139&lt;$J139)</formula>
    </cfRule>
    <cfRule type="expression" dxfId="6493" priority="13260">
      <formula>AND($I139&lt;&gt;"",K139&gt;$I139)</formula>
    </cfRule>
    <cfRule type="notContainsBlanks" dxfId="6492" priority="13261">
      <formula>LEN(TRIM(K139))&gt;0</formula>
    </cfRule>
  </conditionalFormatting>
  <conditionalFormatting sqref="K139:K148">
    <cfRule type="expression" dxfId="6491" priority="13255">
      <formula>AND($J139&lt;&gt;"",K139&lt;$J139)</formula>
    </cfRule>
    <cfRule type="expression" dxfId="6490" priority="13256">
      <formula>AND($I139&lt;&gt;"",K139&gt;$I139)</formula>
    </cfRule>
    <cfRule type="notContainsBlanks" dxfId="6489" priority="13257">
      <formula>LEN(TRIM(K139))&gt;0</formula>
    </cfRule>
  </conditionalFormatting>
  <conditionalFormatting sqref="K139:K146">
    <cfRule type="expression" dxfId="6488" priority="13252">
      <formula>AND($J139&lt;&gt;"",K139&lt;$J139)</formula>
    </cfRule>
    <cfRule type="expression" dxfId="6487" priority="13253">
      <formula>AND($I139&lt;&gt;"",K139&gt;$I139)</formula>
    </cfRule>
    <cfRule type="notContainsBlanks" dxfId="6486" priority="13254">
      <formula>LEN(TRIM(K139))&gt;0</formula>
    </cfRule>
  </conditionalFormatting>
  <conditionalFormatting sqref="K139:K146">
    <cfRule type="expression" dxfId="6485" priority="13249">
      <formula>AND($J139&lt;&gt;"",K139&lt;$J139)</formula>
    </cfRule>
    <cfRule type="expression" dxfId="6484" priority="13250">
      <formula>AND($I139&lt;&gt;"",K139&gt;$I139)</formula>
    </cfRule>
    <cfRule type="notContainsBlanks" dxfId="6483" priority="13251">
      <formula>LEN(TRIM(K139))&gt;0</formula>
    </cfRule>
  </conditionalFormatting>
  <conditionalFormatting sqref="K139:K146">
    <cfRule type="expression" dxfId="6482" priority="13246">
      <formula>AND($J139&lt;&gt;"",K139&lt;$J139)</formula>
    </cfRule>
    <cfRule type="expression" dxfId="6481" priority="13247">
      <formula>AND($I139&lt;&gt;"",K139&gt;$I139)</formula>
    </cfRule>
    <cfRule type="notContainsBlanks" dxfId="6480" priority="13248">
      <formula>LEN(TRIM(K139))&gt;0</formula>
    </cfRule>
  </conditionalFormatting>
  <conditionalFormatting sqref="E126:E129">
    <cfRule type="expression" dxfId="6479" priority="13243">
      <formula>AND($D126&lt;&gt;"Tolerance",$E126&lt;&gt;"")</formula>
    </cfRule>
    <cfRule type="expression" dxfId="6478" priority="13244">
      <formula>AND(OR($D126="GD&amp;T",$D126="MAX",$D126="MIN"),$E126="")</formula>
    </cfRule>
    <cfRule type="containsBlanks" dxfId="6477" priority="13245">
      <formula>LEN(TRIM(E126))=0</formula>
    </cfRule>
  </conditionalFormatting>
  <conditionalFormatting sqref="E147:E166">
    <cfRule type="expression" dxfId="6476" priority="13240">
      <formula>AND($D147&lt;&gt;"Tolerance",$E147&lt;&gt;"")</formula>
    </cfRule>
    <cfRule type="expression" dxfId="6475" priority="13241">
      <formula>AND(OR($D147="GD&amp;T",$D147="MAX",$D147="MIN"),$E147="")</formula>
    </cfRule>
    <cfRule type="containsBlanks" dxfId="6474" priority="13242">
      <formula>LEN(TRIM(E147))=0</formula>
    </cfRule>
  </conditionalFormatting>
  <conditionalFormatting sqref="E147:E166">
    <cfRule type="expression" dxfId="6473" priority="13237">
      <formula>AND($D147&lt;&gt;"Tolerance",$E147&lt;&gt;"")</formula>
    </cfRule>
    <cfRule type="expression" dxfId="6472" priority="13238">
      <formula>AND(OR($D147="GD&amp;T",$D147="MAX",$D147="MIN"),$E147="")</formula>
    </cfRule>
    <cfRule type="containsBlanks" dxfId="6471" priority="13239">
      <formula>LEN(TRIM(E147))=0</formula>
    </cfRule>
  </conditionalFormatting>
  <conditionalFormatting sqref="E170">
    <cfRule type="expression" dxfId="6470" priority="13228">
      <formula>AND($D170&lt;&gt;"Tolerance",$E170&lt;&gt;"")</formula>
    </cfRule>
    <cfRule type="expression" dxfId="6469" priority="13229">
      <formula>AND(OR($D170="GD&amp;T",$D170="MAX",$D170="MIN"),$E170="")</formula>
    </cfRule>
    <cfRule type="containsBlanks" dxfId="6468" priority="13230">
      <formula>LEN(TRIM(E170))=0</formula>
    </cfRule>
  </conditionalFormatting>
  <conditionalFormatting sqref="K170:M170">
    <cfRule type="expression" dxfId="6467" priority="13225">
      <formula>AND($J170&lt;&gt;"",K170&lt;$J170)</formula>
    </cfRule>
    <cfRule type="expression" dxfId="6466" priority="13226">
      <formula>AND($I170&lt;&gt;"",K170&gt;$I170)</formula>
    </cfRule>
    <cfRule type="notContainsBlanks" dxfId="6465" priority="13227">
      <formula>LEN(TRIM(K170))&gt;0</formula>
    </cfRule>
  </conditionalFormatting>
  <conditionalFormatting sqref="F12">
    <cfRule type="expression" dxfId="6464" priority="8631">
      <formula>AND($D12="MIN",$F12&lt;&gt;"")</formula>
    </cfRule>
    <cfRule type="expression" dxfId="6463" priority="8632">
      <formula>AND($D12="MIN",$F12="")</formula>
    </cfRule>
    <cfRule type="containsBlanks" dxfId="6462" priority="8633">
      <formula>LEN(TRIM(F12))=0</formula>
    </cfRule>
  </conditionalFormatting>
  <conditionalFormatting sqref="F12">
    <cfRule type="expression" dxfId="6461" priority="8628">
      <formula>AND($D12="MIN",$F12&lt;&gt;"")</formula>
    </cfRule>
    <cfRule type="expression" dxfId="6460" priority="8629">
      <formula>AND($D12="MIN",$F12="")</formula>
    </cfRule>
    <cfRule type="containsBlanks" dxfId="6459" priority="8630">
      <formula>LEN(TRIM(F12))=0</formula>
    </cfRule>
  </conditionalFormatting>
  <conditionalFormatting sqref="F12">
    <cfRule type="expression" dxfId="6458" priority="8625">
      <formula>AND($D12="MIN",$F12&lt;&gt;"")</formula>
    </cfRule>
    <cfRule type="expression" dxfId="6457" priority="8626">
      <formula>AND($D12="MIN",$F12="")</formula>
    </cfRule>
    <cfRule type="containsBlanks" dxfId="6456" priority="8627">
      <formula>LEN(TRIM(F12))=0</formula>
    </cfRule>
  </conditionalFormatting>
  <conditionalFormatting sqref="F12">
    <cfRule type="expression" dxfId="6455" priority="8622">
      <formula>AND($D12="MIN",$F12&lt;&gt;"")</formula>
    </cfRule>
    <cfRule type="expression" dxfId="6454" priority="8623">
      <formula>AND($D12="MIN",$F12="")</formula>
    </cfRule>
    <cfRule type="containsBlanks" dxfId="6453" priority="8624">
      <formula>LEN(TRIM(F12))=0</formula>
    </cfRule>
  </conditionalFormatting>
  <conditionalFormatting sqref="F12">
    <cfRule type="expression" dxfId="6452" priority="8619">
      <formula>AND($D12="MIN",$F12&lt;&gt;"")</formula>
    </cfRule>
    <cfRule type="expression" dxfId="6451" priority="8620">
      <formula>AND($D12="MIN",$F12="")</formula>
    </cfRule>
    <cfRule type="containsBlanks" dxfId="6450" priority="8621">
      <formula>LEN(TRIM(F12))=0</formula>
    </cfRule>
  </conditionalFormatting>
  <conditionalFormatting sqref="F13">
    <cfRule type="expression" dxfId="6449" priority="8616">
      <formula>AND($D13="MIN",$F13&lt;&gt;"")</formula>
    </cfRule>
    <cfRule type="expression" dxfId="6448" priority="8617">
      <formula>AND($D13="MIN",$F13="")</formula>
    </cfRule>
    <cfRule type="containsBlanks" dxfId="6447" priority="8618">
      <formula>LEN(TRIM(F13))=0</formula>
    </cfRule>
  </conditionalFormatting>
  <conditionalFormatting sqref="G13:G14">
    <cfRule type="expression" dxfId="6446" priority="8613">
      <formula>AND(OR($D13="GD&amp;T",$D13="MAX"),$G13&lt;&gt;"")</formula>
    </cfRule>
    <cfRule type="expression" dxfId="6445" priority="8614">
      <formula>AND(OR($D13="GD&amp;T",$D13="MAX"),$G13="")</formula>
    </cfRule>
    <cfRule type="containsBlanks" dxfId="6444" priority="8615">
      <formula>LEN(TRIM(G13))=0</formula>
    </cfRule>
  </conditionalFormatting>
  <conditionalFormatting sqref="E13">
    <cfRule type="expression" dxfId="6443" priority="8610">
      <formula>AND($D13&lt;&gt;"Tolerance",$E13&lt;&gt;"")</formula>
    </cfRule>
    <cfRule type="expression" dxfId="6442" priority="8611">
      <formula>AND(OR($D13="GD&amp;T",$D13="MAX",$D13="MIN"),$E13="")</formula>
    </cfRule>
    <cfRule type="containsBlanks" dxfId="6441" priority="8612">
      <formula>LEN(TRIM(E13))=0</formula>
    </cfRule>
  </conditionalFormatting>
  <conditionalFormatting sqref="E13">
    <cfRule type="expression" dxfId="6440" priority="8607">
      <formula>AND($D13&lt;&gt;"Tolerance",$E13&lt;&gt;"")</formula>
    </cfRule>
    <cfRule type="expression" dxfId="6439" priority="8608">
      <formula>AND(OR($D13="GD&amp;T",$D13="MAX",$D13="MIN"),$E13="")</formula>
    </cfRule>
    <cfRule type="containsBlanks" dxfId="6438" priority="8609">
      <formula>LEN(TRIM(E13))=0</formula>
    </cfRule>
  </conditionalFormatting>
  <conditionalFormatting sqref="E13">
    <cfRule type="expression" dxfId="6437" priority="8604">
      <formula>AND($D13="MIN",$F13&lt;&gt;"")</formula>
    </cfRule>
    <cfRule type="expression" dxfId="6436" priority="8605">
      <formula>AND($D13="MIN",$F13="")</formula>
    </cfRule>
    <cfRule type="containsBlanks" dxfId="6435" priority="8606">
      <formula>LEN(TRIM(E13))=0</formula>
    </cfRule>
  </conditionalFormatting>
  <conditionalFormatting sqref="E13">
    <cfRule type="expression" dxfId="6434" priority="8601">
      <formula>AND($D13="MIN",$F13&lt;&gt;"")</formula>
    </cfRule>
    <cfRule type="expression" dxfId="6433" priority="8602">
      <formula>AND($D13="MIN",$F13="")</formula>
    </cfRule>
    <cfRule type="containsBlanks" dxfId="6432" priority="8603">
      <formula>LEN(TRIM(E13))=0</formula>
    </cfRule>
  </conditionalFormatting>
  <conditionalFormatting sqref="F13">
    <cfRule type="expression" dxfId="6431" priority="8598">
      <formula>AND($D13="MIN",$F13&lt;&gt;"")</formula>
    </cfRule>
    <cfRule type="expression" dxfId="6430" priority="8599">
      <formula>AND($D13="MIN",$F13="")</formula>
    </cfRule>
    <cfRule type="containsBlanks" dxfId="6429" priority="8600">
      <formula>LEN(TRIM(F13))=0</formula>
    </cfRule>
  </conditionalFormatting>
  <conditionalFormatting sqref="G13:G14">
    <cfRule type="expression" dxfId="6428" priority="8595">
      <formula>AND(OR($D13="GD&amp;T",$D13="MAX"),$G13&lt;&gt;"")</formula>
    </cfRule>
    <cfRule type="expression" dxfId="6427" priority="8596">
      <formula>AND(OR($D13="GD&amp;T",$D13="MAX"),$G13="")</formula>
    </cfRule>
    <cfRule type="containsBlanks" dxfId="6426" priority="8597">
      <formula>LEN(TRIM(G13))=0</formula>
    </cfRule>
  </conditionalFormatting>
  <conditionalFormatting sqref="F13">
    <cfRule type="expression" dxfId="6425" priority="8592">
      <formula>AND($D13="MIN",$F13&lt;&gt;"")</formula>
    </cfRule>
    <cfRule type="expression" dxfId="6424" priority="8593">
      <formula>AND($D13="MIN",$F13="")</formula>
    </cfRule>
    <cfRule type="containsBlanks" dxfId="6423" priority="8594">
      <formula>LEN(TRIM(F13))=0</formula>
    </cfRule>
  </conditionalFormatting>
  <conditionalFormatting sqref="G13:G14">
    <cfRule type="expression" dxfId="6422" priority="8589">
      <formula>AND(OR($D13="GD&amp;T",$D13="MAX"),$G13&lt;&gt;"")</formula>
    </cfRule>
    <cfRule type="expression" dxfId="6421" priority="8590">
      <formula>AND(OR($D13="GD&amp;T",$D13="MAX"),$G13="")</formula>
    </cfRule>
    <cfRule type="containsBlanks" dxfId="6420" priority="8591">
      <formula>LEN(TRIM(G13))=0</formula>
    </cfRule>
  </conditionalFormatting>
  <conditionalFormatting sqref="E13">
    <cfRule type="expression" dxfId="6419" priority="8586">
      <formula>AND($D13&lt;&gt;"Tolerance",$E13&lt;&gt;"")</formula>
    </cfRule>
    <cfRule type="expression" dxfId="6418" priority="8587">
      <formula>AND(OR($D13="GD&amp;T",$D13="MAX",$D13="MIN"),$E13="")</formula>
    </cfRule>
    <cfRule type="containsBlanks" dxfId="6417" priority="8588">
      <formula>LEN(TRIM(E13))=0</formula>
    </cfRule>
  </conditionalFormatting>
  <conditionalFormatting sqref="E13">
    <cfRule type="expression" dxfId="6416" priority="8583">
      <formula>AND($D13&lt;&gt;"Tolerance",$E13&lt;&gt;"")</formula>
    </cfRule>
    <cfRule type="expression" dxfId="6415" priority="8584">
      <formula>AND(OR($D13="GD&amp;T",$D13="MAX",$D13="MIN"),$E13="")</formula>
    </cfRule>
    <cfRule type="containsBlanks" dxfId="6414" priority="8585">
      <formula>LEN(TRIM(E13))=0</formula>
    </cfRule>
  </conditionalFormatting>
  <conditionalFormatting sqref="E13">
    <cfRule type="expression" dxfId="6413" priority="8580">
      <formula>AND($D13="MIN",$F13&lt;&gt;"")</formula>
    </cfRule>
    <cfRule type="expression" dxfId="6412" priority="8581">
      <formula>AND($D13="MIN",$F13="")</formula>
    </cfRule>
    <cfRule type="containsBlanks" dxfId="6411" priority="8582">
      <formula>LEN(TRIM(E13))=0</formula>
    </cfRule>
  </conditionalFormatting>
  <conditionalFormatting sqref="E13">
    <cfRule type="expression" dxfId="6410" priority="8577">
      <formula>AND($D13="MIN",$F13&lt;&gt;"")</formula>
    </cfRule>
    <cfRule type="expression" dxfId="6409" priority="8578">
      <formula>AND($D13="MIN",$F13="")</formula>
    </cfRule>
    <cfRule type="containsBlanks" dxfId="6408" priority="8579">
      <formula>LEN(TRIM(E13))=0</formula>
    </cfRule>
  </conditionalFormatting>
  <conditionalFormatting sqref="F13">
    <cfRule type="expression" dxfId="6407" priority="8574">
      <formula>AND($D13="MIN",$F13&lt;&gt;"")</formula>
    </cfRule>
    <cfRule type="expression" dxfId="6406" priority="8575">
      <formula>AND($D13="MIN",$F13="")</formula>
    </cfRule>
    <cfRule type="containsBlanks" dxfId="6405" priority="8576">
      <formula>LEN(TRIM(F13))=0</formula>
    </cfRule>
  </conditionalFormatting>
  <conditionalFormatting sqref="G13:G14">
    <cfRule type="expression" dxfId="6404" priority="8571">
      <formula>AND(OR($D13="GD&amp;T",$D13="MAX"),$G13&lt;&gt;"")</formula>
    </cfRule>
    <cfRule type="expression" dxfId="6403" priority="8572">
      <formula>AND(OR($D13="GD&amp;T",$D13="MAX"),$G13="")</formula>
    </cfRule>
    <cfRule type="containsBlanks" dxfId="6402" priority="8573">
      <formula>LEN(TRIM(G13))=0</formula>
    </cfRule>
  </conditionalFormatting>
  <conditionalFormatting sqref="F13">
    <cfRule type="expression" dxfId="6401" priority="8568">
      <formula>AND($D13="MIN",$F13&lt;&gt;"")</formula>
    </cfRule>
    <cfRule type="expression" dxfId="6400" priority="8569">
      <formula>AND($D13="MIN",$F13="")</formula>
    </cfRule>
    <cfRule type="containsBlanks" dxfId="6399" priority="8570">
      <formula>LEN(TRIM(F13))=0</formula>
    </cfRule>
  </conditionalFormatting>
  <conditionalFormatting sqref="G13:G14">
    <cfRule type="expression" dxfId="6398" priority="8565">
      <formula>AND(OR($D13="GD&amp;T",$D13="MAX"),$G13&lt;&gt;"")</formula>
    </cfRule>
    <cfRule type="expression" dxfId="6397" priority="8566">
      <formula>AND(OR($D13="GD&amp;T",$D13="MAX"),$G13="")</formula>
    </cfRule>
    <cfRule type="containsBlanks" dxfId="6396" priority="8567">
      <formula>LEN(TRIM(G13))=0</formula>
    </cfRule>
  </conditionalFormatting>
  <conditionalFormatting sqref="E13">
    <cfRule type="expression" dxfId="6395" priority="8562">
      <formula>AND($D13&lt;&gt;"Tolerance",$E13&lt;&gt;"")</formula>
    </cfRule>
    <cfRule type="expression" dxfId="6394" priority="8563">
      <formula>AND(OR($D13="GD&amp;T",$D13="MAX",$D13="MIN"),$E13="")</formula>
    </cfRule>
    <cfRule type="containsBlanks" dxfId="6393" priority="8564">
      <formula>LEN(TRIM(E13))=0</formula>
    </cfRule>
  </conditionalFormatting>
  <conditionalFormatting sqref="E13">
    <cfRule type="expression" dxfId="6392" priority="8559">
      <formula>AND($D13&lt;&gt;"Tolerance",$E13&lt;&gt;"")</formula>
    </cfRule>
    <cfRule type="expression" dxfId="6391" priority="8560">
      <formula>AND(OR($D13="GD&amp;T",$D13="MAX",$D13="MIN"),$E13="")</formula>
    </cfRule>
    <cfRule type="containsBlanks" dxfId="6390" priority="8561">
      <formula>LEN(TRIM(E13))=0</formula>
    </cfRule>
  </conditionalFormatting>
  <conditionalFormatting sqref="E13">
    <cfRule type="expression" dxfId="6389" priority="8556">
      <formula>AND($D13="MIN",$F13&lt;&gt;"")</formula>
    </cfRule>
    <cfRule type="expression" dxfId="6388" priority="8557">
      <formula>AND($D13="MIN",$F13="")</formula>
    </cfRule>
    <cfRule type="containsBlanks" dxfId="6387" priority="8558">
      <formula>LEN(TRIM(E13))=0</formula>
    </cfRule>
  </conditionalFormatting>
  <conditionalFormatting sqref="E13">
    <cfRule type="expression" dxfId="6386" priority="8553">
      <formula>AND($D13="MIN",$F13&lt;&gt;"")</formula>
    </cfRule>
    <cfRule type="expression" dxfId="6385" priority="8554">
      <formula>AND($D13="MIN",$F13="")</formula>
    </cfRule>
    <cfRule type="containsBlanks" dxfId="6384" priority="8555">
      <formula>LEN(TRIM(E13))=0</formula>
    </cfRule>
  </conditionalFormatting>
  <conditionalFormatting sqref="F14">
    <cfRule type="expression" dxfId="6383" priority="8550">
      <formula>AND($D14="MIN",$F14&lt;&gt;"")</formula>
    </cfRule>
    <cfRule type="expression" dxfId="6382" priority="8551">
      <formula>AND($D14="MIN",$F14="")</formula>
    </cfRule>
    <cfRule type="containsBlanks" dxfId="6381" priority="8552">
      <formula>LEN(TRIM(F14))=0</formula>
    </cfRule>
  </conditionalFormatting>
  <conditionalFormatting sqref="F14">
    <cfRule type="expression" dxfId="6380" priority="8547">
      <formula>AND($D14="MIN",$F14&lt;&gt;"")</formula>
    </cfRule>
    <cfRule type="expression" dxfId="6379" priority="8548">
      <formula>AND($D14="MIN",$F14="")</formula>
    </cfRule>
    <cfRule type="containsBlanks" dxfId="6378" priority="8549">
      <formula>LEN(TRIM(F14))=0</formula>
    </cfRule>
  </conditionalFormatting>
  <conditionalFormatting sqref="F14">
    <cfRule type="expression" dxfId="6377" priority="8544">
      <formula>AND($D14="MIN",$F14&lt;&gt;"")</formula>
    </cfRule>
    <cfRule type="expression" dxfId="6376" priority="8545">
      <formula>AND($D14="MIN",$F14="")</formula>
    </cfRule>
    <cfRule type="containsBlanks" dxfId="6375" priority="8546">
      <formula>LEN(TRIM(F14))=0</formula>
    </cfRule>
  </conditionalFormatting>
  <conditionalFormatting sqref="F14">
    <cfRule type="expression" dxfId="6374" priority="8541">
      <formula>AND($D14="MIN",$F14&lt;&gt;"")</formula>
    </cfRule>
    <cfRule type="expression" dxfId="6373" priority="8542">
      <formula>AND($D14="MIN",$F14="")</formula>
    </cfRule>
    <cfRule type="containsBlanks" dxfId="6372" priority="8543">
      <formula>LEN(TRIM(F14))=0</formula>
    </cfRule>
  </conditionalFormatting>
  <conditionalFormatting sqref="F14">
    <cfRule type="expression" dxfId="6371" priority="8538">
      <formula>AND($D14="MIN",$F14&lt;&gt;"")</formula>
    </cfRule>
    <cfRule type="expression" dxfId="6370" priority="8539">
      <formula>AND($D14="MIN",$F14="")</formula>
    </cfRule>
    <cfRule type="containsBlanks" dxfId="6369" priority="8540">
      <formula>LEN(TRIM(F14))=0</formula>
    </cfRule>
  </conditionalFormatting>
  <conditionalFormatting sqref="F16">
    <cfRule type="expression" dxfId="6368" priority="8535">
      <formula>AND($D16="MIN",$F16&lt;&gt;"")</formula>
    </cfRule>
    <cfRule type="expression" dxfId="6367" priority="8536">
      <formula>AND($D16="MIN",$F16="")</formula>
    </cfRule>
    <cfRule type="containsBlanks" dxfId="6366" priority="8537">
      <formula>LEN(TRIM(F16))=0</formula>
    </cfRule>
  </conditionalFormatting>
  <conditionalFormatting sqref="G16">
    <cfRule type="expression" dxfId="6365" priority="8532">
      <formula>AND(OR($D16="GD&amp;T",$D16="MAX"),$G16&lt;&gt;"")</formula>
    </cfRule>
    <cfRule type="expression" dxfId="6364" priority="8533">
      <formula>AND(OR($D16="GD&amp;T",$D16="MAX"),$G16="")</formula>
    </cfRule>
    <cfRule type="containsBlanks" dxfId="6363" priority="8534">
      <formula>LEN(TRIM(G16))=0</formula>
    </cfRule>
  </conditionalFormatting>
  <conditionalFormatting sqref="F16">
    <cfRule type="expression" dxfId="6362" priority="8529">
      <formula>AND($D16="MIN",$F16&lt;&gt;"")</formula>
    </cfRule>
    <cfRule type="expression" dxfId="6361" priority="8530">
      <formula>AND($D16="MIN",$F16="")</formula>
    </cfRule>
    <cfRule type="containsBlanks" dxfId="6360" priority="8531">
      <formula>LEN(TRIM(F16))=0</formula>
    </cfRule>
  </conditionalFormatting>
  <conditionalFormatting sqref="G16">
    <cfRule type="expression" dxfId="6359" priority="8526">
      <formula>AND(OR($D16="GD&amp;T",$D16="MAX"),$G16&lt;&gt;"")</formula>
    </cfRule>
    <cfRule type="expression" dxfId="6358" priority="8527">
      <formula>AND(OR($D16="GD&amp;T",$D16="MAX"),$G16="")</formula>
    </cfRule>
    <cfRule type="containsBlanks" dxfId="6357" priority="8528">
      <formula>LEN(TRIM(G16))=0</formula>
    </cfRule>
  </conditionalFormatting>
  <conditionalFormatting sqref="F15">
    <cfRule type="expression" dxfId="6356" priority="8523">
      <formula>AND($D15="MIN",$F15&lt;&gt;"")</formula>
    </cfRule>
    <cfRule type="expression" dxfId="6355" priority="8524">
      <formula>AND($D15="MIN",$F15="")</formula>
    </cfRule>
    <cfRule type="containsBlanks" dxfId="6354" priority="8525">
      <formula>LEN(TRIM(F15))=0</formula>
    </cfRule>
  </conditionalFormatting>
  <conditionalFormatting sqref="G15">
    <cfRule type="expression" dxfId="6353" priority="8520">
      <formula>AND(OR($D15="GD&amp;T",$D15="MAX"),$G15&lt;&gt;"")</formula>
    </cfRule>
    <cfRule type="expression" dxfId="6352" priority="8521">
      <formula>AND(OR($D15="GD&amp;T",$D15="MAX"),$G15="")</formula>
    </cfRule>
    <cfRule type="containsBlanks" dxfId="6351" priority="8522">
      <formula>LEN(TRIM(G15))=0</formula>
    </cfRule>
  </conditionalFormatting>
  <conditionalFormatting sqref="F15">
    <cfRule type="expression" dxfId="6350" priority="8517">
      <formula>AND($D15="MIN",$F15&lt;&gt;"")</formula>
    </cfRule>
    <cfRule type="expression" dxfId="6349" priority="8518">
      <formula>AND($D15="MIN",$F15="")</formula>
    </cfRule>
    <cfRule type="containsBlanks" dxfId="6348" priority="8519">
      <formula>LEN(TRIM(F15))=0</formula>
    </cfRule>
  </conditionalFormatting>
  <conditionalFormatting sqref="G15">
    <cfRule type="expression" dxfId="6347" priority="8514">
      <formula>AND(OR($D15="GD&amp;T",$D15="MAX"),$G15&lt;&gt;"")</formula>
    </cfRule>
    <cfRule type="expression" dxfId="6346" priority="8515">
      <formula>AND(OR($D15="GD&amp;T",$D15="MAX"),$G15="")</formula>
    </cfRule>
    <cfRule type="containsBlanks" dxfId="6345" priority="8516">
      <formula>LEN(TRIM(G15))=0</formula>
    </cfRule>
  </conditionalFormatting>
  <conditionalFormatting sqref="F16">
    <cfRule type="expression" dxfId="6344" priority="8511">
      <formula>AND($D16="MIN",$F16&lt;&gt;"")</formula>
    </cfRule>
    <cfRule type="expression" dxfId="6343" priority="8512">
      <formula>AND($D16="MIN",$F16="")</formula>
    </cfRule>
    <cfRule type="containsBlanks" dxfId="6342" priority="8513">
      <formula>LEN(TRIM(F16))=0</formula>
    </cfRule>
  </conditionalFormatting>
  <conditionalFormatting sqref="G16">
    <cfRule type="expression" dxfId="6341" priority="8508">
      <formula>AND(OR($D16="GD&amp;T",$D16="MAX"),$G16&lt;&gt;"")</formula>
    </cfRule>
    <cfRule type="expression" dxfId="6340" priority="8509">
      <formula>AND(OR($D16="GD&amp;T",$D16="MAX"),$G16="")</formula>
    </cfRule>
    <cfRule type="containsBlanks" dxfId="6339" priority="8510">
      <formula>LEN(TRIM(G16))=0</formula>
    </cfRule>
  </conditionalFormatting>
  <conditionalFormatting sqref="F16">
    <cfRule type="expression" dxfId="6338" priority="8505">
      <formula>AND($D16="MIN",$F16&lt;&gt;"")</formula>
    </cfRule>
    <cfRule type="expression" dxfId="6337" priority="8506">
      <formula>AND($D16="MIN",$F16="")</formula>
    </cfRule>
    <cfRule type="containsBlanks" dxfId="6336" priority="8507">
      <formula>LEN(TRIM(F16))=0</formula>
    </cfRule>
  </conditionalFormatting>
  <conditionalFormatting sqref="G16">
    <cfRule type="expression" dxfId="6335" priority="8502">
      <formula>AND(OR($D16="GD&amp;T",$D16="MAX"),$G16&lt;&gt;"")</formula>
    </cfRule>
    <cfRule type="expression" dxfId="6334" priority="8503">
      <formula>AND(OR($D16="GD&amp;T",$D16="MAX"),$G16="")</formula>
    </cfRule>
    <cfRule type="containsBlanks" dxfId="6333" priority="8504">
      <formula>LEN(TRIM(G16))=0</formula>
    </cfRule>
  </conditionalFormatting>
  <conditionalFormatting sqref="F15">
    <cfRule type="expression" dxfId="6332" priority="8499">
      <formula>AND($D15="MIN",$F15&lt;&gt;"")</formula>
    </cfRule>
    <cfRule type="expression" dxfId="6331" priority="8500">
      <formula>AND($D15="MIN",$F15="")</formula>
    </cfRule>
    <cfRule type="containsBlanks" dxfId="6330" priority="8501">
      <formula>LEN(TRIM(F15))=0</formula>
    </cfRule>
  </conditionalFormatting>
  <conditionalFormatting sqref="G15">
    <cfRule type="expression" dxfId="6329" priority="8496">
      <formula>AND(OR($D15="GD&amp;T",$D15="MAX"),$G15&lt;&gt;"")</formula>
    </cfRule>
    <cfRule type="expression" dxfId="6328" priority="8497">
      <formula>AND(OR($D15="GD&amp;T",$D15="MAX"),$G15="")</formula>
    </cfRule>
    <cfRule type="containsBlanks" dxfId="6327" priority="8498">
      <formula>LEN(TRIM(G15))=0</formula>
    </cfRule>
  </conditionalFormatting>
  <conditionalFormatting sqref="F15">
    <cfRule type="expression" dxfId="6326" priority="8493">
      <formula>AND($D15="MIN",$F15&lt;&gt;"")</formula>
    </cfRule>
    <cfRule type="expression" dxfId="6325" priority="8494">
      <formula>AND($D15="MIN",$F15="")</formula>
    </cfRule>
    <cfRule type="containsBlanks" dxfId="6324" priority="8495">
      <formula>LEN(TRIM(F15))=0</formula>
    </cfRule>
  </conditionalFormatting>
  <conditionalFormatting sqref="G15">
    <cfRule type="expression" dxfId="6323" priority="8490">
      <formula>AND(OR($D15="GD&amp;T",$D15="MAX"),$G15&lt;&gt;"")</formula>
    </cfRule>
    <cfRule type="expression" dxfId="6322" priority="8491">
      <formula>AND(OR($D15="GD&amp;T",$D15="MAX"),$G15="")</formula>
    </cfRule>
    <cfRule type="containsBlanks" dxfId="6321" priority="8492">
      <formula>LEN(TRIM(G15))=0</formula>
    </cfRule>
  </conditionalFormatting>
  <conditionalFormatting sqref="F15">
    <cfRule type="expression" dxfId="6320" priority="8487">
      <formula>AND($D15="MIN",$F15&lt;&gt;"")</formula>
    </cfRule>
    <cfRule type="expression" dxfId="6319" priority="8488">
      <formula>AND($D15="MIN",$F15="")</formula>
    </cfRule>
    <cfRule type="containsBlanks" dxfId="6318" priority="8489">
      <formula>LEN(TRIM(F15))=0</formula>
    </cfRule>
  </conditionalFormatting>
  <conditionalFormatting sqref="G15:G16">
    <cfRule type="expression" dxfId="6317" priority="8484">
      <formula>AND(OR($D15="GD&amp;T",$D15="MAX"),$G15&lt;&gt;"")</formula>
    </cfRule>
    <cfRule type="expression" dxfId="6316" priority="8485">
      <formula>AND(OR($D15="GD&amp;T",$D15="MAX"),$G15="")</formula>
    </cfRule>
    <cfRule type="containsBlanks" dxfId="6315" priority="8486">
      <formula>LEN(TRIM(G15))=0</formula>
    </cfRule>
  </conditionalFormatting>
  <conditionalFormatting sqref="F15">
    <cfRule type="expression" dxfId="6314" priority="8481">
      <formula>AND($D15="MIN",$F15&lt;&gt;"")</formula>
    </cfRule>
    <cfRule type="expression" dxfId="6313" priority="8482">
      <formula>AND($D15="MIN",$F15="")</formula>
    </cfRule>
    <cfRule type="containsBlanks" dxfId="6312" priority="8483">
      <formula>LEN(TRIM(F15))=0</formula>
    </cfRule>
  </conditionalFormatting>
  <conditionalFormatting sqref="G15:G16">
    <cfRule type="expression" dxfId="6311" priority="8478">
      <formula>AND(OR($D15="GD&amp;T",$D15="MAX"),$G15&lt;&gt;"")</formula>
    </cfRule>
    <cfRule type="expression" dxfId="6310" priority="8479">
      <formula>AND(OR($D15="GD&amp;T",$D15="MAX"),$G15="")</formula>
    </cfRule>
    <cfRule type="containsBlanks" dxfId="6309" priority="8480">
      <formula>LEN(TRIM(G15))=0</formula>
    </cfRule>
  </conditionalFormatting>
  <conditionalFormatting sqref="F15">
    <cfRule type="expression" dxfId="6308" priority="8475">
      <formula>AND($D15="MIN",$F15&lt;&gt;"")</formula>
    </cfRule>
    <cfRule type="expression" dxfId="6307" priority="8476">
      <formula>AND($D15="MIN",$F15="")</formula>
    </cfRule>
    <cfRule type="containsBlanks" dxfId="6306" priority="8477">
      <formula>LEN(TRIM(F15))=0</formula>
    </cfRule>
  </conditionalFormatting>
  <conditionalFormatting sqref="G15:G16">
    <cfRule type="expression" dxfId="6305" priority="8472">
      <formula>AND(OR($D15="GD&amp;T",$D15="MAX"),$G15&lt;&gt;"")</formula>
    </cfRule>
    <cfRule type="expression" dxfId="6304" priority="8473">
      <formula>AND(OR($D15="GD&amp;T",$D15="MAX"),$G15="")</formula>
    </cfRule>
    <cfRule type="containsBlanks" dxfId="6303" priority="8474">
      <formula>LEN(TRIM(G15))=0</formula>
    </cfRule>
  </conditionalFormatting>
  <conditionalFormatting sqref="F15">
    <cfRule type="expression" dxfId="6302" priority="8469">
      <formula>AND($D15="MIN",$F15&lt;&gt;"")</formula>
    </cfRule>
    <cfRule type="expression" dxfId="6301" priority="8470">
      <formula>AND($D15="MIN",$F15="")</formula>
    </cfRule>
    <cfRule type="containsBlanks" dxfId="6300" priority="8471">
      <formula>LEN(TRIM(F15))=0</formula>
    </cfRule>
  </conditionalFormatting>
  <conditionalFormatting sqref="G15:G16">
    <cfRule type="expression" dxfId="6299" priority="8466">
      <formula>AND(OR($D15="GD&amp;T",$D15="MAX"),$G15&lt;&gt;"")</formula>
    </cfRule>
    <cfRule type="expression" dxfId="6298" priority="8467">
      <formula>AND(OR($D15="GD&amp;T",$D15="MAX"),$G15="")</formula>
    </cfRule>
    <cfRule type="containsBlanks" dxfId="6297" priority="8468">
      <formula>LEN(TRIM(G15))=0</formula>
    </cfRule>
  </conditionalFormatting>
  <conditionalFormatting sqref="F15">
    <cfRule type="expression" dxfId="6296" priority="8463">
      <formula>AND($D15="MIN",$F15&lt;&gt;"")</formula>
    </cfRule>
    <cfRule type="expression" dxfId="6295" priority="8464">
      <formula>AND($D15="MIN",$F15="")</formula>
    </cfRule>
    <cfRule type="containsBlanks" dxfId="6294" priority="8465">
      <formula>LEN(TRIM(F15))=0</formula>
    </cfRule>
  </conditionalFormatting>
  <conditionalFormatting sqref="G15:G16">
    <cfRule type="expression" dxfId="6293" priority="8460">
      <formula>AND(OR($D15="GD&amp;T",$D15="MAX"),$G15&lt;&gt;"")</formula>
    </cfRule>
    <cfRule type="expression" dxfId="6292" priority="8461">
      <formula>AND(OR($D15="GD&amp;T",$D15="MAX"),$G15="")</formula>
    </cfRule>
    <cfRule type="containsBlanks" dxfId="6291" priority="8462">
      <formula>LEN(TRIM(G15))=0</formula>
    </cfRule>
  </conditionalFormatting>
  <conditionalFormatting sqref="F16">
    <cfRule type="expression" dxfId="6290" priority="8457">
      <formula>AND($D16="MIN",$F16&lt;&gt;"")</formula>
    </cfRule>
    <cfRule type="expression" dxfId="6289" priority="8458">
      <formula>AND($D16="MIN",$F16="")</formula>
    </cfRule>
    <cfRule type="containsBlanks" dxfId="6288" priority="8459">
      <formula>LEN(TRIM(F16))=0</formula>
    </cfRule>
  </conditionalFormatting>
  <conditionalFormatting sqref="F16">
    <cfRule type="expression" dxfId="6287" priority="8454">
      <formula>AND($D16="MIN",$F16&lt;&gt;"")</formula>
    </cfRule>
    <cfRule type="expression" dxfId="6286" priority="8455">
      <formula>AND($D16="MIN",$F16="")</formula>
    </cfRule>
    <cfRule type="containsBlanks" dxfId="6285" priority="8456">
      <formula>LEN(TRIM(F16))=0</formula>
    </cfRule>
  </conditionalFormatting>
  <conditionalFormatting sqref="F16">
    <cfRule type="expression" dxfId="6284" priority="8451">
      <formula>AND($D16="MIN",$F16&lt;&gt;"")</formula>
    </cfRule>
    <cfRule type="expression" dxfId="6283" priority="8452">
      <formula>AND($D16="MIN",$F16="")</formula>
    </cfRule>
    <cfRule type="containsBlanks" dxfId="6282" priority="8453">
      <formula>LEN(TRIM(F16))=0</formula>
    </cfRule>
  </conditionalFormatting>
  <conditionalFormatting sqref="F16">
    <cfRule type="expression" dxfId="6281" priority="8448">
      <formula>AND($D16="MIN",$F16&lt;&gt;"")</formula>
    </cfRule>
    <cfRule type="expression" dxfId="6280" priority="8449">
      <formula>AND($D16="MIN",$F16="")</formula>
    </cfRule>
    <cfRule type="containsBlanks" dxfId="6279" priority="8450">
      <formula>LEN(TRIM(F16))=0</formula>
    </cfRule>
  </conditionalFormatting>
  <conditionalFormatting sqref="F16">
    <cfRule type="expression" dxfId="6278" priority="8445">
      <formula>AND($D16="MIN",$F16&lt;&gt;"")</formula>
    </cfRule>
    <cfRule type="expression" dxfId="6277" priority="8446">
      <formula>AND($D16="MIN",$F16="")</formula>
    </cfRule>
    <cfRule type="containsBlanks" dxfId="6276" priority="8447">
      <formula>LEN(TRIM(F16))=0</formula>
    </cfRule>
  </conditionalFormatting>
  <conditionalFormatting sqref="E17:E20">
    <cfRule type="expression" dxfId="6275" priority="8442">
      <formula>AND($D17&lt;&gt;"Tolerance",$E17&lt;&gt;"")</formula>
    </cfRule>
    <cfRule type="expression" dxfId="6274" priority="8443">
      <formula>AND(OR($D17="GD&amp;T",$D17="MAX",$D17="MIN"),$E17="")</formula>
    </cfRule>
    <cfRule type="containsBlanks" dxfId="6273" priority="8444">
      <formula>LEN(TRIM(E17))=0</formula>
    </cfRule>
  </conditionalFormatting>
  <conditionalFormatting sqref="F17">
    <cfRule type="expression" dxfId="6272" priority="8439">
      <formula>AND($D17="MIN",$F17&lt;&gt;"")</formula>
    </cfRule>
    <cfRule type="expression" dxfId="6271" priority="8440">
      <formula>AND($D17="MIN",$F17="")</formula>
    </cfRule>
    <cfRule type="containsBlanks" dxfId="6270" priority="8441">
      <formula>LEN(TRIM(F17))=0</formula>
    </cfRule>
  </conditionalFormatting>
  <conditionalFormatting sqref="G17">
    <cfRule type="expression" dxfId="6269" priority="8436">
      <formula>AND(OR($D17="GD&amp;T",$D17="MAX"),$G17&lt;&gt;"")</formula>
    </cfRule>
    <cfRule type="expression" dxfId="6268" priority="8437">
      <formula>AND(OR($D17="GD&amp;T",$D17="MAX"),$G17="")</formula>
    </cfRule>
    <cfRule type="containsBlanks" dxfId="6267" priority="8438">
      <formula>LEN(TRIM(G17))=0</formula>
    </cfRule>
  </conditionalFormatting>
  <conditionalFormatting sqref="F17">
    <cfRule type="expression" dxfId="6266" priority="8433">
      <formula>AND($D17="MIN",$F17&lt;&gt;"")</formula>
    </cfRule>
    <cfRule type="expression" dxfId="6265" priority="8434">
      <formula>AND($D17="MIN",$F17="")</formula>
    </cfRule>
    <cfRule type="containsBlanks" dxfId="6264" priority="8435">
      <formula>LEN(TRIM(F17))=0</formula>
    </cfRule>
  </conditionalFormatting>
  <conditionalFormatting sqref="G17">
    <cfRule type="expression" dxfId="6263" priority="8430">
      <formula>AND(OR($D17="GD&amp;T",$D17="MAX"),$G17&lt;&gt;"")</formula>
    </cfRule>
    <cfRule type="expression" dxfId="6262" priority="8431">
      <formula>AND(OR($D17="GD&amp;T",$D17="MAX"),$G17="")</formula>
    </cfRule>
    <cfRule type="containsBlanks" dxfId="6261" priority="8432">
      <formula>LEN(TRIM(G17))=0</formula>
    </cfRule>
  </conditionalFormatting>
  <conditionalFormatting sqref="E17:E20">
    <cfRule type="expression" dxfId="6260" priority="8427">
      <formula>AND($D17&lt;&gt;"Tolerance",$E17&lt;&gt;"")</formula>
    </cfRule>
    <cfRule type="expression" dxfId="6259" priority="8428">
      <formula>AND(OR($D17="GD&amp;T",$D17="MAX",$D17="MIN"),$E17="")</formula>
    </cfRule>
    <cfRule type="containsBlanks" dxfId="6258" priority="8429">
      <formula>LEN(TRIM(E17))=0</formula>
    </cfRule>
  </conditionalFormatting>
  <conditionalFormatting sqref="F17">
    <cfRule type="expression" dxfId="6257" priority="8424">
      <formula>AND($D17="MIN",$F17&lt;&gt;"")</formula>
    </cfRule>
    <cfRule type="expression" dxfId="6256" priority="8425">
      <formula>AND($D17="MIN",$F17="")</formula>
    </cfRule>
    <cfRule type="containsBlanks" dxfId="6255" priority="8426">
      <formula>LEN(TRIM(F17))=0</formula>
    </cfRule>
  </conditionalFormatting>
  <conditionalFormatting sqref="G17">
    <cfRule type="expression" dxfId="6254" priority="8421">
      <formula>AND(OR($D17="GD&amp;T",$D17="MAX"),$G17&lt;&gt;"")</formula>
    </cfRule>
    <cfRule type="expression" dxfId="6253" priority="8422">
      <formula>AND(OR($D17="GD&amp;T",$D17="MAX"),$G17="")</formula>
    </cfRule>
    <cfRule type="containsBlanks" dxfId="6252" priority="8423">
      <formula>LEN(TRIM(G17))=0</formula>
    </cfRule>
  </conditionalFormatting>
  <conditionalFormatting sqref="F17">
    <cfRule type="expression" dxfId="6251" priority="8418">
      <formula>AND($D17="MIN",$F17&lt;&gt;"")</formula>
    </cfRule>
    <cfRule type="expression" dxfId="6250" priority="8419">
      <formula>AND($D17="MIN",$F17="")</formula>
    </cfRule>
    <cfRule type="containsBlanks" dxfId="6249" priority="8420">
      <formula>LEN(TRIM(F17))=0</formula>
    </cfRule>
  </conditionalFormatting>
  <conditionalFormatting sqref="G17">
    <cfRule type="expression" dxfId="6248" priority="8415">
      <formula>AND(OR($D17="GD&amp;T",$D17="MAX"),$G17&lt;&gt;"")</formula>
    </cfRule>
    <cfRule type="expression" dxfId="6247" priority="8416">
      <formula>AND(OR($D17="GD&amp;T",$D17="MAX"),$G17="")</formula>
    </cfRule>
    <cfRule type="containsBlanks" dxfId="6246" priority="8417">
      <formula>LEN(TRIM(G17))=0</formula>
    </cfRule>
  </conditionalFormatting>
  <conditionalFormatting sqref="F18">
    <cfRule type="expression" dxfId="6245" priority="8412">
      <formula>AND($D18="MIN",$F18&lt;&gt;"")</formula>
    </cfRule>
    <cfRule type="expression" dxfId="6244" priority="8413">
      <formula>AND($D18="MIN",$F18="")</formula>
    </cfRule>
    <cfRule type="containsBlanks" dxfId="6243" priority="8414">
      <formula>LEN(TRIM(F18))=0</formula>
    </cfRule>
  </conditionalFormatting>
  <conditionalFormatting sqref="G18">
    <cfRule type="expression" dxfId="6242" priority="8409">
      <formula>AND(OR($D18="GD&amp;T",$D18="MAX"),$G18&lt;&gt;"")</formula>
    </cfRule>
    <cfRule type="expression" dxfId="6241" priority="8410">
      <formula>AND(OR($D18="GD&amp;T",$D18="MAX"),$G18="")</formula>
    </cfRule>
    <cfRule type="containsBlanks" dxfId="6240" priority="8411">
      <formula>LEN(TRIM(G18))=0</formula>
    </cfRule>
  </conditionalFormatting>
  <conditionalFormatting sqref="F18">
    <cfRule type="expression" dxfId="6239" priority="8406">
      <formula>AND($D18="MIN",$F18&lt;&gt;"")</formula>
    </cfRule>
    <cfRule type="expression" dxfId="6238" priority="8407">
      <formula>AND($D18="MIN",$F18="")</formula>
    </cfRule>
    <cfRule type="containsBlanks" dxfId="6237" priority="8408">
      <formula>LEN(TRIM(F18))=0</formula>
    </cfRule>
  </conditionalFormatting>
  <conditionalFormatting sqref="G18">
    <cfRule type="expression" dxfId="6236" priority="8403">
      <formula>AND(OR($D18="GD&amp;T",$D18="MAX"),$G18&lt;&gt;"")</formula>
    </cfRule>
    <cfRule type="expression" dxfId="6235" priority="8404">
      <formula>AND(OR($D18="GD&amp;T",$D18="MAX"),$G18="")</formula>
    </cfRule>
    <cfRule type="containsBlanks" dxfId="6234" priority="8405">
      <formula>LEN(TRIM(G18))=0</formula>
    </cfRule>
  </conditionalFormatting>
  <conditionalFormatting sqref="F17">
    <cfRule type="expression" dxfId="6233" priority="8400">
      <formula>AND($D17="MIN",$F17&lt;&gt;"")</formula>
    </cfRule>
    <cfRule type="expression" dxfId="6232" priority="8401">
      <formula>AND($D17="MIN",$F17="")</formula>
    </cfRule>
    <cfRule type="containsBlanks" dxfId="6231" priority="8402">
      <formula>LEN(TRIM(F17))=0</formula>
    </cfRule>
  </conditionalFormatting>
  <conditionalFormatting sqref="G17">
    <cfRule type="expression" dxfId="6230" priority="8397">
      <formula>AND(OR($D17="GD&amp;T",$D17="MAX"),$G17&lt;&gt;"")</formula>
    </cfRule>
    <cfRule type="expression" dxfId="6229" priority="8398">
      <formula>AND(OR($D17="GD&amp;T",$D17="MAX"),$G17="")</formula>
    </cfRule>
    <cfRule type="containsBlanks" dxfId="6228" priority="8399">
      <formula>LEN(TRIM(G17))=0</formula>
    </cfRule>
  </conditionalFormatting>
  <conditionalFormatting sqref="F17">
    <cfRule type="expression" dxfId="6227" priority="8394">
      <formula>AND($D17="MIN",$F17&lt;&gt;"")</formula>
    </cfRule>
    <cfRule type="expression" dxfId="6226" priority="8395">
      <formula>AND($D17="MIN",$F17="")</formula>
    </cfRule>
    <cfRule type="containsBlanks" dxfId="6225" priority="8396">
      <formula>LEN(TRIM(F17))=0</formula>
    </cfRule>
  </conditionalFormatting>
  <conditionalFormatting sqref="G17">
    <cfRule type="expression" dxfId="6224" priority="8391">
      <formula>AND(OR($D17="GD&amp;T",$D17="MAX"),$G17&lt;&gt;"")</formula>
    </cfRule>
    <cfRule type="expression" dxfId="6223" priority="8392">
      <formula>AND(OR($D17="GD&amp;T",$D17="MAX"),$G17="")</formula>
    </cfRule>
    <cfRule type="containsBlanks" dxfId="6222" priority="8393">
      <formula>LEN(TRIM(G17))=0</formula>
    </cfRule>
  </conditionalFormatting>
  <conditionalFormatting sqref="F18">
    <cfRule type="expression" dxfId="6221" priority="8388">
      <formula>AND($D18="MIN",$F18&lt;&gt;"")</formula>
    </cfRule>
    <cfRule type="expression" dxfId="6220" priority="8389">
      <formula>AND($D18="MIN",$F18="")</formula>
    </cfRule>
    <cfRule type="containsBlanks" dxfId="6219" priority="8390">
      <formula>LEN(TRIM(F18))=0</formula>
    </cfRule>
  </conditionalFormatting>
  <conditionalFormatting sqref="G18">
    <cfRule type="expression" dxfId="6218" priority="8385">
      <formula>AND(OR($D18="GD&amp;T",$D18="MAX"),$G18&lt;&gt;"")</formula>
    </cfRule>
    <cfRule type="expression" dxfId="6217" priority="8386">
      <formula>AND(OR($D18="GD&amp;T",$D18="MAX"),$G18="")</formula>
    </cfRule>
    <cfRule type="containsBlanks" dxfId="6216" priority="8387">
      <formula>LEN(TRIM(G18))=0</formula>
    </cfRule>
  </conditionalFormatting>
  <conditionalFormatting sqref="F18">
    <cfRule type="expression" dxfId="6215" priority="8382">
      <formula>AND($D18="MIN",$F18&lt;&gt;"")</formula>
    </cfRule>
    <cfRule type="expression" dxfId="6214" priority="8383">
      <formula>AND($D18="MIN",$F18="")</formula>
    </cfRule>
    <cfRule type="containsBlanks" dxfId="6213" priority="8384">
      <formula>LEN(TRIM(F18))=0</formula>
    </cfRule>
  </conditionalFormatting>
  <conditionalFormatting sqref="G18">
    <cfRule type="expression" dxfId="6212" priority="8379">
      <formula>AND(OR($D18="GD&amp;T",$D18="MAX"),$G18&lt;&gt;"")</formula>
    </cfRule>
    <cfRule type="expression" dxfId="6211" priority="8380">
      <formula>AND(OR($D18="GD&amp;T",$D18="MAX"),$G18="")</formula>
    </cfRule>
    <cfRule type="containsBlanks" dxfId="6210" priority="8381">
      <formula>LEN(TRIM(G18))=0</formula>
    </cfRule>
  </conditionalFormatting>
  <conditionalFormatting sqref="F17">
    <cfRule type="expression" dxfId="6209" priority="8376">
      <formula>AND($D17="MIN",$F17&lt;&gt;"")</formula>
    </cfRule>
    <cfRule type="expression" dxfId="6208" priority="8377">
      <formula>AND($D17="MIN",$F17="")</formula>
    </cfRule>
    <cfRule type="containsBlanks" dxfId="6207" priority="8378">
      <formula>LEN(TRIM(F17))=0</formula>
    </cfRule>
  </conditionalFormatting>
  <conditionalFormatting sqref="G17">
    <cfRule type="expression" dxfId="6206" priority="8373">
      <formula>AND(OR($D17="GD&amp;T",$D17="MAX"),$G17&lt;&gt;"")</formula>
    </cfRule>
    <cfRule type="expression" dxfId="6205" priority="8374">
      <formula>AND(OR($D17="GD&amp;T",$D17="MAX"),$G17="")</formula>
    </cfRule>
    <cfRule type="containsBlanks" dxfId="6204" priority="8375">
      <formula>LEN(TRIM(G17))=0</formula>
    </cfRule>
  </conditionalFormatting>
  <conditionalFormatting sqref="F17">
    <cfRule type="expression" dxfId="6203" priority="8370">
      <formula>AND($D17="MIN",$F17&lt;&gt;"")</formula>
    </cfRule>
    <cfRule type="expression" dxfId="6202" priority="8371">
      <formula>AND($D17="MIN",$F17="")</formula>
    </cfRule>
    <cfRule type="containsBlanks" dxfId="6201" priority="8372">
      <formula>LEN(TRIM(F17))=0</formula>
    </cfRule>
  </conditionalFormatting>
  <conditionalFormatting sqref="G17">
    <cfRule type="expression" dxfId="6200" priority="8367">
      <formula>AND(OR($D17="GD&amp;T",$D17="MAX"),$G17&lt;&gt;"")</formula>
    </cfRule>
    <cfRule type="expression" dxfId="6199" priority="8368">
      <formula>AND(OR($D17="GD&amp;T",$D17="MAX"),$G17="")</formula>
    </cfRule>
    <cfRule type="containsBlanks" dxfId="6198" priority="8369">
      <formula>LEN(TRIM(G17))=0</formula>
    </cfRule>
  </conditionalFormatting>
  <conditionalFormatting sqref="F17">
    <cfRule type="expression" dxfId="6197" priority="8364">
      <formula>AND($D17="MIN",$F17&lt;&gt;"")</formula>
    </cfRule>
    <cfRule type="expression" dxfId="6196" priority="8365">
      <formula>AND($D17="MIN",$F17="")</formula>
    </cfRule>
    <cfRule type="containsBlanks" dxfId="6195" priority="8366">
      <formula>LEN(TRIM(F17))=0</formula>
    </cfRule>
  </conditionalFormatting>
  <conditionalFormatting sqref="G17:G18">
    <cfRule type="expression" dxfId="6194" priority="8361">
      <formula>AND(OR($D17="GD&amp;T",$D17="MAX"),$G17&lt;&gt;"")</formula>
    </cfRule>
    <cfRule type="expression" dxfId="6193" priority="8362">
      <formula>AND(OR($D17="GD&amp;T",$D17="MAX"),$G17="")</formula>
    </cfRule>
    <cfRule type="containsBlanks" dxfId="6192" priority="8363">
      <formula>LEN(TRIM(G17))=0</formula>
    </cfRule>
  </conditionalFormatting>
  <conditionalFormatting sqref="F17">
    <cfRule type="expression" dxfId="6191" priority="8358">
      <formula>AND($D17="MIN",$F17&lt;&gt;"")</formula>
    </cfRule>
    <cfRule type="expression" dxfId="6190" priority="8359">
      <formula>AND($D17="MIN",$F17="")</formula>
    </cfRule>
    <cfRule type="containsBlanks" dxfId="6189" priority="8360">
      <formula>LEN(TRIM(F17))=0</formula>
    </cfRule>
  </conditionalFormatting>
  <conditionalFormatting sqref="G17:G18">
    <cfRule type="expression" dxfId="6188" priority="8355">
      <formula>AND(OR($D17="GD&amp;T",$D17="MAX"),$G17&lt;&gt;"")</formula>
    </cfRule>
    <cfRule type="expression" dxfId="6187" priority="8356">
      <formula>AND(OR($D17="GD&amp;T",$D17="MAX"),$G17="")</formula>
    </cfRule>
    <cfRule type="containsBlanks" dxfId="6186" priority="8357">
      <formula>LEN(TRIM(G17))=0</formula>
    </cfRule>
  </conditionalFormatting>
  <conditionalFormatting sqref="F17">
    <cfRule type="expression" dxfId="6185" priority="8352">
      <formula>AND($D17="MIN",$F17&lt;&gt;"")</formula>
    </cfRule>
    <cfRule type="expression" dxfId="6184" priority="8353">
      <formula>AND($D17="MIN",$F17="")</formula>
    </cfRule>
    <cfRule type="containsBlanks" dxfId="6183" priority="8354">
      <formula>LEN(TRIM(F17))=0</formula>
    </cfRule>
  </conditionalFormatting>
  <conditionalFormatting sqref="G17:G18">
    <cfRule type="expression" dxfId="6182" priority="8349">
      <formula>AND(OR($D17="GD&amp;T",$D17="MAX"),$G17&lt;&gt;"")</formula>
    </cfRule>
    <cfRule type="expression" dxfId="6181" priority="8350">
      <formula>AND(OR($D17="GD&amp;T",$D17="MAX"),$G17="")</formula>
    </cfRule>
    <cfRule type="containsBlanks" dxfId="6180" priority="8351">
      <formula>LEN(TRIM(G17))=0</formula>
    </cfRule>
  </conditionalFormatting>
  <conditionalFormatting sqref="F17">
    <cfRule type="expression" dxfId="6179" priority="8346">
      <formula>AND($D17="MIN",$F17&lt;&gt;"")</formula>
    </cfRule>
    <cfRule type="expression" dxfId="6178" priority="8347">
      <formula>AND($D17="MIN",$F17="")</formula>
    </cfRule>
    <cfRule type="containsBlanks" dxfId="6177" priority="8348">
      <formula>LEN(TRIM(F17))=0</formula>
    </cfRule>
  </conditionalFormatting>
  <conditionalFormatting sqref="G17:G18">
    <cfRule type="expression" dxfId="6176" priority="8343">
      <formula>AND(OR($D17="GD&amp;T",$D17="MAX"),$G17&lt;&gt;"")</formula>
    </cfRule>
    <cfRule type="expression" dxfId="6175" priority="8344">
      <formula>AND(OR($D17="GD&amp;T",$D17="MAX"),$G17="")</formula>
    </cfRule>
    <cfRule type="containsBlanks" dxfId="6174" priority="8345">
      <formula>LEN(TRIM(G17))=0</formula>
    </cfRule>
  </conditionalFormatting>
  <conditionalFormatting sqref="F17">
    <cfRule type="expression" dxfId="6173" priority="8340">
      <formula>AND($D17="MIN",$F17&lt;&gt;"")</formula>
    </cfRule>
    <cfRule type="expression" dxfId="6172" priority="8341">
      <formula>AND($D17="MIN",$F17="")</formula>
    </cfRule>
    <cfRule type="containsBlanks" dxfId="6171" priority="8342">
      <formula>LEN(TRIM(F17))=0</formula>
    </cfRule>
  </conditionalFormatting>
  <conditionalFormatting sqref="G17:G18">
    <cfRule type="expression" dxfId="6170" priority="8337">
      <formula>AND(OR($D17="GD&amp;T",$D17="MAX"),$G17&lt;&gt;"")</formula>
    </cfRule>
    <cfRule type="expression" dxfId="6169" priority="8338">
      <formula>AND(OR($D17="GD&amp;T",$D17="MAX"),$G17="")</formula>
    </cfRule>
    <cfRule type="containsBlanks" dxfId="6168" priority="8339">
      <formula>LEN(TRIM(G17))=0</formula>
    </cfRule>
  </conditionalFormatting>
  <conditionalFormatting sqref="F18">
    <cfRule type="expression" dxfId="6167" priority="8334">
      <formula>AND($D18="MIN",$F18&lt;&gt;"")</formula>
    </cfRule>
    <cfRule type="expression" dxfId="6166" priority="8335">
      <formula>AND($D18="MIN",$F18="")</formula>
    </cfRule>
    <cfRule type="containsBlanks" dxfId="6165" priority="8336">
      <formula>LEN(TRIM(F18))=0</formula>
    </cfRule>
  </conditionalFormatting>
  <conditionalFormatting sqref="F18">
    <cfRule type="expression" dxfId="6164" priority="8331">
      <formula>AND($D18="MIN",$F18&lt;&gt;"")</formula>
    </cfRule>
    <cfRule type="expression" dxfId="6163" priority="8332">
      <formula>AND($D18="MIN",$F18="")</formula>
    </cfRule>
    <cfRule type="containsBlanks" dxfId="6162" priority="8333">
      <formula>LEN(TRIM(F18))=0</formula>
    </cfRule>
  </conditionalFormatting>
  <conditionalFormatting sqref="F18">
    <cfRule type="expression" dxfId="6161" priority="8328">
      <formula>AND($D18="MIN",$F18&lt;&gt;"")</formula>
    </cfRule>
    <cfRule type="expression" dxfId="6160" priority="8329">
      <formula>AND($D18="MIN",$F18="")</formula>
    </cfRule>
    <cfRule type="containsBlanks" dxfId="6159" priority="8330">
      <formula>LEN(TRIM(F18))=0</formula>
    </cfRule>
  </conditionalFormatting>
  <conditionalFormatting sqref="F18">
    <cfRule type="expression" dxfId="6158" priority="8325">
      <formula>AND($D18="MIN",$F18&lt;&gt;"")</formula>
    </cfRule>
    <cfRule type="expression" dxfId="6157" priority="8326">
      <formula>AND($D18="MIN",$F18="")</formula>
    </cfRule>
    <cfRule type="containsBlanks" dxfId="6156" priority="8327">
      <formula>LEN(TRIM(F18))=0</formula>
    </cfRule>
  </conditionalFormatting>
  <conditionalFormatting sqref="F18">
    <cfRule type="expression" dxfId="6155" priority="8322">
      <formula>AND($D18="MIN",$F18&lt;&gt;"")</formula>
    </cfRule>
    <cfRule type="expression" dxfId="6154" priority="8323">
      <formula>AND($D18="MIN",$F18="")</formula>
    </cfRule>
    <cfRule type="containsBlanks" dxfId="6153" priority="8324">
      <formula>LEN(TRIM(F18))=0</formula>
    </cfRule>
  </conditionalFormatting>
  <conditionalFormatting sqref="F19">
    <cfRule type="expression" dxfId="6152" priority="8319">
      <formula>AND($D19="MIN",$F19&lt;&gt;"")</formula>
    </cfRule>
    <cfRule type="expression" dxfId="6151" priority="8320">
      <formula>AND($D19="MIN",$F19="")</formula>
    </cfRule>
    <cfRule type="containsBlanks" dxfId="6150" priority="8321">
      <formula>LEN(TRIM(F19))=0</formula>
    </cfRule>
  </conditionalFormatting>
  <conditionalFormatting sqref="G19">
    <cfRule type="expression" dxfId="6149" priority="8316">
      <formula>AND(OR($D19="GD&amp;T",$D19="MAX"),$G19&lt;&gt;"")</formula>
    </cfRule>
    <cfRule type="expression" dxfId="6148" priority="8317">
      <formula>AND(OR($D19="GD&amp;T",$D19="MAX"),$G19="")</formula>
    </cfRule>
    <cfRule type="containsBlanks" dxfId="6147" priority="8318">
      <formula>LEN(TRIM(G19))=0</formula>
    </cfRule>
  </conditionalFormatting>
  <conditionalFormatting sqref="F19">
    <cfRule type="expression" dxfId="6146" priority="8313">
      <formula>AND($D19="MIN",$F19&lt;&gt;"")</formula>
    </cfRule>
    <cfRule type="expression" dxfId="6145" priority="8314">
      <formula>AND($D19="MIN",$F19="")</formula>
    </cfRule>
    <cfRule type="containsBlanks" dxfId="6144" priority="8315">
      <formula>LEN(TRIM(F19))=0</formula>
    </cfRule>
  </conditionalFormatting>
  <conditionalFormatting sqref="G19">
    <cfRule type="expression" dxfId="6143" priority="8310">
      <formula>AND(OR($D19="GD&amp;T",$D19="MAX"),$G19&lt;&gt;"")</formula>
    </cfRule>
    <cfRule type="expression" dxfId="6142" priority="8311">
      <formula>AND(OR($D19="GD&amp;T",$D19="MAX"),$G19="")</formula>
    </cfRule>
    <cfRule type="containsBlanks" dxfId="6141" priority="8312">
      <formula>LEN(TRIM(G19))=0</formula>
    </cfRule>
  </conditionalFormatting>
  <conditionalFormatting sqref="F19">
    <cfRule type="expression" dxfId="6140" priority="8307">
      <formula>AND($D19="MIN",$F19&lt;&gt;"")</formula>
    </cfRule>
    <cfRule type="expression" dxfId="6139" priority="8308">
      <formula>AND($D19="MIN",$F19="")</formula>
    </cfRule>
    <cfRule type="containsBlanks" dxfId="6138" priority="8309">
      <formula>LEN(TRIM(F19))=0</formula>
    </cfRule>
  </conditionalFormatting>
  <conditionalFormatting sqref="G19">
    <cfRule type="expression" dxfId="6137" priority="8304">
      <formula>AND(OR($D19="GD&amp;T",$D19="MAX"),$G19&lt;&gt;"")</formula>
    </cfRule>
    <cfRule type="expression" dxfId="6136" priority="8305">
      <formula>AND(OR($D19="GD&amp;T",$D19="MAX"),$G19="")</formula>
    </cfRule>
    <cfRule type="containsBlanks" dxfId="6135" priority="8306">
      <formula>LEN(TRIM(G19))=0</formula>
    </cfRule>
  </conditionalFormatting>
  <conditionalFormatting sqref="F19">
    <cfRule type="expression" dxfId="6134" priority="8301">
      <formula>AND($D19="MIN",$F19&lt;&gt;"")</formula>
    </cfRule>
    <cfRule type="expression" dxfId="6133" priority="8302">
      <formula>AND($D19="MIN",$F19="")</formula>
    </cfRule>
    <cfRule type="containsBlanks" dxfId="6132" priority="8303">
      <formula>LEN(TRIM(F19))=0</formula>
    </cfRule>
  </conditionalFormatting>
  <conditionalFormatting sqref="G19">
    <cfRule type="expression" dxfId="6131" priority="8298">
      <formula>AND(OR($D19="GD&amp;T",$D19="MAX"),$G19&lt;&gt;"")</formula>
    </cfRule>
    <cfRule type="expression" dxfId="6130" priority="8299">
      <formula>AND(OR($D19="GD&amp;T",$D19="MAX"),$G19="")</formula>
    </cfRule>
    <cfRule type="containsBlanks" dxfId="6129" priority="8300">
      <formula>LEN(TRIM(G19))=0</formula>
    </cfRule>
  </conditionalFormatting>
  <conditionalFormatting sqref="F20">
    <cfRule type="expression" dxfId="6128" priority="8295">
      <formula>AND($D20="MIN",$F20&lt;&gt;"")</formula>
    </cfRule>
    <cfRule type="expression" dxfId="6127" priority="8296">
      <formula>AND($D20="MIN",$F20="")</formula>
    </cfRule>
    <cfRule type="containsBlanks" dxfId="6126" priority="8297">
      <formula>LEN(TRIM(F20))=0</formula>
    </cfRule>
  </conditionalFormatting>
  <conditionalFormatting sqref="G20">
    <cfRule type="expression" dxfId="6125" priority="8292">
      <formula>AND(OR($D20="GD&amp;T",$D20="MAX"),$G20&lt;&gt;"")</formula>
    </cfRule>
    <cfRule type="expression" dxfId="6124" priority="8293">
      <formula>AND(OR($D20="GD&amp;T",$D20="MAX"),$G20="")</formula>
    </cfRule>
    <cfRule type="containsBlanks" dxfId="6123" priority="8294">
      <formula>LEN(TRIM(G20))=0</formula>
    </cfRule>
  </conditionalFormatting>
  <conditionalFormatting sqref="F20">
    <cfRule type="expression" dxfId="6122" priority="8289">
      <formula>AND($D20="MIN",$F20&lt;&gt;"")</formula>
    </cfRule>
    <cfRule type="expression" dxfId="6121" priority="8290">
      <formula>AND($D20="MIN",$F20="")</formula>
    </cfRule>
    <cfRule type="containsBlanks" dxfId="6120" priority="8291">
      <formula>LEN(TRIM(F20))=0</formula>
    </cfRule>
  </conditionalFormatting>
  <conditionalFormatting sqref="G20">
    <cfRule type="expression" dxfId="6119" priority="8286">
      <formula>AND(OR($D20="GD&amp;T",$D20="MAX"),$G20&lt;&gt;"")</formula>
    </cfRule>
    <cfRule type="expression" dxfId="6118" priority="8287">
      <formula>AND(OR($D20="GD&amp;T",$D20="MAX"),$G20="")</formula>
    </cfRule>
    <cfRule type="containsBlanks" dxfId="6117" priority="8288">
      <formula>LEN(TRIM(G20))=0</formula>
    </cfRule>
  </conditionalFormatting>
  <conditionalFormatting sqref="F19">
    <cfRule type="expression" dxfId="6116" priority="8283">
      <formula>AND($D19="MIN",$F19&lt;&gt;"")</formula>
    </cfRule>
    <cfRule type="expression" dxfId="6115" priority="8284">
      <formula>AND($D19="MIN",$F19="")</formula>
    </cfRule>
    <cfRule type="containsBlanks" dxfId="6114" priority="8285">
      <formula>LEN(TRIM(F19))=0</formula>
    </cfRule>
  </conditionalFormatting>
  <conditionalFormatting sqref="G19">
    <cfRule type="expression" dxfId="6113" priority="8280">
      <formula>AND(OR($D19="GD&amp;T",$D19="MAX"),$G19&lt;&gt;"")</formula>
    </cfRule>
    <cfRule type="expression" dxfId="6112" priority="8281">
      <formula>AND(OR($D19="GD&amp;T",$D19="MAX"),$G19="")</formula>
    </cfRule>
    <cfRule type="containsBlanks" dxfId="6111" priority="8282">
      <formula>LEN(TRIM(G19))=0</formula>
    </cfRule>
  </conditionalFormatting>
  <conditionalFormatting sqref="F19">
    <cfRule type="expression" dxfId="6110" priority="8277">
      <formula>AND($D19="MIN",$F19&lt;&gt;"")</formula>
    </cfRule>
    <cfRule type="expression" dxfId="6109" priority="8278">
      <formula>AND($D19="MIN",$F19="")</formula>
    </cfRule>
    <cfRule type="containsBlanks" dxfId="6108" priority="8279">
      <formula>LEN(TRIM(F19))=0</formula>
    </cfRule>
  </conditionalFormatting>
  <conditionalFormatting sqref="G19">
    <cfRule type="expression" dxfId="6107" priority="8274">
      <formula>AND(OR($D19="GD&amp;T",$D19="MAX"),$G19&lt;&gt;"")</formula>
    </cfRule>
    <cfRule type="expression" dxfId="6106" priority="8275">
      <formula>AND(OR($D19="GD&amp;T",$D19="MAX"),$G19="")</formula>
    </cfRule>
    <cfRule type="containsBlanks" dxfId="6105" priority="8276">
      <formula>LEN(TRIM(G19))=0</formula>
    </cfRule>
  </conditionalFormatting>
  <conditionalFormatting sqref="F20">
    <cfRule type="expression" dxfId="6104" priority="8271">
      <formula>AND($D20="MIN",$F20&lt;&gt;"")</formula>
    </cfRule>
    <cfRule type="expression" dxfId="6103" priority="8272">
      <formula>AND($D20="MIN",$F20="")</formula>
    </cfRule>
    <cfRule type="containsBlanks" dxfId="6102" priority="8273">
      <formula>LEN(TRIM(F20))=0</formula>
    </cfRule>
  </conditionalFormatting>
  <conditionalFormatting sqref="G20">
    <cfRule type="expression" dxfId="6101" priority="8268">
      <formula>AND(OR($D20="GD&amp;T",$D20="MAX"),$G20&lt;&gt;"")</formula>
    </cfRule>
    <cfRule type="expression" dxfId="6100" priority="8269">
      <formula>AND(OR($D20="GD&amp;T",$D20="MAX"),$G20="")</formula>
    </cfRule>
    <cfRule type="containsBlanks" dxfId="6099" priority="8270">
      <formula>LEN(TRIM(G20))=0</formula>
    </cfRule>
  </conditionalFormatting>
  <conditionalFormatting sqref="F20">
    <cfRule type="expression" dxfId="6098" priority="8265">
      <formula>AND($D20="MIN",$F20&lt;&gt;"")</formula>
    </cfRule>
    <cfRule type="expression" dxfId="6097" priority="8266">
      <formula>AND($D20="MIN",$F20="")</formula>
    </cfRule>
    <cfRule type="containsBlanks" dxfId="6096" priority="8267">
      <formula>LEN(TRIM(F20))=0</formula>
    </cfRule>
  </conditionalFormatting>
  <conditionalFormatting sqref="G20">
    <cfRule type="expression" dxfId="6095" priority="8262">
      <formula>AND(OR($D20="GD&amp;T",$D20="MAX"),$G20&lt;&gt;"")</formula>
    </cfRule>
    <cfRule type="expression" dxfId="6094" priority="8263">
      <formula>AND(OR($D20="GD&amp;T",$D20="MAX"),$G20="")</formula>
    </cfRule>
    <cfRule type="containsBlanks" dxfId="6093" priority="8264">
      <formula>LEN(TRIM(G20))=0</formula>
    </cfRule>
  </conditionalFormatting>
  <conditionalFormatting sqref="F19">
    <cfRule type="expression" dxfId="6092" priority="8259">
      <formula>AND($D19="MIN",$F19&lt;&gt;"")</formula>
    </cfRule>
    <cfRule type="expression" dxfId="6091" priority="8260">
      <formula>AND($D19="MIN",$F19="")</formula>
    </cfRule>
    <cfRule type="containsBlanks" dxfId="6090" priority="8261">
      <formula>LEN(TRIM(F19))=0</formula>
    </cfRule>
  </conditionalFormatting>
  <conditionalFormatting sqref="G19">
    <cfRule type="expression" dxfId="6089" priority="8256">
      <formula>AND(OR($D19="GD&amp;T",$D19="MAX"),$G19&lt;&gt;"")</formula>
    </cfRule>
    <cfRule type="expression" dxfId="6088" priority="8257">
      <formula>AND(OR($D19="GD&amp;T",$D19="MAX"),$G19="")</formula>
    </cfRule>
    <cfRule type="containsBlanks" dxfId="6087" priority="8258">
      <formula>LEN(TRIM(G19))=0</formula>
    </cfRule>
  </conditionalFormatting>
  <conditionalFormatting sqref="F19">
    <cfRule type="expression" dxfId="6086" priority="8253">
      <formula>AND($D19="MIN",$F19&lt;&gt;"")</formula>
    </cfRule>
    <cfRule type="expression" dxfId="6085" priority="8254">
      <formula>AND($D19="MIN",$F19="")</formula>
    </cfRule>
    <cfRule type="containsBlanks" dxfId="6084" priority="8255">
      <formula>LEN(TRIM(F19))=0</formula>
    </cfRule>
  </conditionalFormatting>
  <conditionalFormatting sqref="G19">
    <cfRule type="expression" dxfId="6083" priority="8250">
      <formula>AND(OR($D19="GD&amp;T",$D19="MAX"),$G19&lt;&gt;"")</formula>
    </cfRule>
    <cfRule type="expression" dxfId="6082" priority="8251">
      <formula>AND(OR($D19="GD&amp;T",$D19="MAX"),$G19="")</formula>
    </cfRule>
    <cfRule type="containsBlanks" dxfId="6081" priority="8252">
      <formula>LEN(TRIM(G19))=0</formula>
    </cfRule>
  </conditionalFormatting>
  <conditionalFormatting sqref="F19">
    <cfRule type="expression" dxfId="6080" priority="8247">
      <formula>AND($D19="MIN",$F19&lt;&gt;"")</formula>
    </cfRule>
    <cfRule type="expression" dxfId="6079" priority="8248">
      <formula>AND($D19="MIN",$F19="")</formula>
    </cfRule>
    <cfRule type="containsBlanks" dxfId="6078" priority="8249">
      <formula>LEN(TRIM(F19))=0</formula>
    </cfRule>
  </conditionalFormatting>
  <conditionalFormatting sqref="G19:G20">
    <cfRule type="expression" dxfId="6077" priority="8244">
      <formula>AND(OR($D19="GD&amp;T",$D19="MAX"),$G19&lt;&gt;"")</formula>
    </cfRule>
    <cfRule type="expression" dxfId="6076" priority="8245">
      <formula>AND(OR($D19="GD&amp;T",$D19="MAX"),$G19="")</formula>
    </cfRule>
    <cfRule type="containsBlanks" dxfId="6075" priority="8246">
      <formula>LEN(TRIM(G19))=0</formula>
    </cfRule>
  </conditionalFormatting>
  <conditionalFormatting sqref="F19">
    <cfRule type="expression" dxfId="6074" priority="8241">
      <formula>AND($D19="MIN",$F19&lt;&gt;"")</formula>
    </cfRule>
    <cfRule type="expression" dxfId="6073" priority="8242">
      <formula>AND($D19="MIN",$F19="")</formula>
    </cfRule>
    <cfRule type="containsBlanks" dxfId="6072" priority="8243">
      <formula>LEN(TRIM(F19))=0</formula>
    </cfRule>
  </conditionalFormatting>
  <conditionalFormatting sqref="G19:G20">
    <cfRule type="expression" dxfId="6071" priority="8238">
      <formula>AND(OR($D19="GD&amp;T",$D19="MAX"),$G19&lt;&gt;"")</formula>
    </cfRule>
    <cfRule type="expression" dxfId="6070" priority="8239">
      <formula>AND(OR($D19="GD&amp;T",$D19="MAX"),$G19="")</formula>
    </cfRule>
    <cfRule type="containsBlanks" dxfId="6069" priority="8240">
      <formula>LEN(TRIM(G19))=0</formula>
    </cfRule>
  </conditionalFormatting>
  <conditionalFormatting sqref="F19">
    <cfRule type="expression" dxfId="6068" priority="8235">
      <formula>AND($D19="MIN",$F19&lt;&gt;"")</formula>
    </cfRule>
    <cfRule type="expression" dxfId="6067" priority="8236">
      <formula>AND($D19="MIN",$F19="")</formula>
    </cfRule>
    <cfRule type="containsBlanks" dxfId="6066" priority="8237">
      <formula>LEN(TRIM(F19))=0</formula>
    </cfRule>
  </conditionalFormatting>
  <conditionalFormatting sqref="G19:G20">
    <cfRule type="expression" dxfId="6065" priority="8232">
      <formula>AND(OR($D19="GD&amp;T",$D19="MAX"),$G19&lt;&gt;"")</formula>
    </cfRule>
    <cfRule type="expression" dxfId="6064" priority="8233">
      <formula>AND(OR($D19="GD&amp;T",$D19="MAX"),$G19="")</formula>
    </cfRule>
    <cfRule type="containsBlanks" dxfId="6063" priority="8234">
      <formula>LEN(TRIM(G19))=0</formula>
    </cfRule>
  </conditionalFormatting>
  <conditionalFormatting sqref="F19">
    <cfRule type="expression" dxfId="6062" priority="8229">
      <formula>AND($D19="MIN",$F19&lt;&gt;"")</formula>
    </cfRule>
    <cfRule type="expression" dxfId="6061" priority="8230">
      <formula>AND($D19="MIN",$F19="")</formula>
    </cfRule>
    <cfRule type="containsBlanks" dxfId="6060" priority="8231">
      <formula>LEN(TRIM(F19))=0</formula>
    </cfRule>
  </conditionalFormatting>
  <conditionalFormatting sqref="G19:G20">
    <cfRule type="expression" dxfId="6059" priority="8226">
      <formula>AND(OR($D19="GD&amp;T",$D19="MAX"),$G19&lt;&gt;"")</formula>
    </cfRule>
    <cfRule type="expression" dxfId="6058" priority="8227">
      <formula>AND(OR($D19="GD&amp;T",$D19="MAX"),$G19="")</formula>
    </cfRule>
    <cfRule type="containsBlanks" dxfId="6057" priority="8228">
      <formula>LEN(TRIM(G19))=0</formula>
    </cfRule>
  </conditionalFormatting>
  <conditionalFormatting sqref="F19">
    <cfRule type="expression" dxfId="6056" priority="8223">
      <formula>AND($D19="MIN",$F19&lt;&gt;"")</formula>
    </cfRule>
    <cfRule type="expression" dxfId="6055" priority="8224">
      <formula>AND($D19="MIN",$F19="")</formula>
    </cfRule>
    <cfRule type="containsBlanks" dxfId="6054" priority="8225">
      <formula>LEN(TRIM(F19))=0</formula>
    </cfRule>
  </conditionalFormatting>
  <conditionalFormatting sqref="G19:G20">
    <cfRule type="expression" dxfId="6053" priority="8220">
      <formula>AND(OR($D19="GD&amp;T",$D19="MAX"),$G19&lt;&gt;"")</formula>
    </cfRule>
    <cfRule type="expression" dxfId="6052" priority="8221">
      <formula>AND(OR($D19="GD&amp;T",$D19="MAX"),$G19="")</formula>
    </cfRule>
    <cfRule type="containsBlanks" dxfId="6051" priority="8222">
      <formula>LEN(TRIM(G19))=0</formula>
    </cfRule>
  </conditionalFormatting>
  <conditionalFormatting sqref="F20">
    <cfRule type="expression" dxfId="6050" priority="8217">
      <formula>AND($D20="MIN",$F20&lt;&gt;"")</formula>
    </cfRule>
    <cfRule type="expression" dxfId="6049" priority="8218">
      <formula>AND($D20="MIN",$F20="")</formula>
    </cfRule>
    <cfRule type="containsBlanks" dxfId="6048" priority="8219">
      <formula>LEN(TRIM(F20))=0</formula>
    </cfRule>
  </conditionalFormatting>
  <conditionalFormatting sqref="F20">
    <cfRule type="expression" dxfId="6047" priority="8214">
      <formula>AND($D20="MIN",$F20&lt;&gt;"")</formula>
    </cfRule>
    <cfRule type="expression" dxfId="6046" priority="8215">
      <formula>AND($D20="MIN",$F20="")</formula>
    </cfRule>
    <cfRule type="containsBlanks" dxfId="6045" priority="8216">
      <formula>LEN(TRIM(F20))=0</formula>
    </cfRule>
  </conditionalFormatting>
  <conditionalFormatting sqref="F20">
    <cfRule type="expression" dxfId="6044" priority="8211">
      <formula>AND($D20="MIN",$F20&lt;&gt;"")</formula>
    </cfRule>
    <cfRule type="expression" dxfId="6043" priority="8212">
      <formula>AND($D20="MIN",$F20="")</formula>
    </cfRule>
    <cfRule type="containsBlanks" dxfId="6042" priority="8213">
      <formula>LEN(TRIM(F20))=0</formula>
    </cfRule>
  </conditionalFormatting>
  <conditionalFormatting sqref="F20">
    <cfRule type="expression" dxfId="6041" priority="8208">
      <formula>AND($D20="MIN",$F20&lt;&gt;"")</formula>
    </cfRule>
    <cfRule type="expression" dxfId="6040" priority="8209">
      <formula>AND($D20="MIN",$F20="")</formula>
    </cfRule>
    <cfRule type="containsBlanks" dxfId="6039" priority="8210">
      <formula>LEN(TRIM(F20))=0</formula>
    </cfRule>
  </conditionalFormatting>
  <conditionalFormatting sqref="F20">
    <cfRule type="expression" dxfId="6038" priority="8205">
      <formula>AND($D20="MIN",$F20&lt;&gt;"")</formula>
    </cfRule>
    <cfRule type="expression" dxfId="6037" priority="8206">
      <formula>AND($D20="MIN",$F20="")</formula>
    </cfRule>
    <cfRule type="containsBlanks" dxfId="6036" priority="8207">
      <formula>LEN(TRIM(F20))=0</formula>
    </cfRule>
  </conditionalFormatting>
  <conditionalFormatting sqref="F21">
    <cfRule type="expression" dxfId="6035" priority="8202">
      <formula>AND($D21="MIN",$F21&lt;&gt;"")</formula>
    </cfRule>
    <cfRule type="expression" dxfId="6034" priority="8203">
      <formula>AND($D21="MIN",$F21="")</formula>
    </cfRule>
    <cfRule type="containsBlanks" dxfId="6033" priority="8204">
      <formula>LEN(TRIM(F21))=0</formula>
    </cfRule>
  </conditionalFormatting>
  <conditionalFormatting sqref="G21">
    <cfRule type="expression" dxfId="6032" priority="8199">
      <formula>AND(OR($D21="GD&amp;T",$D21="MAX"),$G21&lt;&gt;"")</formula>
    </cfRule>
    <cfRule type="expression" dxfId="6031" priority="8200">
      <formula>AND(OR($D21="GD&amp;T",$D21="MAX"),$G21="")</formula>
    </cfRule>
    <cfRule type="containsBlanks" dxfId="6030" priority="8201">
      <formula>LEN(TRIM(G21))=0</formula>
    </cfRule>
  </conditionalFormatting>
  <conditionalFormatting sqref="F21">
    <cfRule type="expression" dxfId="6029" priority="8196">
      <formula>AND($D21="MIN",$F21&lt;&gt;"")</formula>
    </cfRule>
    <cfRule type="expression" dxfId="6028" priority="8197">
      <formula>AND($D21="MIN",$F21="")</formula>
    </cfRule>
    <cfRule type="containsBlanks" dxfId="6027" priority="8198">
      <formula>LEN(TRIM(F21))=0</formula>
    </cfRule>
  </conditionalFormatting>
  <conditionalFormatting sqref="G21">
    <cfRule type="expression" dxfId="6026" priority="8193">
      <formula>AND(OR($D21="GD&amp;T",$D21="MAX"),$G21&lt;&gt;"")</formula>
    </cfRule>
    <cfRule type="expression" dxfId="6025" priority="8194">
      <formula>AND(OR($D21="GD&amp;T",$D21="MAX"),$G21="")</formula>
    </cfRule>
    <cfRule type="containsBlanks" dxfId="6024" priority="8195">
      <formula>LEN(TRIM(G21))=0</formula>
    </cfRule>
  </conditionalFormatting>
  <conditionalFormatting sqref="F21">
    <cfRule type="expression" dxfId="6023" priority="8190">
      <formula>AND($D21="MIN",$F21&lt;&gt;"")</formula>
    </cfRule>
    <cfRule type="expression" dxfId="6022" priority="8191">
      <formula>AND($D21="MIN",$F21="")</formula>
    </cfRule>
    <cfRule type="containsBlanks" dxfId="6021" priority="8192">
      <formula>LEN(TRIM(F21))=0</formula>
    </cfRule>
  </conditionalFormatting>
  <conditionalFormatting sqref="G21">
    <cfRule type="expression" dxfId="6020" priority="8187">
      <formula>AND(OR($D21="GD&amp;T",$D21="MAX"),$G21&lt;&gt;"")</formula>
    </cfRule>
    <cfRule type="expression" dxfId="6019" priority="8188">
      <formula>AND(OR($D21="GD&amp;T",$D21="MAX"),$G21="")</formula>
    </cfRule>
    <cfRule type="containsBlanks" dxfId="6018" priority="8189">
      <formula>LEN(TRIM(G21))=0</formula>
    </cfRule>
  </conditionalFormatting>
  <conditionalFormatting sqref="F21">
    <cfRule type="expression" dxfId="6017" priority="8184">
      <formula>AND($D21="MIN",$F21&lt;&gt;"")</formula>
    </cfRule>
    <cfRule type="expression" dxfId="6016" priority="8185">
      <formula>AND($D21="MIN",$F21="")</formula>
    </cfRule>
    <cfRule type="containsBlanks" dxfId="6015" priority="8186">
      <formula>LEN(TRIM(F21))=0</formula>
    </cfRule>
  </conditionalFormatting>
  <conditionalFormatting sqref="G21">
    <cfRule type="expression" dxfId="6014" priority="8181">
      <formula>AND(OR($D21="GD&amp;T",$D21="MAX"),$G21&lt;&gt;"")</formula>
    </cfRule>
    <cfRule type="expression" dxfId="6013" priority="8182">
      <formula>AND(OR($D21="GD&amp;T",$D21="MAX"),$G21="")</formula>
    </cfRule>
    <cfRule type="containsBlanks" dxfId="6012" priority="8183">
      <formula>LEN(TRIM(G21))=0</formula>
    </cfRule>
  </conditionalFormatting>
  <conditionalFormatting sqref="F22">
    <cfRule type="expression" dxfId="6011" priority="8178">
      <formula>AND($D22="MIN",$F22&lt;&gt;"")</formula>
    </cfRule>
    <cfRule type="expression" dxfId="6010" priority="8179">
      <formula>AND($D22="MIN",$F22="")</formula>
    </cfRule>
    <cfRule type="containsBlanks" dxfId="6009" priority="8180">
      <formula>LEN(TRIM(F22))=0</formula>
    </cfRule>
  </conditionalFormatting>
  <conditionalFormatting sqref="G22">
    <cfRule type="expression" dxfId="6008" priority="8175">
      <formula>AND(OR($D22="GD&amp;T",$D22="MAX"),$G22&lt;&gt;"")</formula>
    </cfRule>
    <cfRule type="expression" dxfId="6007" priority="8176">
      <formula>AND(OR($D22="GD&amp;T",$D22="MAX"),$G22="")</formula>
    </cfRule>
    <cfRule type="containsBlanks" dxfId="6006" priority="8177">
      <formula>LEN(TRIM(G22))=0</formula>
    </cfRule>
  </conditionalFormatting>
  <conditionalFormatting sqref="F22">
    <cfRule type="expression" dxfId="6005" priority="8172">
      <formula>AND($D22="MIN",$F22&lt;&gt;"")</formula>
    </cfRule>
    <cfRule type="expression" dxfId="6004" priority="8173">
      <formula>AND($D22="MIN",$F22="")</formula>
    </cfRule>
    <cfRule type="containsBlanks" dxfId="6003" priority="8174">
      <formula>LEN(TRIM(F22))=0</formula>
    </cfRule>
  </conditionalFormatting>
  <conditionalFormatting sqref="G22">
    <cfRule type="expression" dxfId="6002" priority="8169">
      <formula>AND(OR($D22="GD&amp;T",$D22="MAX"),$G22&lt;&gt;"")</formula>
    </cfRule>
    <cfRule type="expression" dxfId="6001" priority="8170">
      <formula>AND(OR($D22="GD&amp;T",$D22="MAX"),$G22="")</formula>
    </cfRule>
    <cfRule type="containsBlanks" dxfId="6000" priority="8171">
      <formula>LEN(TRIM(G22))=0</formula>
    </cfRule>
  </conditionalFormatting>
  <conditionalFormatting sqref="F21">
    <cfRule type="expression" dxfId="5999" priority="8166">
      <formula>AND($D21="MIN",$F21&lt;&gt;"")</formula>
    </cfRule>
    <cfRule type="expression" dxfId="5998" priority="8167">
      <formula>AND($D21="MIN",$F21="")</formula>
    </cfRule>
    <cfRule type="containsBlanks" dxfId="5997" priority="8168">
      <formula>LEN(TRIM(F21))=0</formula>
    </cfRule>
  </conditionalFormatting>
  <conditionalFormatting sqref="G21">
    <cfRule type="expression" dxfId="5996" priority="8163">
      <formula>AND(OR($D21="GD&amp;T",$D21="MAX"),$G21&lt;&gt;"")</formula>
    </cfRule>
    <cfRule type="expression" dxfId="5995" priority="8164">
      <formula>AND(OR($D21="GD&amp;T",$D21="MAX"),$G21="")</formula>
    </cfRule>
    <cfRule type="containsBlanks" dxfId="5994" priority="8165">
      <formula>LEN(TRIM(G21))=0</formula>
    </cfRule>
  </conditionalFormatting>
  <conditionalFormatting sqref="F21">
    <cfRule type="expression" dxfId="5993" priority="8160">
      <formula>AND($D21="MIN",$F21&lt;&gt;"")</formula>
    </cfRule>
    <cfRule type="expression" dxfId="5992" priority="8161">
      <formula>AND($D21="MIN",$F21="")</formula>
    </cfRule>
    <cfRule type="containsBlanks" dxfId="5991" priority="8162">
      <formula>LEN(TRIM(F21))=0</formula>
    </cfRule>
  </conditionalFormatting>
  <conditionalFormatting sqref="G21">
    <cfRule type="expression" dxfId="5990" priority="8157">
      <formula>AND(OR($D21="GD&amp;T",$D21="MAX"),$G21&lt;&gt;"")</formula>
    </cfRule>
    <cfRule type="expression" dxfId="5989" priority="8158">
      <formula>AND(OR($D21="GD&amp;T",$D21="MAX"),$G21="")</formula>
    </cfRule>
    <cfRule type="containsBlanks" dxfId="5988" priority="8159">
      <formula>LEN(TRIM(G21))=0</formula>
    </cfRule>
  </conditionalFormatting>
  <conditionalFormatting sqref="F22">
    <cfRule type="expression" dxfId="5987" priority="8154">
      <formula>AND($D22="MIN",$F22&lt;&gt;"")</formula>
    </cfRule>
    <cfRule type="expression" dxfId="5986" priority="8155">
      <formula>AND($D22="MIN",$F22="")</formula>
    </cfRule>
    <cfRule type="containsBlanks" dxfId="5985" priority="8156">
      <formula>LEN(TRIM(F22))=0</formula>
    </cfRule>
  </conditionalFormatting>
  <conditionalFormatting sqref="G22">
    <cfRule type="expression" dxfId="5984" priority="8151">
      <formula>AND(OR($D22="GD&amp;T",$D22="MAX"),$G22&lt;&gt;"")</formula>
    </cfRule>
    <cfRule type="expression" dxfId="5983" priority="8152">
      <formula>AND(OR($D22="GD&amp;T",$D22="MAX"),$G22="")</formula>
    </cfRule>
    <cfRule type="containsBlanks" dxfId="5982" priority="8153">
      <formula>LEN(TRIM(G22))=0</formula>
    </cfRule>
  </conditionalFormatting>
  <conditionalFormatting sqref="F22">
    <cfRule type="expression" dxfId="5981" priority="8148">
      <formula>AND($D22="MIN",$F22&lt;&gt;"")</formula>
    </cfRule>
    <cfRule type="expression" dxfId="5980" priority="8149">
      <formula>AND($D22="MIN",$F22="")</formula>
    </cfRule>
    <cfRule type="containsBlanks" dxfId="5979" priority="8150">
      <formula>LEN(TRIM(F22))=0</formula>
    </cfRule>
  </conditionalFormatting>
  <conditionalFormatting sqref="G22">
    <cfRule type="expression" dxfId="5978" priority="8145">
      <formula>AND(OR($D22="GD&amp;T",$D22="MAX"),$G22&lt;&gt;"")</formula>
    </cfRule>
    <cfRule type="expression" dxfId="5977" priority="8146">
      <formula>AND(OR($D22="GD&amp;T",$D22="MAX"),$G22="")</formula>
    </cfRule>
    <cfRule type="containsBlanks" dxfId="5976" priority="8147">
      <formula>LEN(TRIM(G22))=0</formula>
    </cfRule>
  </conditionalFormatting>
  <conditionalFormatting sqref="F21">
    <cfRule type="expression" dxfId="5975" priority="8142">
      <formula>AND($D21="MIN",$F21&lt;&gt;"")</formula>
    </cfRule>
    <cfRule type="expression" dxfId="5974" priority="8143">
      <formula>AND($D21="MIN",$F21="")</formula>
    </cfRule>
    <cfRule type="containsBlanks" dxfId="5973" priority="8144">
      <formula>LEN(TRIM(F21))=0</formula>
    </cfRule>
  </conditionalFormatting>
  <conditionalFormatting sqref="G21">
    <cfRule type="expression" dxfId="5972" priority="8139">
      <formula>AND(OR($D21="GD&amp;T",$D21="MAX"),$G21&lt;&gt;"")</formula>
    </cfRule>
    <cfRule type="expression" dxfId="5971" priority="8140">
      <formula>AND(OR($D21="GD&amp;T",$D21="MAX"),$G21="")</formula>
    </cfRule>
    <cfRule type="containsBlanks" dxfId="5970" priority="8141">
      <formula>LEN(TRIM(G21))=0</formula>
    </cfRule>
  </conditionalFormatting>
  <conditionalFormatting sqref="F21">
    <cfRule type="expression" dxfId="5969" priority="8136">
      <formula>AND($D21="MIN",$F21&lt;&gt;"")</formula>
    </cfRule>
    <cfRule type="expression" dxfId="5968" priority="8137">
      <formula>AND($D21="MIN",$F21="")</formula>
    </cfRule>
    <cfRule type="containsBlanks" dxfId="5967" priority="8138">
      <formula>LEN(TRIM(F21))=0</formula>
    </cfRule>
  </conditionalFormatting>
  <conditionalFormatting sqref="G21">
    <cfRule type="expression" dxfId="5966" priority="8133">
      <formula>AND(OR($D21="GD&amp;T",$D21="MAX"),$G21&lt;&gt;"")</formula>
    </cfRule>
    <cfRule type="expression" dxfId="5965" priority="8134">
      <formula>AND(OR($D21="GD&amp;T",$D21="MAX"),$G21="")</formula>
    </cfRule>
    <cfRule type="containsBlanks" dxfId="5964" priority="8135">
      <formula>LEN(TRIM(G21))=0</formula>
    </cfRule>
  </conditionalFormatting>
  <conditionalFormatting sqref="F21">
    <cfRule type="expression" dxfId="5963" priority="8130">
      <formula>AND($D21="MIN",$F21&lt;&gt;"")</formula>
    </cfRule>
    <cfRule type="expression" dxfId="5962" priority="8131">
      <formula>AND($D21="MIN",$F21="")</formula>
    </cfRule>
    <cfRule type="containsBlanks" dxfId="5961" priority="8132">
      <formula>LEN(TRIM(F21))=0</formula>
    </cfRule>
  </conditionalFormatting>
  <conditionalFormatting sqref="G21:G22">
    <cfRule type="expression" dxfId="5960" priority="8127">
      <formula>AND(OR($D21="GD&amp;T",$D21="MAX"),$G21&lt;&gt;"")</formula>
    </cfRule>
    <cfRule type="expression" dxfId="5959" priority="8128">
      <formula>AND(OR($D21="GD&amp;T",$D21="MAX"),$G21="")</formula>
    </cfRule>
    <cfRule type="containsBlanks" dxfId="5958" priority="8129">
      <formula>LEN(TRIM(G21))=0</formula>
    </cfRule>
  </conditionalFormatting>
  <conditionalFormatting sqref="F21">
    <cfRule type="expression" dxfId="5957" priority="8124">
      <formula>AND($D21="MIN",$F21&lt;&gt;"")</formula>
    </cfRule>
    <cfRule type="expression" dxfId="5956" priority="8125">
      <formula>AND($D21="MIN",$F21="")</formula>
    </cfRule>
    <cfRule type="containsBlanks" dxfId="5955" priority="8126">
      <formula>LEN(TRIM(F21))=0</formula>
    </cfRule>
  </conditionalFormatting>
  <conditionalFormatting sqref="G21:G22">
    <cfRule type="expression" dxfId="5954" priority="8121">
      <formula>AND(OR($D21="GD&amp;T",$D21="MAX"),$G21&lt;&gt;"")</formula>
    </cfRule>
    <cfRule type="expression" dxfId="5953" priority="8122">
      <formula>AND(OR($D21="GD&amp;T",$D21="MAX"),$G21="")</formula>
    </cfRule>
    <cfRule type="containsBlanks" dxfId="5952" priority="8123">
      <formula>LEN(TRIM(G21))=0</formula>
    </cfRule>
  </conditionalFormatting>
  <conditionalFormatting sqref="F21">
    <cfRule type="expression" dxfId="5951" priority="8118">
      <formula>AND($D21="MIN",$F21&lt;&gt;"")</formula>
    </cfRule>
    <cfRule type="expression" dxfId="5950" priority="8119">
      <formula>AND($D21="MIN",$F21="")</formula>
    </cfRule>
    <cfRule type="containsBlanks" dxfId="5949" priority="8120">
      <formula>LEN(TRIM(F21))=0</formula>
    </cfRule>
  </conditionalFormatting>
  <conditionalFormatting sqref="G21:G22">
    <cfRule type="expression" dxfId="5948" priority="8115">
      <formula>AND(OR($D21="GD&amp;T",$D21="MAX"),$G21&lt;&gt;"")</formula>
    </cfRule>
    <cfRule type="expression" dxfId="5947" priority="8116">
      <formula>AND(OR($D21="GD&amp;T",$D21="MAX"),$G21="")</formula>
    </cfRule>
    <cfRule type="containsBlanks" dxfId="5946" priority="8117">
      <formula>LEN(TRIM(G21))=0</formula>
    </cfRule>
  </conditionalFormatting>
  <conditionalFormatting sqref="F21">
    <cfRule type="expression" dxfId="5945" priority="8112">
      <formula>AND($D21="MIN",$F21&lt;&gt;"")</formula>
    </cfRule>
    <cfRule type="expression" dxfId="5944" priority="8113">
      <formula>AND($D21="MIN",$F21="")</formula>
    </cfRule>
    <cfRule type="containsBlanks" dxfId="5943" priority="8114">
      <formula>LEN(TRIM(F21))=0</formula>
    </cfRule>
  </conditionalFormatting>
  <conditionalFormatting sqref="G21:G22">
    <cfRule type="expression" dxfId="5942" priority="8109">
      <formula>AND(OR($D21="GD&amp;T",$D21="MAX"),$G21&lt;&gt;"")</formula>
    </cfRule>
    <cfRule type="expression" dxfId="5941" priority="8110">
      <formula>AND(OR($D21="GD&amp;T",$D21="MAX"),$G21="")</formula>
    </cfRule>
    <cfRule type="containsBlanks" dxfId="5940" priority="8111">
      <formula>LEN(TRIM(G21))=0</formula>
    </cfRule>
  </conditionalFormatting>
  <conditionalFormatting sqref="F21">
    <cfRule type="expression" dxfId="5939" priority="8106">
      <formula>AND($D21="MIN",$F21&lt;&gt;"")</formula>
    </cfRule>
    <cfRule type="expression" dxfId="5938" priority="8107">
      <formula>AND($D21="MIN",$F21="")</formula>
    </cfRule>
    <cfRule type="containsBlanks" dxfId="5937" priority="8108">
      <formula>LEN(TRIM(F21))=0</formula>
    </cfRule>
  </conditionalFormatting>
  <conditionalFormatting sqref="G21:G22">
    <cfRule type="expression" dxfId="5936" priority="8103">
      <formula>AND(OR($D21="GD&amp;T",$D21="MAX"),$G21&lt;&gt;"")</formula>
    </cfRule>
    <cfRule type="expression" dxfId="5935" priority="8104">
      <formula>AND(OR($D21="GD&amp;T",$D21="MAX"),$G21="")</formula>
    </cfRule>
    <cfRule type="containsBlanks" dxfId="5934" priority="8105">
      <formula>LEN(TRIM(G21))=0</formula>
    </cfRule>
  </conditionalFormatting>
  <conditionalFormatting sqref="F22">
    <cfRule type="expression" dxfId="5933" priority="8100">
      <formula>AND($D22="MIN",$F22&lt;&gt;"")</formula>
    </cfRule>
    <cfRule type="expression" dxfId="5932" priority="8101">
      <formula>AND($D22="MIN",$F22="")</formula>
    </cfRule>
    <cfRule type="containsBlanks" dxfId="5931" priority="8102">
      <formula>LEN(TRIM(F22))=0</formula>
    </cfRule>
  </conditionalFormatting>
  <conditionalFormatting sqref="F22">
    <cfRule type="expression" dxfId="5930" priority="8097">
      <formula>AND($D22="MIN",$F22&lt;&gt;"")</formula>
    </cfRule>
    <cfRule type="expression" dxfId="5929" priority="8098">
      <formula>AND($D22="MIN",$F22="")</formula>
    </cfRule>
    <cfRule type="containsBlanks" dxfId="5928" priority="8099">
      <formula>LEN(TRIM(F22))=0</formula>
    </cfRule>
  </conditionalFormatting>
  <conditionalFormatting sqref="F22">
    <cfRule type="expression" dxfId="5927" priority="8094">
      <formula>AND($D22="MIN",$F22&lt;&gt;"")</formula>
    </cfRule>
    <cfRule type="expression" dxfId="5926" priority="8095">
      <formula>AND($D22="MIN",$F22="")</formula>
    </cfRule>
    <cfRule type="containsBlanks" dxfId="5925" priority="8096">
      <formula>LEN(TRIM(F22))=0</formula>
    </cfRule>
  </conditionalFormatting>
  <conditionalFormatting sqref="F22">
    <cfRule type="expression" dxfId="5924" priority="8091">
      <formula>AND($D22="MIN",$F22&lt;&gt;"")</formula>
    </cfRule>
    <cfRule type="expression" dxfId="5923" priority="8092">
      <formula>AND($D22="MIN",$F22="")</formula>
    </cfRule>
    <cfRule type="containsBlanks" dxfId="5922" priority="8093">
      <formula>LEN(TRIM(F22))=0</formula>
    </cfRule>
  </conditionalFormatting>
  <conditionalFormatting sqref="F22">
    <cfRule type="expression" dxfId="5921" priority="8088">
      <formula>AND($D22="MIN",$F22&lt;&gt;"")</formula>
    </cfRule>
    <cfRule type="expression" dxfId="5920" priority="8089">
      <formula>AND($D22="MIN",$F22="")</formula>
    </cfRule>
    <cfRule type="containsBlanks" dxfId="5919" priority="8090">
      <formula>LEN(TRIM(F22))=0</formula>
    </cfRule>
  </conditionalFormatting>
  <conditionalFormatting sqref="F23">
    <cfRule type="expression" dxfId="5918" priority="8085">
      <formula>AND($D23="MIN",$F23&lt;&gt;"")</formula>
    </cfRule>
    <cfRule type="expression" dxfId="5917" priority="8086">
      <formula>AND($D23="MIN",$F23="")</formula>
    </cfRule>
    <cfRule type="containsBlanks" dxfId="5916" priority="8087">
      <formula>LEN(TRIM(F23))=0</formula>
    </cfRule>
  </conditionalFormatting>
  <conditionalFormatting sqref="G23">
    <cfRule type="expression" dxfId="5915" priority="8082">
      <formula>AND(OR($D23="GD&amp;T",$D23="MAX"),$G23&lt;&gt;"")</formula>
    </cfRule>
    <cfRule type="expression" dxfId="5914" priority="8083">
      <formula>AND(OR($D23="GD&amp;T",$D23="MAX"),$G23="")</formula>
    </cfRule>
    <cfRule type="containsBlanks" dxfId="5913" priority="8084">
      <formula>LEN(TRIM(G23))=0</formula>
    </cfRule>
  </conditionalFormatting>
  <conditionalFormatting sqref="F23">
    <cfRule type="expression" dxfId="5912" priority="8079">
      <formula>AND($D23="MIN",$F23&lt;&gt;"")</formula>
    </cfRule>
    <cfRule type="expression" dxfId="5911" priority="8080">
      <formula>AND($D23="MIN",$F23="")</formula>
    </cfRule>
    <cfRule type="containsBlanks" dxfId="5910" priority="8081">
      <formula>LEN(TRIM(F23))=0</formula>
    </cfRule>
  </conditionalFormatting>
  <conditionalFormatting sqref="G23">
    <cfRule type="expression" dxfId="5909" priority="8076">
      <formula>AND(OR($D23="GD&amp;T",$D23="MAX"),$G23&lt;&gt;"")</formula>
    </cfRule>
    <cfRule type="expression" dxfId="5908" priority="8077">
      <formula>AND(OR($D23="GD&amp;T",$D23="MAX"),$G23="")</formula>
    </cfRule>
    <cfRule type="containsBlanks" dxfId="5907" priority="8078">
      <formula>LEN(TRIM(G23))=0</formula>
    </cfRule>
  </conditionalFormatting>
  <conditionalFormatting sqref="F23">
    <cfRule type="expression" dxfId="5906" priority="8073">
      <formula>AND($D23="MIN",$F23&lt;&gt;"")</formula>
    </cfRule>
    <cfRule type="expression" dxfId="5905" priority="8074">
      <formula>AND($D23="MIN",$F23="")</formula>
    </cfRule>
    <cfRule type="containsBlanks" dxfId="5904" priority="8075">
      <formula>LEN(TRIM(F23))=0</formula>
    </cfRule>
  </conditionalFormatting>
  <conditionalFormatting sqref="G23">
    <cfRule type="expression" dxfId="5903" priority="8070">
      <formula>AND(OR($D23="GD&amp;T",$D23="MAX"),$G23&lt;&gt;"")</formula>
    </cfRule>
    <cfRule type="expression" dxfId="5902" priority="8071">
      <formula>AND(OR($D23="GD&amp;T",$D23="MAX"),$G23="")</formula>
    </cfRule>
    <cfRule type="containsBlanks" dxfId="5901" priority="8072">
      <formula>LEN(TRIM(G23))=0</formula>
    </cfRule>
  </conditionalFormatting>
  <conditionalFormatting sqref="F23">
    <cfRule type="expression" dxfId="5900" priority="8067">
      <formula>AND($D23="MIN",$F23&lt;&gt;"")</formula>
    </cfRule>
    <cfRule type="expression" dxfId="5899" priority="8068">
      <formula>AND($D23="MIN",$F23="")</formula>
    </cfRule>
    <cfRule type="containsBlanks" dxfId="5898" priority="8069">
      <formula>LEN(TRIM(F23))=0</formula>
    </cfRule>
  </conditionalFormatting>
  <conditionalFormatting sqref="G23">
    <cfRule type="expression" dxfId="5897" priority="8064">
      <formula>AND(OR($D23="GD&amp;T",$D23="MAX"),$G23&lt;&gt;"")</formula>
    </cfRule>
    <cfRule type="expression" dxfId="5896" priority="8065">
      <formula>AND(OR($D23="GD&amp;T",$D23="MAX"),$G23="")</formula>
    </cfRule>
    <cfRule type="containsBlanks" dxfId="5895" priority="8066">
      <formula>LEN(TRIM(G23))=0</formula>
    </cfRule>
  </conditionalFormatting>
  <conditionalFormatting sqref="F24">
    <cfRule type="expression" dxfId="5894" priority="8061">
      <formula>AND($D24="MIN",$F24&lt;&gt;"")</formula>
    </cfRule>
    <cfRule type="expression" dxfId="5893" priority="8062">
      <formula>AND($D24="MIN",$F24="")</formula>
    </cfRule>
    <cfRule type="containsBlanks" dxfId="5892" priority="8063">
      <formula>LEN(TRIM(F24))=0</formula>
    </cfRule>
  </conditionalFormatting>
  <conditionalFormatting sqref="G24">
    <cfRule type="expression" dxfId="5891" priority="8058">
      <formula>AND(OR($D24="GD&amp;T",$D24="MAX"),$G24&lt;&gt;"")</formula>
    </cfRule>
    <cfRule type="expression" dxfId="5890" priority="8059">
      <formula>AND(OR($D24="GD&amp;T",$D24="MAX"),$G24="")</formula>
    </cfRule>
    <cfRule type="containsBlanks" dxfId="5889" priority="8060">
      <formula>LEN(TRIM(G24))=0</formula>
    </cfRule>
  </conditionalFormatting>
  <conditionalFormatting sqref="F24">
    <cfRule type="expression" dxfId="5888" priority="8055">
      <formula>AND($D24="MIN",$F24&lt;&gt;"")</formula>
    </cfRule>
    <cfRule type="expression" dxfId="5887" priority="8056">
      <formula>AND($D24="MIN",$F24="")</formula>
    </cfRule>
    <cfRule type="containsBlanks" dxfId="5886" priority="8057">
      <formula>LEN(TRIM(F24))=0</formula>
    </cfRule>
  </conditionalFormatting>
  <conditionalFormatting sqref="G24">
    <cfRule type="expression" dxfId="5885" priority="8052">
      <formula>AND(OR($D24="GD&amp;T",$D24="MAX"),$G24&lt;&gt;"")</formula>
    </cfRule>
    <cfRule type="expression" dxfId="5884" priority="8053">
      <formula>AND(OR($D24="GD&amp;T",$D24="MAX"),$G24="")</formula>
    </cfRule>
    <cfRule type="containsBlanks" dxfId="5883" priority="8054">
      <formula>LEN(TRIM(G24))=0</formula>
    </cfRule>
  </conditionalFormatting>
  <conditionalFormatting sqref="F23">
    <cfRule type="expression" dxfId="5882" priority="8049">
      <formula>AND($D23="MIN",$F23&lt;&gt;"")</formula>
    </cfRule>
    <cfRule type="expression" dxfId="5881" priority="8050">
      <formula>AND($D23="MIN",$F23="")</formula>
    </cfRule>
    <cfRule type="containsBlanks" dxfId="5880" priority="8051">
      <formula>LEN(TRIM(F23))=0</formula>
    </cfRule>
  </conditionalFormatting>
  <conditionalFormatting sqref="G23">
    <cfRule type="expression" dxfId="5879" priority="8046">
      <formula>AND(OR($D23="GD&amp;T",$D23="MAX"),$G23&lt;&gt;"")</formula>
    </cfRule>
    <cfRule type="expression" dxfId="5878" priority="8047">
      <formula>AND(OR($D23="GD&amp;T",$D23="MAX"),$G23="")</formula>
    </cfRule>
    <cfRule type="containsBlanks" dxfId="5877" priority="8048">
      <formula>LEN(TRIM(G23))=0</formula>
    </cfRule>
  </conditionalFormatting>
  <conditionalFormatting sqref="F23">
    <cfRule type="expression" dxfId="5876" priority="8043">
      <formula>AND($D23="MIN",$F23&lt;&gt;"")</formula>
    </cfRule>
    <cfRule type="expression" dxfId="5875" priority="8044">
      <formula>AND($D23="MIN",$F23="")</formula>
    </cfRule>
    <cfRule type="containsBlanks" dxfId="5874" priority="8045">
      <formula>LEN(TRIM(F23))=0</formula>
    </cfRule>
  </conditionalFormatting>
  <conditionalFormatting sqref="G23">
    <cfRule type="expression" dxfId="5873" priority="8040">
      <formula>AND(OR($D23="GD&amp;T",$D23="MAX"),$G23&lt;&gt;"")</formula>
    </cfRule>
    <cfRule type="expression" dxfId="5872" priority="8041">
      <formula>AND(OR($D23="GD&amp;T",$D23="MAX"),$G23="")</formula>
    </cfRule>
    <cfRule type="containsBlanks" dxfId="5871" priority="8042">
      <formula>LEN(TRIM(G23))=0</formula>
    </cfRule>
  </conditionalFormatting>
  <conditionalFormatting sqref="F24">
    <cfRule type="expression" dxfId="5870" priority="8037">
      <formula>AND($D24="MIN",$F24&lt;&gt;"")</formula>
    </cfRule>
    <cfRule type="expression" dxfId="5869" priority="8038">
      <formula>AND($D24="MIN",$F24="")</formula>
    </cfRule>
    <cfRule type="containsBlanks" dxfId="5868" priority="8039">
      <formula>LEN(TRIM(F24))=0</formula>
    </cfRule>
  </conditionalFormatting>
  <conditionalFormatting sqref="G24">
    <cfRule type="expression" dxfId="5867" priority="8034">
      <formula>AND(OR($D24="GD&amp;T",$D24="MAX"),$G24&lt;&gt;"")</formula>
    </cfRule>
    <cfRule type="expression" dxfId="5866" priority="8035">
      <formula>AND(OR($D24="GD&amp;T",$D24="MAX"),$G24="")</formula>
    </cfRule>
    <cfRule type="containsBlanks" dxfId="5865" priority="8036">
      <formula>LEN(TRIM(G24))=0</formula>
    </cfRule>
  </conditionalFormatting>
  <conditionalFormatting sqref="F24">
    <cfRule type="expression" dxfId="5864" priority="8031">
      <formula>AND($D24="MIN",$F24&lt;&gt;"")</formula>
    </cfRule>
    <cfRule type="expression" dxfId="5863" priority="8032">
      <formula>AND($D24="MIN",$F24="")</formula>
    </cfRule>
    <cfRule type="containsBlanks" dxfId="5862" priority="8033">
      <formula>LEN(TRIM(F24))=0</formula>
    </cfRule>
  </conditionalFormatting>
  <conditionalFormatting sqref="G24">
    <cfRule type="expression" dxfId="5861" priority="8028">
      <formula>AND(OR($D24="GD&amp;T",$D24="MAX"),$G24&lt;&gt;"")</formula>
    </cfRule>
    <cfRule type="expression" dxfId="5860" priority="8029">
      <formula>AND(OR($D24="GD&amp;T",$D24="MAX"),$G24="")</formula>
    </cfRule>
    <cfRule type="containsBlanks" dxfId="5859" priority="8030">
      <formula>LEN(TRIM(G24))=0</formula>
    </cfRule>
  </conditionalFormatting>
  <conditionalFormatting sqref="F23">
    <cfRule type="expression" dxfId="5858" priority="8025">
      <formula>AND($D23="MIN",$F23&lt;&gt;"")</formula>
    </cfRule>
    <cfRule type="expression" dxfId="5857" priority="8026">
      <formula>AND($D23="MIN",$F23="")</formula>
    </cfRule>
    <cfRule type="containsBlanks" dxfId="5856" priority="8027">
      <formula>LEN(TRIM(F23))=0</formula>
    </cfRule>
  </conditionalFormatting>
  <conditionalFormatting sqref="G23">
    <cfRule type="expression" dxfId="5855" priority="8022">
      <formula>AND(OR($D23="GD&amp;T",$D23="MAX"),$G23&lt;&gt;"")</formula>
    </cfRule>
    <cfRule type="expression" dxfId="5854" priority="8023">
      <formula>AND(OR($D23="GD&amp;T",$D23="MAX"),$G23="")</formula>
    </cfRule>
    <cfRule type="containsBlanks" dxfId="5853" priority="8024">
      <formula>LEN(TRIM(G23))=0</formula>
    </cfRule>
  </conditionalFormatting>
  <conditionalFormatting sqref="F23">
    <cfRule type="expression" dxfId="5852" priority="8019">
      <formula>AND($D23="MIN",$F23&lt;&gt;"")</formula>
    </cfRule>
    <cfRule type="expression" dxfId="5851" priority="8020">
      <formula>AND($D23="MIN",$F23="")</formula>
    </cfRule>
    <cfRule type="containsBlanks" dxfId="5850" priority="8021">
      <formula>LEN(TRIM(F23))=0</formula>
    </cfRule>
  </conditionalFormatting>
  <conditionalFormatting sqref="G23">
    <cfRule type="expression" dxfId="5849" priority="8016">
      <formula>AND(OR($D23="GD&amp;T",$D23="MAX"),$G23&lt;&gt;"")</formula>
    </cfRule>
    <cfRule type="expression" dxfId="5848" priority="8017">
      <formula>AND(OR($D23="GD&amp;T",$D23="MAX"),$G23="")</formula>
    </cfRule>
    <cfRule type="containsBlanks" dxfId="5847" priority="8018">
      <formula>LEN(TRIM(G23))=0</formula>
    </cfRule>
  </conditionalFormatting>
  <conditionalFormatting sqref="F23">
    <cfRule type="expression" dxfId="5846" priority="8013">
      <formula>AND($D23="MIN",$F23&lt;&gt;"")</formula>
    </cfRule>
    <cfRule type="expression" dxfId="5845" priority="8014">
      <formula>AND($D23="MIN",$F23="")</formula>
    </cfRule>
    <cfRule type="containsBlanks" dxfId="5844" priority="8015">
      <formula>LEN(TRIM(F23))=0</formula>
    </cfRule>
  </conditionalFormatting>
  <conditionalFormatting sqref="G23:G24">
    <cfRule type="expression" dxfId="5843" priority="8010">
      <formula>AND(OR($D23="GD&amp;T",$D23="MAX"),$G23&lt;&gt;"")</formula>
    </cfRule>
    <cfRule type="expression" dxfId="5842" priority="8011">
      <formula>AND(OR($D23="GD&amp;T",$D23="MAX"),$G23="")</formula>
    </cfRule>
    <cfRule type="containsBlanks" dxfId="5841" priority="8012">
      <formula>LEN(TRIM(G23))=0</formula>
    </cfRule>
  </conditionalFormatting>
  <conditionalFormatting sqref="F23">
    <cfRule type="expression" dxfId="5840" priority="8007">
      <formula>AND($D23="MIN",$F23&lt;&gt;"")</formula>
    </cfRule>
    <cfRule type="expression" dxfId="5839" priority="8008">
      <formula>AND($D23="MIN",$F23="")</formula>
    </cfRule>
    <cfRule type="containsBlanks" dxfId="5838" priority="8009">
      <formula>LEN(TRIM(F23))=0</formula>
    </cfRule>
  </conditionalFormatting>
  <conditionalFormatting sqref="G23:G24">
    <cfRule type="expression" dxfId="5837" priority="8004">
      <formula>AND(OR($D23="GD&amp;T",$D23="MAX"),$G23&lt;&gt;"")</formula>
    </cfRule>
    <cfRule type="expression" dxfId="5836" priority="8005">
      <formula>AND(OR($D23="GD&amp;T",$D23="MAX"),$G23="")</formula>
    </cfRule>
    <cfRule type="containsBlanks" dxfId="5835" priority="8006">
      <formula>LEN(TRIM(G23))=0</formula>
    </cfRule>
  </conditionalFormatting>
  <conditionalFormatting sqref="F23">
    <cfRule type="expression" dxfId="5834" priority="8001">
      <formula>AND($D23="MIN",$F23&lt;&gt;"")</formula>
    </cfRule>
    <cfRule type="expression" dxfId="5833" priority="8002">
      <formula>AND($D23="MIN",$F23="")</formula>
    </cfRule>
    <cfRule type="containsBlanks" dxfId="5832" priority="8003">
      <formula>LEN(TRIM(F23))=0</formula>
    </cfRule>
  </conditionalFormatting>
  <conditionalFormatting sqref="G23:G24">
    <cfRule type="expression" dxfId="5831" priority="7998">
      <formula>AND(OR($D23="GD&amp;T",$D23="MAX"),$G23&lt;&gt;"")</formula>
    </cfRule>
    <cfRule type="expression" dxfId="5830" priority="7999">
      <formula>AND(OR($D23="GD&amp;T",$D23="MAX"),$G23="")</formula>
    </cfRule>
    <cfRule type="containsBlanks" dxfId="5829" priority="8000">
      <formula>LEN(TRIM(G23))=0</formula>
    </cfRule>
  </conditionalFormatting>
  <conditionalFormatting sqref="F23">
    <cfRule type="expression" dxfId="5828" priority="7995">
      <formula>AND($D23="MIN",$F23&lt;&gt;"")</formula>
    </cfRule>
    <cfRule type="expression" dxfId="5827" priority="7996">
      <formula>AND($D23="MIN",$F23="")</formula>
    </cfRule>
    <cfRule type="containsBlanks" dxfId="5826" priority="7997">
      <formula>LEN(TRIM(F23))=0</formula>
    </cfRule>
  </conditionalFormatting>
  <conditionalFormatting sqref="G23:G24">
    <cfRule type="expression" dxfId="5825" priority="7992">
      <formula>AND(OR($D23="GD&amp;T",$D23="MAX"),$G23&lt;&gt;"")</formula>
    </cfRule>
    <cfRule type="expression" dxfId="5824" priority="7993">
      <formula>AND(OR($D23="GD&amp;T",$D23="MAX"),$G23="")</formula>
    </cfRule>
    <cfRule type="containsBlanks" dxfId="5823" priority="7994">
      <formula>LEN(TRIM(G23))=0</formula>
    </cfRule>
  </conditionalFormatting>
  <conditionalFormatting sqref="F23">
    <cfRule type="expression" dxfId="5822" priority="7989">
      <formula>AND($D23="MIN",$F23&lt;&gt;"")</formula>
    </cfRule>
    <cfRule type="expression" dxfId="5821" priority="7990">
      <formula>AND($D23="MIN",$F23="")</formula>
    </cfRule>
    <cfRule type="containsBlanks" dxfId="5820" priority="7991">
      <formula>LEN(TRIM(F23))=0</formula>
    </cfRule>
  </conditionalFormatting>
  <conditionalFormatting sqref="G23:G24">
    <cfRule type="expression" dxfId="5819" priority="7986">
      <formula>AND(OR($D23="GD&amp;T",$D23="MAX"),$G23&lt;&gt;"")</formula>
    </cfRule>
    <cfRule type="expression" dxfId="5818" priority="7987">
      <formula>AND(OR($D23="GD&amp;T",$D23="MAX"),$G23="")</formula>
    </cfRule>
    <cfRule type="containsBlanks" dxfId="5817" priority="7988">
      <formula>LEN(TRIM(G23))=0</formula>
    </cfRule>
  </conditionalFormatting>
  <conditionalFormatting sqref="F24">
    <cfRule type="expression" dxfId="5816" priority="7983">
      <formula>AND($D24="MIN",$F24&lt;&gt;"")</formula>
    </cfRule>
    <cfRule type="expression" dxfId="5815" priority="7984">
      <formula>AND($D24="MIN",$F24="")</formula>
    </cfRule>
    <cfRule type="containsBlanks" dxfId="5814" priority="7985">
      <formula>LEN(TRIM(F24))=0</formula>
    </cfRule>
  </conditionalFormatting>
  <conditionalFormatting sqref="F24">
    <cfRule type="expression" dxfId="5813" priority="7980">
      <formula>AND($D24="MIN",$F24&lt;&gt;"")</formula>
    </cfRule>
    <cfRule type="expression" dxfId="5812" priority="7981">
      <formula>AND($D24="MIN",$F24="")</formula>
    </cfRule>
    <cfRule type="containsBlanks" dxfId="5811" priority="7982">
      <formula>LEN(TRIM(F24))=0</formula>
    </cfRule>
  </conditionalFormatting>
  <conditionalFormatting sqref="F24">
    <cfRule type="expression" dxfId="5810" priority="7977">
      <formula>AND($D24="MIN",$F24&lt;&gt;"")</formula>
    </cfRule>
    <cfRule type="expression" dxfId="5809" priority="7978">
      <formula>AND($D24="MIN",$F24="")</formula>
    </cfRule>
    <cfRule type="containsBlanks" dxfId="5808" priority="7979">
      <formula>LEN(TRIM(F24))=0</formula>
    </cfRule>
  </conditionalFormatting>
  <conditionalFormatting sqref="F24">
    <cfRule type="expression" dxfId="5807" priority="7974">
      <formula>AND($D24="MIN",$F24&lt;&gt;"")</formula>
    </cfRule>
    <cfRule type="expression" dxfId="5806" priority="7975">
      <formula>AND($D24="MIN",$F24="")</formula>
    </cfRule>
    <cfRule type="containsBlanks" dxfId="5805" priority="7976">
      <formula>LEN(TRIM(F24))=0</formula>
    </cfRule>
  </conditionalFormatting>
  <conditionalFormatting sqref="F24">
    <cfRule type="expression" dxfId="5804" priority="7971">
      <formula>AND($D24="MIN",$F24&lt;&gt;"")</formula>
    </cfRule>
    <cfRule type="expression" dxfId="5803" priority="7972">
      <formula>AND($D24="MIN",$F24="")</formula>
    </cfRule>
    <cfRule type="containsBlanks" dxfId="5802" priority="7973">
      <formula>LEN(TRIM(F24))=0</formula>
    </cfRule>
  </conditionalFormatting>
  <conditionalFormatting sqref="F25">
    <cfRule type="expression" dxfId="5801" priority="7968">
      <formula>AND($D25="MIN",$F25&lt;&gt;"")</formula>
    </cfRule>
    <cfRule type="expression" dxfId="5800" priority="7969">
      <formula>AND($D25="MIN",$F25="")</formula>
    </cfRule>
    <cfRule type="containsBlanks" dxfId="5799" priority="7970">
      <formula>LEN(TRIM(F25))=0</formula>
    </cfRule>
  </conditionalFormatting>
  <conditionalFormatting sqref="G25">
    <cfRule type="expression" dxfId="5798" priority="7965">
      <formula>AND(OR($D25="GD&amp;T",$D25="MAX"),$G25&lt;&gt;"")</formula>
    </cfRule>
    <cfRule type="expression" dxfId="5797" priority="7966">
      <formula>AND(OR($D25="GD&amp;T",$D25="MAX"),$G25="")</formula>
    </cfRule>
    <cfRule type="containsBlanks" dxfId="5796" priority="7967">
      <formula>LEN(TRIM(G25))=0</formula>
    </cfRule>
  </conditionalFormatting>
  <conditionalFormatting sqref="F25">
    <cfRule type="expression" dxfId="5795" priority="7962">
      <formula>AND($D25="MIN",$F25&lt;&gt;"")</formula>
    </cfRule>
    <cfRule type="expression" dxfId="5794" priority="7963">
      <formula>AND($D25="MIN",$F25="")</formula>
    </cfRule>
    <cfRule type="containsBlanks" dxfId="5793" priority="7964">
      <formula>LEN(TRIM(F25))=0</formula>
    </cfRule>
  </conditionalFormatting>
  <conditionalFormatting sqref="G25">
    <cfRule type="expression" dxfId="5792" priority="7959">
      <formula>AND(OR($D25="GD&amp;T",$D25="MAX"),$G25&lt;&gt;"")</formula>
    </cfRule>
    <cfRule type="expression" dxfId="5791" priority="7960">
      <formula>AND(OR($D25="GD&amp;T",$D25="MAX"),$G25="")</formula>
    </cfRule>
    <cfRule type="containsBlanks" dxfId="5790" priority="7961">
      <formula>LEN(TRIM(G25))=0</formula>
    </cfRule>
  </conditionalFormatting>
  <conditionalFormatting sqref="F25">
    <cfRule type="expression" dxfId="5789" priority="7956">
      <formula>AND($D25="MIN",$F25&lt;&gt;"")</formula>
    </cfRule>
    <cfRule type="expression" dxfId="5788" priority="7957">
      <formula>AND($D25="MIN",$F25="")</formula>
    </cfRule>
    <cfRule type="containsBlanks" dxfId="5787" priority="7958">
      <formula>LEN(TRIM(F25))=0</formula>
    </cfRule>
  </conditionalFormatting>
  <conditionalFormatting sqref="G25">
    <cfRule type="expression" dxfId="5786" priority="7953">
      <formula>AND(OR($D25="GD&amp;T",$D25="MAX"),$G25&lt;&gt;"")</formula>
    </cfRule>
    <cfRule type="expression" dxfId="5785" priority="7954">
      <formula>AND(OR($D25="GD&amp;T",$D25="MAX"),$G25="")</formula>
    </cfRule>
    <cfRule type="containsBlanks" dxfId="5784" priority="7955">
      <formula>LEN(TRIM(G25))=0</formula>
    </cfRule>
  </conditionalFormatting>
  <conditionalFormatting sqref="F25">
    <cfRule type="expression" dxfId="5783" priority="7950">
      <formula>AND($D25="MIN",$F25&lt;&gt;"")</formula>
    </cfRule>
    <cfRule type="expression" dxfId="5782" priority="7951">
      <formula>AND($D25="MIN",$F25="")</formula>
    </cfRule>
    <cfRule type="containsBlanks" dxfId="5781" priority="7952">
      <formula>LEN(TRIM(F25))=0</formula>
    </cfRule>
  </conditionalFormatting>
  <conditionalFormatting sqref="G25">
    <cfRule type="expression" dxfId="5780" priority="7947">
      <formula>AND(OR($D25="GD&amp;T",$D25="MAX"),$G25&lt;&gt;"")</formula>
    </cfRule>
    <cfRule type="expression" dxfId="5779" priority="7948">
      <formula>AND(OR($D25="GD&amp;T",$D25="MAX"),$G25="")</formula>
    </cfRule>
    <cfRule type="containsBlanks" dxfId="5778" priority="7949">
      <formula>LEN(TRIM(G25))=0</formula>
    </cfRule>
  </conditionalFormatting>
  <conditionalFormatting sqref="F26">
    <cfRule type="expression" dxfId="5777" priority="7944">
      <formula>AND($D26="MIN",$F26&lt;&gt;"")</formula>
    </cfRule>
    <cfRule type="expression" dxfId="5776" priority="7945">
      <formula>AND($D26="MIN",$F26="")</formula>
    </cfRule>
    <cfRule type="containsBlanks" dxfId="5775" priority="7946">
      <formula>LEN(TRIM(F26))=0</formula>
    </cfRule>
  </conditionalFormatting>
  <conditionalFormatting sqref="G26">
    <cfRule type="expression" dxfId="5774" priority="7941">
      <formula>AND(OR($D26="GD&amp;T",$D26="MAX"),$G26&lt;&gt;"")</formula>
    </cfRule>
    <cfRule type="expression" dxfId="5773" priority="7942">
      <formula>AND(OR($D26="GD&amp;T",$D26="MAX"),$G26="")</formula>
    </cfRule>
    <cfRule type="containsBlanks" dxfId="5772" priority="7943">
      <formula>LEN(TRIM(G26))=0</formula>
    </cfRule>
  </conditionalFormatting>
  <conditionalFormatting sqref="F26">
    <cfRule type="expression" dxfId="5771" priority="7938">
      <formula>AND($D26="MIN",$F26&lt;&gt;"")</formula>
    </cfRule>
    <cfRule type="expression" dxfId="5770" priority="7939">
      <formula>AND($D26="MIN",$F26="")</formula>
    </cfRule>
    <cfRule type="containsBlanks" dxfId="5769" priority="7940">
      <formula>LEN(TRIM(F26))=0</formula>
    </cfRule>
  </conditionalFormatting>
  <conditionalFormatting sqref="G26">
    <cfRule type="expression" dxfId="5768" priority="7935">
      <formula>AND(OR($D26="GD&amp;T",$D26="MAX"),$G26&lt;&gt;"")</formula>
    </cfRule>
    <cfRule type="expression" dxfId="5767" priority="7936">
      <formula>AND(OR($D26="GD&amp;T",$D26="MAX"),$G26="")</formula>
    </cfRule>
    <cfRule type="containsBlanks" dxfId="5766" priority="7937">
      <formula>LEN(TRIM(G26))=0</formula>
    </cfRule>
  </conditionalFormatting>
  <conditionalFormatting sqref="F25">
    <cfRule type="expression" dxfId="5765" priority="7932">
      <formula>AND($D25="MIN",$F25&lt;&gt;"")</formula>
    </cfRule>
    <cfRule type="expression" dxfId="5764" priority="7933">
      <formula>AND($D25="MIN",$F25="")</formula>
    </cfRule>
    <cfRule type="containsBlanks" dxfId="5763" priority="7934">
      <formula>LEN(TRIM(F25))=0</formula>
    </cfRule>
  </conditionalFormatting>
  <conditionalFormatting sqref="G25">
    <cfRule type="expression" dxfId="5762" priority="7929">
      <formula>AND(OR($D25="GD&amp;T",$D25="MAX"),$G25&lt;&gt;"")</formula>
    </cfRule>
    <cfRule type="expression" dxfId="5761" priority="7930">
      <formula>AND(OR($D25="GD&amp;T",$D25="MAX"),$G25="")</formula>
    </cfRule>
    <cfRule type="containsBlanks" dxfId="5760" priority="7931">
      <formula>LEN(TRIM(G25))=0</formula>
    </cfRule>
  </conditionalFormatting>
  <conditionalFormatting sqref="F25">
    <cfRule type="expression" dxfId="5759" priority="7926">
      <formula>AND($D25="MIN",$F25&lt;&gt;"")</formula>
    </cfRule>
    <cfRule type="expression" dxfId="5758" priority="7927">
      <formula>AND($D25="MIN",$F25="")</formula>
    </cfRule>
    <cfRule type="containsBlanks" dxfId="5757" priority="7928">
      <formula>LEN(TRIM(F25))=0</formula>
    </cfRule>
  </conditionalFormatting>
  <conditionalFormatting sqref="G25">
    <cfRule type="expression" dxfId="5756" priority="7923">
      <formula>AND(OR($D25="GD&amp;T",$D25="MAX"),$G25&lt;&gt;"")</formula>
    </cfRule>
    <cfRule type="expression" dxfId="5755" priority="7924">
      <formula>AND(OR($D25="GD&amp;T",$D25="MAX"),$G25="")</formula>
    </cfRule>
    <cfRule type="containsBlanks" dxfId="5754" priority="7925">
      <formula>LEN(TRIM(G25))=0</formula>
    </cfRule>
  </conditionalFormatting>
  <conditionalFormatting sqref="F26">
    <cfRule type="expression" dxfId="5753" priority="7920">
      <formula>AND($D26="MIN",$F26&lt;&gt;"")</formula>
    </cfRule>
    <cfRule type="expression" dxfId="5752" priority="7921">
      <formula>AND($D26="MIN",$F26="")</formula>
    </cfRule>
    <cfRule type="containsBlanks" dxfId="5751" priority="7922">
      <formula>LEN(TRIM(F26))=0</formula>
    </cfRule>
  </conditionalFormatting>
  <conditionalFormatting sqref="G26">
    <cfRule type="expression" dxfId="5750" priority="7917">
      <formula>AND(OR($D26="GD&amp;T",$D26="MAX"),$G26&lt;&gt;"")</formula>
    </cfRule>
    <cfRule type="expression" dxfId="5749" priority="7918">
      <formula>AND(OR($D26="GD&amp;T",$D26="MAX"),$G26="")</formula>
    </cfRule>
    <cfRule type="containsBlanks" dxfId="5748" priority="7919">
      <formula>LEN(TRIM(G26))=0</formula>
    </cfRule>
  </conditionalFormatting>
  <conditionalFormatting sqref="F26">
    <cfRule type="expression" dxfId="5747" priority="7914">
      <formula>AND($D26="MIN",$F26&lt;&gt;"")</formula>
    </cfRule>
    <cfRule type="expression" dxfId="5746" priority="7915">
      <formula>AND($D26="MIN",$F26="")</formula>
    </cfRule>
    <cfRule type="containsBlanks" dxfId="5745" priority="7916">
      <formula>LEN(TRIM(F26))=0</formula>
    </cfRule>
  </conditionalFormatting>
  <conditionalFormatting sqref="G26">
    <cfRule type="expression" dxfId="5744" priority="7911">
      <formula>AND(OR($D26="GD&amp;T",$D26="MAX"),$G26&lt;&gt;"")</formula>
    </cfRule>
    <cfRule type="expression" dxfId="5743" priority="7912">
      <formula>AND(OR($D26="GD&amp;T",$D26="MAX"),$G26="")</formula>
    </cfRule>
    <cfRule type="containsBlanks" dxfId="5742" priority="7913">
      <formula>LEN(TRIM(G26))=0</formula>
    </cfRule>
  </conditionalFormatting>
  <conditionalFormatting sqref="F25">
    <cfRule type="expression" dxfId="5741" priority="7908">
      <formula>AND($D25="MIN",$F25&lt;&gt;"")</formula>
    </cfRule>
    <cfRule type="expression" dxfId="5740" priority="7909">
      <formula>AND($D25="MIN",$F25="")</formula>
    </cfRule>
    <cfRule type="containsBlanks" dxfId="5739" priority="7910">
      <formula>LEN(TRIM(F25))=0</formula>
    </cfRule>
  </conditionalFormatting>
  <conditionalFormatting sqref="G25">
    <cfRule type="expression" dxfId="5738" priority="7905">
      <formula>AND(OR($D25="GD&amp;T",$D25="MAX"),$G25&lt;&gt;"")</formula>
    </cfRule>
    <cfRule type="expression" dxfId="5737" priority="7906">
      <formula>AND(OR($D25="GD&amp;T",$D25="MAX"),$G25="")</formula>
    </cfRule>
    <cfRule type="containsBlanks" dxfId="5736" priority="7907">
      <formula>LEN(TRIM(G25))=0</formula>
    </cfRule>
  </conditionalFormatting>
  <conditionalFormatting sqref="F25">
    <cfRule type="expression" dxfId="5735" priority="7902">
      <formula>AND($D25="MIN",$F25&lt;&gt;"")</formula>
    </cfRule>
    <cfRule type="expression" dxfId="5734" priority="7903">
      <formula>AND($D25="MIN",$F25="")</formula>
    </cfRule>
    <cfRule type="containsBlanks" dxfId="5733" priority="7904">
      <formula>LEN(TRIM(F25))=0</formula>
    </cfRule>
  </conditionalFormatting>
  <conditionalFormatting sqref="G25">
    <cfRule type="expression" dxfId="5732" priority="7899">
      <formula>AND(OR($D25="GD&amp;T",$D25="MAX"),$G25&lt;&gt;"")</formula>
    </cfRule>
    <cfRule type="expression" dxfId="5731" priority="7900">
      <formula>AND(OR($D25="GD&amp;T",$D25="MAX"),$G25="")</formula>
    </cfRule>
    <cfRule type="containsBlanks" dxfId="5730" priority="7901">
      <formula>LEN(TRIM(G25))=0</formula>
    </cfRule>
  </conditionalFormatting>
  <conditionalFormatting sqref="F25">
    <cfRule type="expression" dxfId="5729" priority="7896">
      <formula>AND($D25="MIN",$F25&lt;&gt;"")</formula>
    </cfRule>
    <cfRule type="expression" dxfId="5728" priority="7897">
      <formula>AND($D25="MIN",$F25="")</formula>
    </cfRule>
    <cfRule type="containsBlanks" dxfId="5727" priority="7898">
      <formula>LEN(TRIM(F25))=0</formula>
    </cfRule>
  </conditionalFormatting>
  <conditionalFormatting sqref="G25:G26">
    <cfRule type="expression" dxfId="5726" priority="7893">
      <formula>AND(OR($D25="GD&amp;T",$D25="MAX"),$G25&lt;&gt;"")</formula>
    </cfRule>
    <cfRule type="expression" dxfId="5725" priority="7894">
      <formula>AND(OR($D25="GD&amp;T",$D25="MAX"),$G25="")</formula>
    </cfRule>
    <cfRule type="containsBlanks" dxfId="5724" priority="7895">
      <formula>LEN(TRIM(G25))=0</formula>
    </cfRule>
  </conditionalFormatting>
  <conditionalFormatting sqref="F25">
    <cfRule type="expression" dxfId="5723" priority="7890">
      <formula>AND($D25="MIN",$F25&lt;&gt;"")</formula>
    </cfRule>
    <cfRule type="expression" dxfId="5722" priority="7891">
      <formula>AND($D25="MIN",$F25="")</formula>
    </cfRule>
    <cfRule type="containsBlanks" dxfId="5721" priority="7892">
      <formula>LEN(TRIM(F25))=0</formula>
    </cfRule>
  </conditionalFormatting>
  <conditionalFormatting sqref="G25:G26">
    <cfRule type="expression" dxfId="5720" priority="7887">
      <formula>AND(OR($D25="GD&amp;T",$D25="MAX"),$G25&lt;&gt;"")</formula>
    </cfRule>
    <cfRule type="expression" dxfId="5719" priority="7888">
      <formula>AND(OR($D25="GD&amp;T",$D25="MAX"),$G25="")</formula>
    </cfRule>
    <cfRule type="containsBlanks" dxfId="5718" priority="7889">
      <formula>LEN(TRIM(G25))=0</formula>
    </cfRule>
  </conditionalFormatting>
  <conditionalFormatting sqref="F25">
    <cfRule type="expression" dxfId="5717" priority="7884">
      <formula>AND($D25="MIN",$F25&lt;&gt;"")</formula>
    </cfRule>
    <cfRule type="expression" dxfId="5716" priority="7885">
      <formula>AND($D25="MIN",$F25="")</formula>
    </cfRule>
    <cfRule type="containsBlanks" dxfId="5715" priority="7886">
      <formula>LEN(TRIM(F25))=0</formula>
    </cfRule>
  </conditionalFormatting>
  <conditionalFormatting sqref="G25:G26">
    <cfRule type="expression" dxfId="5714" priority="7881">
      <formula>AND(OR($D25="GD&amp;T",$D25="MAX"),$G25&lt;&gt;"")</formula>
    </cfRule>
    <cfRule type="expression" dxfId="5713" priority="7882">
      <formula>AND(OR($D25="GD&amp;T",$D25="MAX"),$G25="")</formula>
    </cfRule>
    <cfRule type="containsBlanks" dxfId="5712" priority="7883">
      <formula>LEN(TRIM(G25))=0</formula>
    </cfRule>
  </conditionalFormatting>
  <conditionalFormatting sqref="F25">
    <cfRule type="expression" dxfId="5711" priority="7878">
      <formula>AND($D25="MIN",$F25&lt;&gt;"")</formula>
    </cfRule>
    <cfRule type="expression" dxfId="5710" priority="7879">
      <formula>AND($D25="MIN",$F25="")</formula>
    </cfRule>
    <cfRule type="containsBlanks" dxfId="5709" priority="7880">
      <formula>LEN(TRIM(F25))=0</formula>
    </cfRule>
  </conditionalFormatting>
  <conditionalFormatting sqref="G25:G26">
    <cfRule type="expression" dxfId="5708" priority="7875">
      <formula>AND(OR($D25="GD&amp;T",$D25="MAX"),$G25&lt;&gt;"")</formula>
    </cfRule>
    <cfRule type="expression" dxfId="5707" priority="7876">
      <formula>AND(OR($D25="GD&amp;T",$D25="MAX"),$G25="")</formula>
    </cfRule>
    <cfRule type="containsBlanks" dxfId="5706" priority="7877">
      <formula>LEN(TRIM(G25))=0</formula>
    </cfRule>
  </conditionalFormatting>
  <conditionalFormatting sqref="F25">
    <cfRule type="expression" dxfId="5705" priority="7872">
      <formula>AND($D25="MIN",$F25&lt;&gt;"")</formula>
    </cfRule>
    <cfRule type="expression" dxfId="5704" priority="7873">
      <formula>AND($D25="MIN",$F25="")</formula>
    </cfRule>
    <cfRule type="containsBlanks" dxfId="5703" priority="7874">
      <formula>LEN(TRIM(F25))=0</formula>
    </cfRule>
  </conditionalFormatting>
  <conditionalFormatting sqref="G25:G26">
    <cfRule type="expression" dxfId="5702" priority="7869">
      <formula>AND(OR($D25="GD&amp;T",$D25="MAX"),$G25&lt;&gt;"")</formula>
    </cfRule>
    <cfRule type="expression" dxfId="5701" priority="7870">
      <formula>AND(OR($D25="GD&amp;T",$D25="MAX"),$G25="")</formula>
    </cfRule>
    <cfRule type="containsBlanks" dxfId="5700" priority="7871">
      <formula>LEN(TRIM(G25))=0</formula>
    </cfRule>
  </conditionalFormatting>
  <conditionalFormatting sqref="F26">
    <cfRule type="expression" dxfId="5699" priority="7866">
      <formula>AND($D26="MIN",$F26&lt;&gt;"")</formula>
    </cfRule>
    <cfRule type="expression" dxfId="5698" priority="7867">
      <formula>AND($D26="MIN",$F26="")</formula>
    </cfRule>
    <cfRule type="containsBlanks" dxfId="5697" priority="7868">
      <formula>LEN(TRIM(F26))=0</formula>
    </cfRule>
  </conditionalFormatting>
  <conditionalFormatting sqref="F26">
    <cfRule type="expression" dxfId="5696" priority="7863">
      <formula>AND($D26="MIN",$F26&lt;&gt;"")</formula>
    </cfRule>
    <cfRule type="expression" dxfId="5695" priority="7864">
      <formula>AND($D26="MIN",$F26="")</formula>
    </cfRule>
    <cfRule type="containsBlanks" dxfId="5694" priority="7865">
      <formula>LEN(TRIM(F26))=0</formula>
    </cfRule>
  </conditionalFormatting>
  <conditionalFormatting sqref="F26">
    <cfRule type="expression" dxfId="5693" priority="7860">
      <formula>AND($D26="MIN",$F26&lt;&gt;"")</formula>
    </cfRule>
    <cfRule type="expression" dxfId="5692" priority="7861">
      <formula>AND($D26="MIN",$F26="")</formula>
    </cfRule>
    <cfRule type="containsBlanks" dxfId="5691" priority="7862">
      <formula>LEN(TRIM(F26))=0</formula>
    </cfRule>
  </conditionalFormatting>
  <conditionalFormatting sqref="F26">
    <cfRule type="expression" dxfId="5690" priority="7857">
      <formula>AND($D26="MIN",$F26&lt;&gt;"")</formula>
    </cfRule>
    <cfRule type="expression" dxfId="5689" priority="7858">
      <formula>AND($D26="MIN",$F26="")</formula>
    </cfRule>
    <cfRule type="containsBlanks" dxfId="5688" priority="7859">
      <formula>LEN(TRIM(F26))=0</formula>
    </cfRule>
  </conditionalFormatting>
  <conditionalFormatting sqref="F26">
    <cfRule type="expression" dxfId="5687" priority="7854">
      <formula>AND($D26="MIN",$F26&lt;&gt;"")</formula>
    </cfRule>
    <cfRule type="expression" dxfId="5686" priority="7855">
      <formula>AND($D26="MIN",$F26="")</formula>
    </cfRule>
    <cfRule type="containsBlanks" dxfId="5685" priority="7856">
      <formula>LEN(TRIM(F26))=0</formula>
    </cfRule>
  </conditionalFormatting>
  <conditionalFormatting sqref="F27">
    <cfRule type="expression" dxfId="5684" priority="7851">
      <formula>AND($D27="MIN",$F27&lt;&gt;"")</formula>
    </cfRule>
    <cfRule type="expression" dxfId="5683" priority="7852">
      <formula>AND($D27="MIN",$F27="")</formula>
    </cfRule>
    <cfRule type="containsBlanks" dxfId="5682" priority="7853">
      <formula>LEN(TRIM(F27))=0</formula>
    </cfRule>
  </conditionalFormatting>
  <conditionalFormatting sqref="G27">
    <cfRule type="expression" dxfId="5681" priority="7848">
      <formula>AND(OR($D27="GD&amp;T",$D27="MAX"),$G27&lt;&gt;"")</formula>
    </cfRule>
    <cfRule type="expression" dxfId="5680" priority="7849">
      <formula>AND(OR($D27="GD&amp;T",$D27="MAX"),$G27="")</formula>
    </cfRule>
    <cfRule type="containsBlanks" dxfId="5679" priority="7850">
      <formula>LEN(TRIM(G27))=0</formula>
    </cfRule>
  </conditionalFormatting>
  <conditionalFormatting sqref="F27">
    <cfRule type="expression" dxfId="5678" priority="7845">
      <formula>AND($D27="MIN",$F27&lt;&gt;"")</formula>
    </cfRule>
    <cfRule type="expression" dxfId="5677" priority="7846">
      <formula>AND($D27="MIN",$F27="")</formula>
    </cfRule>
    <cfRule type="containsBlanks" dxfId="5676" priority="7847">
      <formula>LEN(TRIM(F27))=0</formula>
    </cfRule>
  </conditionalFormatting>
  <conditionalFormatting sqref="G27">
    <cfRule type="expression" dxfId="5675" priority="7842">
      <formula>AND(OR($D27="GD&amp;T",$D27="MAX"),$G27&lt;&gt;"")</formula>
    </cfRule>
    <cfRule type="expression" dxfId="5674" priority="7843">
      <formula>AND(OR($D27="GD&amp;T",$D27="MAX"),$G27="")</formula>
    </cfRule>
    <cfRule type="containsBlanks" dxfId="5673" priority="7844">
      <formula>LEN(TRIM(G27))=0</formula>
    </cfRule>
  </conditionalFormatting>
  <conditionalFormatting sqref="F27">
    <cfRule type="expression" dxfId="5672" priority="7839">
      <formula>AND($D27="MIN",$F27&lt;&gt;"")</formula>
    </cfRule>
    <cfRule type="expression" dxfId="5671" priority="7840">
      <formula>AND($D27="MIN",$F27="")</formula>
    </cfRule>
    <cfRule type="containsBlanks" dxfId="5670" priority="7841">
      <formula>LEN(TRIM(F27))=0</formula>
    </cfRule>
  </conditionalFormatting>
  <conditionalFormatting sqref="G27">
    <cfRule type="expression" dxfId="5669" priority="7836">
      <formula>AND(OR($D27="GD&amp;T",$D27="MAX"),$G27&lt;&gt;"")</formula>
    </cfRule>
    <cfRule type="expression" dxfId="5668" priority="7837">
      <formula>AND(OR($D27="GD&amp;T",$D27="MAX"),$G27="")</formula>
    </cfRule>
    <cfRule type="containsBlanks" dxfId="5667" priority="7838">
      <formula>LEN(TRIM(G27))=0</formula>
    </cfRule>
  </conditionalFormatting>
  <conditionalFormatting sqref="F27">
    <cfRule type="expression" dxfId="5666" priority="7833">
      <formula>AND($D27="MIN",$F27&lt;&gt;"")</formula>
    </cfRule>
    <cfRule type="expression" dxfId="5665" priority="7834">
      <formula>AND($D27="MIN",$F27="")</formula>
    </cfRule>
    <cfRule type="containsBlanks" dxfId="5664" priority="7835">
      <formula>LEN(TRIM(F27))=0</formula>
    </cfRule>
  </conditionalFormatting>
  <conditionalFormatting sqref="G27">
    <cfRule type="expression" dxfId="5663" priority="7830">
      <formula>AND(OR($D27="GD&amp;T",$D27="MAX"),$G27&lt;&gt;"")</formula>
    </cfRule>
    <cfRule type="expression" dxfId="5662" priority="7831">
      <formula>AND(OR($D27="GD&amp;T",$D27="MAX"),$G27="")</formula>
    </cfRule>
    <cfRule type="containsBlanks" dxfId="5661" priority="7832">
      <formula>LEN(TRIM(G27))=0</formula>
    </cfRule>
  </conditionalFormatting>
  <conditionalFormatting sqref="F28">
    <cfRule type="expression" dxfId="5660" priority="7827">
      <formula>AND($D28="MIN",$F28&lt;&gt;"")</formula>
    </cfRule>
    <cfRule type="expression" dxfId="5659" priority="7828">
      <formula>AND($D28="MIN",$F28="")</formula>
    </cfRule>
    <cfRule type="containsBlanks" dxfId="5658" priority="7829">
      <formula>LEN(TRIM(F28))=0</formula>
    </cfRule>
  </conditionalFormatting>
  <conditionalFormatting sqref="G28">
    <cfRule type="expression" dxfId="5657" priority="7824">
      <formula>AND(OR($D28="GD&amp;T",$D28="MAX"),$G28&lt;&gt;"")</formula>
    </cfRule>
    <cfRule type="expression" dxfId="5656" priority="7825">
      <formula>AND(OR($D28="GD&amp;T",$D28="MAX"),$G28="")</formula>
    </cfRule>
    <cfRule type="containsBlanks" dxfId="5655" priority="7826">
      <formula>LEN(TRIM(G28))=0</formula>
    </cfRule>
  </conditionalFormatting>
  <conditionalFormatting sqref="F28">
    <cfRule type="expression" dxfId="5654" priority="7821">
      <formula>AND($D28="MIN",$F28&lt;&gt;"")</formula>
    </cfRule>
    <cfRule type="expression" dxfId="5653" priority="7822">
      <formula>AND($D28="MIN",$F28="")</formula>
    </cfRule>
    <cfRule type="containsBlanks" dxfId="5652" priority="7823">
      <formula>LEN(TRIM(F28))=0</formula>
    </cfRule>
  </conditionalFormatting>
  <conditionalFormatting sqref="G28">
    <cfRule type="expression" dxfId="5651" priority="7818">
      <formula>AND(OR($D28="GD&amp;T",$D28="MAX"),$G28&lt;&gt;"")</formula>
    </cfRule>
    <cfRule type="expression" dxfId="5650" priority="7819">
      <formula>AND(OR($D28="GD&amp;T",$D28="MAX"),$G28="")</formula>
    </cfRule>
    <cfRule type="containsBlanks" dxfId="5649" priority="7820">
      <formula>LEN(TRIM(G28))=0</formula>
    </cfRule>
  </conditionalFormatting>
  <conditionalFormatting sqref="F27">
    <cfRule type="expression" dxfId="5648" priority="7815">
      <formula>AND($D27="MIN",$F27&lt;&gt;"")</formula>
    </cfRule>
    <cfRule type="expression" dxfId="5647" priority="7816">
      <formula>AND($D27="MIN",$F27="")</formula>
    </cfRule>
    <cfRule type="containsBlanks" dxfId="5646" priority="7817">
      <formula>LEN(TRIM(F27))=0</formula>
    </cfRule>
  </conditionalFormatting>
  <conditionalFormatting sqref="G27">
    <cfRule type="expression" dxfId="5645" priority="7812">
      <formula>AND(OR($D27="GD&amp;T",$D27="MAX"),$G27&lt;&gt;"")</formula>
    </cfRule>
    <cfRule type="expression" dxfId="5644" priority="7813">
      <formula>AND(OR($D27="GD&amp;T",$D27="MAX"),$G27="")</formula>
    </cfRule>
    <cfRule type="containsBlanks" dxfId="5643" priority="7814">
      <formula>LEN(TRIM(G27))=0</formula>
    </cfRule>
  </conditionalFormatting>
  <conditionalFormatting sqref="F27">
    <cfRule type="expression" dxfId="5642" priority="7809">
      <formula>AND($D27="MIN",$F27&lt;&gt;"")</formula>
    </cfRule>
    <cfRule type="expression" dxfId="5641" priority="7810">
      <formula>AND($D27="MIN",$F27="")</formula>
    </cfRule>
    <cfRule type="containsBlanks" dxfId="5640" priority="7811">
      <formula>LEN(TRIM(F27))=0</formula>
    </cfRule>
  </conditionalFormatting>
  <conditionalFormatting sqref="G27">
    <cfRule type="expression" dxfId="5639" priority="7806">
      <formula>AND(OR($D27="GD&amp;T",$D27="MAX"),$G27&lt;&gt;"")</formula>
    </cfRule>
    <cfRule type="expression" dxfId="5638" priority="7807">
      <formula>AND(OR($D27="GD&amp;T",$D27="MAX"),$G27="")</formula>
    </cfRule>
    <cfRule type="containsBlanks" dxfId="5637" priority="7808">
      <formula>LEN(TRIM(G27))=0</formula>
    </cfRule>
  </conditionalFormatting>
  <conditionalFormatting sqref="F28">
    <cfRule type="expression" dxfId="5636" priority="7803">
      <formula>AND($D28="MIN",$F28&lt;&gt;"")</formula>
    </cfRule>
    <cfRule type="expression" dxfId="5635" priority="7804">
      <formula>AND($D28="MIN",$F28="")</formula>
    </cfRule>
    <cfRule type="containsBlanks" dxfId="5634" priority="7805">
      <formula>LEN(TRIM(F28))=0</formula>
    </cfRule>
  </conditionalFormatting>
  <conditionalFormatting sqref="G28">
    <cfRule type="expression" dxfId="5633" priority="7800">
      <formula>AND(OR($D28="GD&amp;T",$D28="MAX"),$G28&lt;&gt;"")</formula>
    </cfRule>
    <cfRule type="expression" dxfId="5632" priority="7801">
      <formula>AND(OR($D28="GD&amp;T",$D28="MAX"),$G28="")</formula>
    </cfRule>
    <cfRule type="containsBlanks" dxfId="5631" priority="7802">
      <formula>LEN(TRIM(G28))=0</formula>
    </cfRule>
  </conditionalFormatting>
  <conditionalFormatting sqref="F28">
    <cfRule type="expression" dxfId="5630" priority="7797">
      <formula>AND($D28="MIN",$F28&lt;&gt;"")</formula>
    </cfRule>
    <cfRule type="expression" dxfId="5629" priority="7798">
      <formula>AND($D28="MIN",$F28="")</formula>
    </cfRule>
    <cfRule type="containsBlanks" dxfId="5628" priority="7799">
      <formula>LEN(TRIM(F28))=0</formula>
    </cfRule>
  </conditionalFormatting>
  <conditionalFormatting sqref="G28">
    <cfRule type="expression" dxfId="5627" priority="7794">
      <formula>AND(OR($D28="GD&amp;T",$D28="MAX"),$G28&lt;&gt;"")</formula>
    </cfRule>
    <cfRule type="expression" dxfId="5626" priority="7795">
      <formula>AND(OR($D28="GD&amp;T",$D28="MAX"),$G28="")</formula>
    </cfRule>
    <cfRule type="containsBlanks" dxfId="5625" priority="7796">
      <formula>LEN(TRIM(G28))=0</formula>
    </cfRule>
  </conditionalFormatting>
  <conditionalFormatting sqref="F27">
    <cfRule type="expression" dxfId="5624" priority="7791">
      <formula>AND($D27="MIN",$F27&lt;&gt;"")</formula>
    </cfRule>
    <cfRule type="expression" dxfId="5623" priority="7792">
      <formula>AND($D27="MIN",$F27="")</formula>
    </cfRule>
    <cfRule type="containsBlanks" dxfId="5622" priority="7793">
      <formula>LEN(TRIM(F27))=0</formula>
    </cfRule>
  </conditionalFormatting>
  <conditionalFormatting sqref="G27">
    <cfRule type="expression" dxfId="5621" priority="7788">
      <formula>AND(OR($D27="GD&amp;T",$D27="MAX"),$G27&lt;&gt;"")</formula>
    </cfRule>
    <cfRule type="expression" dxfId="5620" priority="7789">
      <formula>AND(OR($D27="GD&amp;T",$D27="MAX"),$G27="")</formula>
    </cfRule>
    <cfRule type="containsBlanks" dxfId="5619" priority="7790">
      <formula>LEN(TRIM(G27))=0</formula>
    </cfRule>
  </conditionalFormatting>
  <conditionalFormatting sqref="F27">
    <cfRule type="expression" dxfId="5618" priority="7785">
      <formula>AND($D27="MIN",$F27&lt;&gt;"")</formula>
    </cfRule>
    <cfRule type="expression" dxfId="5617" priority="7786">
      <formula>AND($D27="MIN",$F27="")</formula>
    </cfRule>
    <cfRule type="containsBlanks" dxfId="5616" priority="7787">
      <formula>LEN(TRIM(F27))=0</formula>
    </cfRule>
  </conditionalFormatting>
  <conditionalFormatting sqref="G27">
    <cfRule type="expression" dxfId="5615" priority="7782">
      <formula>AND(OR($D27="GD&amp;T",$D27="MAX"),$G27&lt;&gt;"")</formula>
    </cfRule>
    <cfRule type="expression" dxfId="5614" priority="7783">
      <formula>AND(OR($D27="GD&amp;T",$D27="MAX"),$G27="")</formula>
    </cfRule>
    <cfRule type="containsBlanks" dxfId="5613" priority="7784">
      <formula>LEN(TRIM(G27))=0</formula>
    </cfRule>
  </conditionalFormatting>
  <conditionalFormatting sqref="F27">
    <cfRule type="expression" dxfId="5612" priority="7779">
      <formula>AND($D27="MIN",$F27&lt;&gt;"")</formula>
    </cfRule>
    <cfRule type="expression" dxfId="5611" priority="7780">
      <formula>AND($D27="MIN",$F27="")</formula>
    </cfRule>
    <cfRule type="containsBlanks" dxfId="5610" priority="7781">
      <formula>LEN(TRIM(F27))=0</formula>
    </cfRule>
  </conditionalFormatting>
  <conditionalFormatting sqref="G27:G28">
    <cfRule type="expression" dxfId="5609" priority="7776">
      <formula>AND(OR($D27="GD&amp;T",$D27="MAX"),$G27&lt;&gt;"")</formula>
    </cfRule>
    <cfRule type="expression" dxfId="5608" priority="7777">
      <formula>AND(OR($D27="GD&amp;T",$D27="MAX"),$G27="")</formula>
    </cfRule>
    <cfRule type="containsBlanks" dxfId="5607" priority="7778">
      <formula>LEN(TRIM(G27))=0</formula>
    </cfRule>
  </conditionalFormatting>
  <conditionalFormatting sqref="F27">
    <cfRule type="expression" dxfId="5606" priority="7773">
      <formula>AND($D27="MIN",$F27&lt;&gt;"")</formula>
    </cfRule>
    <cfRule type="expression" dxfId="5605" priority="7774">
      <formula>AND($D27="MIN",$F27="")</formula>
    </cfRule>
    <cfRule type="containsBlanks" dxfId="5604" priority="7775">
      <formula>LEN(TRIM(F27))=0</formula>
    </cfRule>
  </conditionalFormatting>
  <conditionalFormatting sqref="G27:G28">
    <cfRule type="expression" dxfId="5603" priority="7770">
      <formula>AND(OR($D27="GD&amp;T",$D27="MAX"),$G27&lt;&gt;"")</formula>
    </cfRule>
    <cfRule type="expression" dxfId="5602" priority="7771">
      <formula>AND(OR($D27="GD&amp;T",$D27="MAX"),$G27="")</formula>
    </cfRule>
    <cfRule type="containsBlanks" dxfId="5601" priority="7772">
      <formula>LEN(TRIM(G27))=0</formula>
    </cfRule>
  </conditionalFormatting>
  <conditionalFormatting sqref="F27">
    <cfRule type="expression" dxfId="5600" priority="7767">
      <formula>AND($D27="MIN",$F27&lt;&gt;"")</formula>
    </cfRule>
    <cfRule type="expression" dxfId="5599" priority="7768">
      <formula>AND($D27="MIN",$F27="")</formula>
    </cfRule>
    <cfRule type="containsBlanks" dxfId="5598" priority="7769">
      <formula>LEN(TRIM(F27))=0</formula>
    </cfRule>
  </conditionalFormatting>
  <conditionalFormatting sqref="G27:G28">
    <cfRule type="expression" dxfId="5597" priority="7764">
      <formula>AND(OR($D27="GD&amp;T",$D27="MAX"),$G27&lt;&gt;"")</formula>
    </cfRule>
    <cfRule type="expression" dxfId="5596" priority="7765">
      <formula>AND(OR($D27="GD&amp;T",$D27="MAX"),$G27="")</formula>
    </cfRule>
    <cfRule type="containsBlanks" dxfId="5595" priority="7766">
      <formula>LEN(TRIM(G27))=0</formula>
    </cfRule>
  </conditionalFormatting>
  <conditionalFormatting sqref="F27">
    <cfRule type="expression" dxfId="5594" priority="7761">
      <formula>AND($D27="MIN",$F27&lt;&gt;"")</formula>
    </cfRule>
    <cfRule type="expression" dxfId="5593" priority="7762">
      <formula>AND($D27="MIN",$F27="")</formula>
    </cfRule>
    <cfRule type="containsBlanks" dxfId="5592" priority="7763">
      <formula>LEN(TRIM(F27))=0</formula>
    </cfRule>
  </conditionalFormatting>
  <conditionalFormatting sqref="G27:G28">
    <cfRule type="expression" dxfId="5591" priority="7758">
      <formula>AND(OR($D27="GD&amp;T",$D27="MAX"),$G27&lt;&gt;"")</formula>
    </cfRule>
    <cfRule type="expression" dxfId="5590" priority="7759">
      <formula>AND(OR($D27="GD&amp;T",$D27="MAX"),$G27="")</formula>
    </cfRule>
    <cfRule type="containsBlanks" dxfId="5589" priority="7760">
      <formula>LEN(TRIM(G27))=0</formula>
    </cfRule>
  </conditionalFormatting>
  <conditionalFormatting sqref="F27">
    <cfRule type="expression" dxfId="5588" priority="7755">
      <formula>AND($D27="MIN",$F27&lt;&gt;"")</formula>
    </cfRule>
    <cfRule type="expression" dxfId="5587" priority="7756">
      <formula>AND($D27="MIN",$F27="")</formula>
    </cfRule>
    <cfRule type="containsBlanks" dxfId="5586" priority="7757">
      <formula>LEN(TRIM(F27))=0</formula>
    </cfRule>
  </conditionalFormatting>
  <conditionalFormatting sqref="G27:G28">
    <cfRule type="expression" dxfId="5585" priority="7752">
      <formula>AND(OR($D27="GD&amp;T",$D27="MAX"),$G27&lt;&gt;"")</formula>
    </cfRule>
    <cfRule type="expression" dxfId="5584" priority="7753">
      <formula>AND(OR($D27="GD&amp;T",$D27="MAX"),$G27="")</formula>
    </cfRule>
    <cfRule type="containsBlanks" dxfId="5583" priority="7754">
      <formula>LEN(TRIM(G27))=0</formula>
    </cfRule>
  </conditionalFormatting>
  <conditionalFormatting sqref="F28">
    <cfRule type="expression" dxfId="5582" priority="7749">
      <formula>AND($D28="MIN",$F28&lt;&gt;"")</formula>
    </cfRule>
    <cfRule type="expression" dxfId="5581" priority="7750">
      <formula>AND($D28="MIN",$F28="")</formula>
    </cfRule>
    <cfRule type="containsBlanks" dxfId="5580" priority="7751">
      <formula>LEN(TRIM(F28))=0</formula>
    </cfRule>
  </conditionalFormatting>
  <conditionalFormatting sqref="F28">
    <cfRule type="expression" dxfId="5579" priority="7746">
      <formula>AND($D28="MIN",$F28&lt;&gt;"")</formula>
    </cfRule>
    <cfRule type="expression" dxfId="5578" priority="7747">
      <formula>AND($D28="MIN",$F28="")</formula>
    </cfRule>
    <cfRule type="containsBlanks" dxfId="5577" priority="7748">
      <formula>LEN(TRIM(F28))=0</formula>
    </cfRule>
  </conditionalFormatting>
  <conditionalFormatting sqref="F28">
    <cfRule type="expression" dxfId="5576" priority="7743">
      <formula>AND($D28="MIN",$F28&lt;&gt;"")</formula>
    </cfRule>
    <cfRule type="expression" dxfId="5575" priority="7744">
      <formula>AND($D28="MIN",$F28="")</formula>
    </cfRule>
    <cfRule type="containsBlanks" dxfId="5574" priority="7745">
      <formula>LEN(TRIM(F28))=0</formula>
    </cfRule>
  </conditionalFormatting>
  <conditionalFormatting sqref="F28">
    <cfRule type="expression" dxfId="5573" priority="7740">
      <formula>AND($D28="MIN",$F28&lt;&gt;"")</formula>
    </cfRule>
    <cfRule type="expression" dxfId="5572" priority="7741">
      <formula>AND($D28="MIN",$F28="")</formula>
    </cfRule>
    <cfRule type="containsBlanks" dxfId="5571" priority="7742">
      <formula>LEN(TRIM(F28))=0</formula>
    </cfRule>
  </conditionalFormatting>
  <conditionalFormatting sqref="F28">
    <cfRule type="expression" dxfId="5570" priority="7737">
      <formula>AND($D28="MIN",$F28&lt;&gt;"")</formula>
    </cfRule>
    <cfRule type="expression" dxfId="5569" priority="7738">
      <formula>AND($D28="MIN",$F28="")</formula>
    </cfRule>
    <cfRule type="containsBlanks" dxfId="5568" priority="7739">
      <formula>LEN(TRIM(F28))=0</formula>
    </cfRule>
  </conditionalFormatting>
  <conditionalFormatting sqref="F29">
    <cfRule type="expression" dxfId="5567" priority="7734">
      <formula>AND($D29="MIN",$F29&lt;&gt;"")</formula>
    </cfRule>
    <cfRule type="expression" dxfId="5566" priority="7735">
      <formula>AND($D29="MIN",$F29="")</formula>
    </cfRule>
    <cfRule type="containsBlanks" dxfId="5565" priority="7736">
      <formula>LEN(TRIM(F29))=0</formula>
    </cfRule>
  </conditionalFormatting>
  <conditionalFormatting sqref="G29">
    <cfRule type="expression" dxfId="5564" priority="7731">
      <formula>AND(OR($D29="GD&amp;T",$D29="MAX"),$G29&lt;&gt;"")</formula>
    </cfRule>
    <cfRule type="expression" dxfId="5563" priority="7732">
      <formula>AND(OR($D29="GD&amp;T",$D29="MAX"),$G29="")</formula>
    </cfRule>
    <cfRule type="containsBlanks" dxfId="5562" priority="7733">
      <formula>LEN(TRIM(G29))=0</formula>
    </cfRule>
  </conditionalFormatting>
  <conditionalFormatting sqref="F29">
    <cfRule type="expression" dxfId="5561" priority="7728">
      <formula>AND($D29="MIN",$F29&lt;&gt;"")</formula>
    </cfRule>
    <cfRule type="expression" dxfId="5560" priority="7729">
      <formula>AND($D29="MIN",$F29="")</formula>
    </cfRule>
    <cfRule type="containsBlanks" dxfId="5559" priority="7730">
      <formula>LEN(TRIM(F29))=0</formula>
    </cfRule>
  </conditionalFormatting>
  <conditionalFormatting sqref="G29">
    <cfRule type="expression" dxfId="5558" priority="7725">
      <formula>AND(OR($D29="GD&amp;T",$D29="MAX"),$G29&lt;&gt;"")</formula>
    </cfRule>
    <cfRule type="expression" dxfId="5557" priority="7726">
      <formula>AND(OR($D29="GD&amp;T",$D29="MAX"),$G29="")</formula>
    </cfRule>
    <cfRule type="containsBlanks" dxfId="5556" priority="7727">
      <formula>LEN(TRIM(G29))=0</formula>
    </cfRule>
  </conditionalFormatting>
  <conditionalFormatting sqref="F29">
    <cfRule type="expression" dxfId="5555" priority="7722">
      <formula>AND($D29="MIN",$F29&lt;&gt;"")</formula>
    </cfRule>
    <cfRule type="expression" dxfId="5554" priority="7723">
      <formula>AND($D29="MIN",$F29="")</formula>
    </cfRule>
    <cfRule type="containsBlanks" dxfId="5553" priority="7724">
      <formula>LEN(TRIM(F29))=0</formula>
    </cfRule>
  </conditionalFormatting>
  <conditionalFormatting sqref="G29">
    <cfRule type="expression" dxfId="5552" priority="7719">
      <formula>AND(OR($D29="GD&amp;T",$D29="MAX"),$G29&lt;&gt;"")</formula>
    </cfRule>
    <cfRule type="expression" dxfId="5551" priority="7720">
      <formula>AND(OR($D29="GD&amp;T",$D29="MAX"),$G29="")</formula>
    </cfRule>
    <cfRule type="containsBlanks" dxfId="5550" priority="7721">
      <formula>LEN(TRIM(G29))=0</formula>
    </cfRule>
  </conditionalFormatting>
  <conditionalFormatting sqref="F29">
    <cfRule type="expression" dxfId="5549" priority="7716">
      <formula>AND($D29="MIN",$F29&lt;&gt;"")</formula>
    </cfRule>
    <cfRule type="expression" dxfId="5548" priority="7717">
      <formula>AND($D29="MIN",$F29="")</formula>
    </cfRule>
    <cfRule type="containsBlanks" dxfId="5547" priority="7718">
      <formula>LEN(TRIM(F29))=0</formula>
    </cfRule>
  </conditionalFormatting>
  <conditionalFormatting sqref="G29">
    <cfRule type="expression" dxfId="5546" priority="7713">
      <formula>AND(OR($D29="GD&amp;T",$D29="MAX"),$G29&lt;&gt;"")</formula>
    </cfRule>
    <cfRule type="expression" dxfId="5545" priority="7714">
      <formula>AND(OR($D29="GD&amp;T",$D29="MAX"),$G29="")</formula>
    </cfRule>
    <cfRule type="containsBlanks" dxfId="5544" priority="7715">
      <formula>LEN(TRIM(G29))=0</formula>
    </cfRule>
  </conditionalFormatting>
  <conditionalFormatting sqref="F30">
    <cfRule type="expression" dxfId="5543" priority="7710">
      <formula>AND($D30="MIN",$F30&lt;&gt;"")</formula>
    </cfRule>
    <cfRule type="expression" dxfId="5542" priority="7711">
      <formula>AND($D30="MIN",$F30="")</formula>
    </cfRule>
    <cfRule type="containsBlanks" dxfId="5541" priority="7712">
      <formula>LEN(TRIM(F30))=0</formula>
    </cfRule>
  </conditionalFormatting>
  <conditionalFormatting sqref="G30">
    <cfRule type="expression" dxfId="5540" priority="7707">
      <formula>AND(OR($D30="GD&amp;T",$D30="MAX"),$G30&lt;&gt;"")</formula>
    </cfRule>
    <cfRule type="expression" dxfId="5539" priority="7708">
      <formula>AND(OR($D30="GD&amp;T",$D30="MAX"),$G30="")</formula>
    </cfRule>
    <cfRule type="containsBlanks" dxfId="5538" priority="7709">
      <formula>LEN(TRIM(G30))=0</formula>
    </cfRule>
  </conditionalFormatting>
  <conditionalFormatting sqref="F30">
    <cfRule type="expression" dxfId="5537" priority="7704">
      <formula>AND($D30="MIN",$F30&lt;&gt;"")</formula>
    </cfRule>
    <cfRule type="expression" dxfId="5536" priority="7705">
      <formula>AND($D30="MIN",$F30="")</formula>
    </cfRule>
    <cfRule type="containsBlanks" dxfId="5535" priority="7706">
      <formula>LEN(TRIM(F30))=0</formula>
    </cfRule>
  </conditionalFormatting>
  <conditionalFormatting sqref="G30">
    <cfRule type="expression" dxfId="5534" priority="7701">
      <formula>AND(OR($D30="GD&amp;T",$D30="MAX"),$G30&lt;&gt;"")</formula>
    </cfRule>
    <cfRule type="expression" dxfId="5533" priority="7702">
      <formula>AND(OR($D30="GD&amp;T",$D30="MAX"),$G30="")</formula>
    </cfRule>
    <cfRule type="containsBlanks" dxfId="5532" priority="7703">
      <formula>LEN(TRIM(G30))=0</formula>
    </cfRule>
  </conditionalFormatting>
  <conditionalFormatting sqref="F29">
    <cfRule type="expression" dxfId="5531" priority="7698">
      <formula>AND($D29="MIN",$F29&lt;&gt;"")</formula>
    </cfRule>
    <cfRule type="expression" dxfId="5530" priority="7699">
      <formula>AND($D29="MIN",$F29="")</formula>
    </cfRule>
    <cfRule type="containsBlanks" dxfId="5529" priority="7700">
      <formula>LEN(TRIM(F29))=0</formula>
    </cfRule>
  </conditionalFormatting>
  <conditionalFormatting sqref="G29">
    <cfRule type="expression" dxfId="5528" priority="7695">
      <formula>AND(OR($D29="GD&amp;T",$D29="MAX"),$G29&lt;&gt;"")</formula>
    </cfRule>
    <cfRule type="expression" dxfId="5527" priority="7696">
      <formula>AND(OR($D29="GD&amp;T",$D29="MAX"),$G29="")</formula>
    </cfRule>
    <cfRule type="containsBlanks" dxfId="5526" priority="7697">
      <formula>LEN(TRIM(G29))=0</formula>
    </cfRule>
  </conditionalFormatting>
  <conditionalFormatting sqref="F29">
    <cfRule type="expression" dxfId="5525" priority="7692">
      <formula>AND($D29="MIN",$F29&lt;&gt;"")</formula>
    </cfRule>
    <cfRule type="expression" dxfId="5524" priority="7693">
      <formula>AND($D29="MIN",$F29="")</formula>
    </cfRule>
    <cfRule type="containsBlanks" dxfId="5523" priority="7694">
      <formula>LEN(TRIM(F29))=0</formula>
    </cfRule>
  </conditionalFormatting>
  <conditionalFormatting sqref="G29">
    <cfRule type="expression" dxfId="5522" priority="7689">
      <formula>AND(OR($D29="GD&amp;T",$D29="MAX"),$G29&lt;&gt;"")</formula>
    </cfRule>
    <cfRule type="expression" dxfId="5521" priority="7690">
      <formula>AND(OR($D29="GD&amp;T",$D29="MAX"),$G29="")</formula>
    </cfRule>
    <cfRule type="containsBlanks" dxfId="5520" priority="7691">
      <formula>LEN(TRIM(G29))=0</formula>
    </cfRule>
  </conditionalFormatting>
  <conditionalFormatting sqref="F30">
    <cfRule type="expression" dxfId="5519" priority="7686">
      <formula>AND($D30="MIN",$F30&lt;&gt;"")</formula>
    </cfRule>
    <cfRule type="expression" dxfId="5518" priority="7687">
      <formula>AND($D30="MIN",$F30="")</formula>
    </cfRule>
    <cfRule type="containsBlanks" dxfId="5517" priority="7688">
      <formula>LEN(TRIM(F30))=0</formula>
    </cfRule>
  </conditionalFormatting>
  <conditionalFormatting sqref="G30">
    <cfRule type="expression" dxfId="5516" priority="7683">
      <formula>AND(OR($D30="GD&amp;T",$D30="MAX"),$G30&lt;&gt;"")</formula>
    </cfRule>
    <cfRule type="expression" dxfId="5515" priority="7684">
      <formula>AND(OR($D30="GD&amp;T",$D30="MAX"),$G30="")</formula>
    </cfRule>
    <cfRule type="containsBlanks" dxfId="5514" priority="7685">
      <formula>LEN(TRIM(G30))=0</formula>
    </cfRule>
  </conditionalFormatting>
  <conditionalFormatting sqref="F30">
    <cfRule type="expression" dxfId="5513" priority="7680">
      <formula>AND($D30="MIN",$F30&lt;&gt;"")</formula>
    </cfRule>
    <cfRule type="expression" dxfId="5512" priority="7681">
      <formula>AND($D30="MIN",$F30="")</formula>
    </cfRule>
    <cfRule type="containsBlanks" dxfId="5511" priority="7682">
      <formula>LEN(TRIM(F30))=0</formula>
    </cfRule>
  </conditionalFormatting>
  <conditionalFormatting sqref="G30">
    <cfRule type="expression" dxfId="5510" priority="7677">
      <formula>AND(OR($D30="GD&amp;T",$D30="MAX"),$G30&lt;&gt;"")</formula>
    </cfRule>
    <cfRule type="expression" dxfId="5509" priority="7678">
      <formula>AND(OR($D30="GD&amp;T",$D30="MAX"),$G30="")</formula>
    </cfRule>
    <cfRule type="containsBlanks" dxfId="5508" priority="7679">
      <formula>LEN(TRIM(G30))=0</formula>
    </cfRule>
  </conditionalFormatting>
  <conditionalFormatting sqref="F29">
    <cfRule type="expression" dxfId="5507" priority="7674">
      <formula>AND($D29="MIN",$F29&lt;&gt;"")</formula>
    </cfRule>
    <cfRule type="expression" dxfId="5506" priority="7675">
      <formula>AND($D29="MIN",$F29="")</formula>
    </cfRule>
    <cfRule type="containsBlanks" dxfId="5505" priority="7676">
      <formula>LEN(TRIM(F29))=0</formula>
    </cfRule>
  </conditionalFormatting>
  <conditionalFormatting sqref="G29">
    <cfRule type="expression" dxfId="5504" priority="7671">
      <formula>AND(OR($D29="GD&amp;T",$D29="MAX"),$G29&lt;&gt;"")</formula>
    </cfRule>
    <cfRule type="expression" dxfId="5503" priority="7672">
      <formula>AND(OR($D29="GD&amp;T",$D29="MAX"),$G29="")</formula>
    </cfRule>
    <cfRule type="containsBlanks" dxfId="5502" priority="7673">
      <formula>LEN(TRIM(G29))=0</formula>
    </cfRule>
  </conditionalFormatting>
  <conditionalFormatting sqref="F29">
    <cfRule type="expression" dxfId="5501" priority="7668">
      <formula>AND($D29="MIN",$F29&lt;&gt;"")</formula>
    </cfRule>
    <cfRule type="expression" dxfId="5500" priority="7669">
      <formula>AND($D29="MIN",$F29="")</formula>
    </cfRule>
    <cfRule type="containsBlanks" dxfId="5499" priority="7670">
      <formula>LEN(TRIM(F29))=0</formula>
    </cfRule>
  </conditionalFormatting>
  <conditionalFormatting sqref="G29">
    <cfRule type="expression" dxfId="5498" priority="7665">
      <formula>AND(OR($D29="GD&amp;T",$D29="MAX"),$G29&lt;&gt;"")</formula>
    </cfRule>
    <cfRule type="expression" dxfId="5497" priority="7666">
      <formula>AND(OR($D29="GD&amp;T",$D29="MAX"),$G29="")</formula>
    </cfRule>
    <cfRule type="containsBlanks" dxfId="5496" priority="7667">
      <formula>LEN(TRIM(G29))=0</formula>
    </cfRule>
  </conditionalFormatting>
  <conditionalFormatting sqref="F29">
    <cfRule type="expression" dxfId="5495" priority="7662">
      <formula>AND($D29="MIN",$F29&lt;&gt;"")</formula>
    </cfRule>
    <cfRule type="expression" dxfId="5494" priority="7663">
      <formula>AND($D29="MIN",$F29="")</formula>
    </cfRule>
    <cfRule type="containsBlanks" dxfId="5493" priority="7664">
      <formula>LEN(TRIM(F29))=0</formula>
    </cfRule>
  </conditionalFormatting>
  <conditionalFormatting sqref="G29:G30">
    <cfRule type="expression" dxfId="5492" priority="7659">
      <formula>AND(OR($D29="GD&amp;T",$D29="MAX"),$G29&lt;&gt;"")</formula>
    </cfRule>
    <cfRule type="expression" dxfId="5491" priority="7660">
      <formula>AND(OR($D29="GD&amp;T",$D29="MAX"),$G29="")</formula>
    </cfRule>
    <cfRule type="containsBlanks" dxfId="5490" priority="7661">
      <formula>LEN(TRIM(G29))=0</formula>
    </cfRule>
  </conditionalFormatting>
  <conditionalFormatting sqref="F29">
    <cfRule type="expression" dxfId="5489" priority="7656">
      <formula>AND($D29="MIN",$F29&lt;&gt;"")</formula>
    </cfRule>
    <cfRule type="expression" dxfId="5488" priority="7657">
      <formula>AND($D29="MIN",$F29="")</formula>
    </cfRule>
    <cfRule type="containsBlanks" dxfId="5487" priority="7658">
      <formula>LEN(TRIM(F29))=0</formula>
    </cfRule>
  </conditionalFormatting>
  <conditionalFormatting sqref="G29:G30">
    <cfRule type="expression" dxfId="5486" priority="7653">
      <formula>AND(OR($D29="GD&amp;T",$D29="MAX"),$G29&lt;&gt;"")</formula>
    </cfRule>
    <cfRule type="expression" dxfId="5485" priority="7654">
      <formula>AND(OR($D29="GD&amp;T",$D29="MAX"),$G29="")</formula>
    </cfRule>
    <cfRule type="containsBlanks" dxfId="5484" priority="7655">
      <formula>LEN(TRIM(G29))=0</formula>
    </cfRule>
  </conditionalFormatting>
  <conditionalFormatting sqref="F29">
    <cfRule type="expression" dxfId="5483" priority="7650">
      <formula>AND($D29="MIN",$F29&lt;&gt;"")</formula>
    </cfRule>
    <cfRule type="expression" dxfId="5482" priority="7651">
      <formula>AND($D29="MIN",$F29="")</formula>
    </cfRule>
    <cfRule type="containsBlanks" dxfId="5481" priority="7652">
      <formula>LEN(TRIM(F29))=0</formula>
    </cfRule>
  </conditionalFormatting>
  <conditionalFormatting sqref="G29:G30">
    <cfRule type="expression" dxfId="5480" priority="7647">
      <formula>AND(OR($D29="GD&amp;T",$D29="MAX"),$G29&lt;&gt;"")</formula>
    </cfRule>
    <cfRule type="expression" dxfId="5479" priority="7648">
      <formula>AND(OR($D29="GD&amp;T",$D29="MAX"),$G29="")</formula>
    </cfRule>
    <cfRule type="containsBlanks" dxfId="5478" priority="7649">
      <formula>LEN(TRIM(G29))=0</formula>
    </cfRule>
  </conditionalFormatting>
  <conditionalFormatting sqref="F29">
    <cfRule type="expression" dxfId="5477" priority="7644">
      <formula>AND($D29="MIN",$F29&lt;&gt;"")</formula>
    </cfRule>
    <cfRule type="expression" dxfId="5476" priority="7645">
      <formula>AND($D29="MIN",$F29="")</formula>
    </cfRule>
    <cfRule type="containsBlanks" dxfId="5475" priority="7646">
      <formula>LEN(TRIM(F29))=0</formula>
    </cfRule>
  </conditionalFormatting>
  <conditionalFormatting sqref="G29:G30">
    <cfRule type="expression" dxfId="5474" priority="7641">
      <formula>AND(OR($D29="GD&amp;T",$D29="MAX"),$G29&lt;&gt;"")</formula>
    </cfRule>
    <cfRule type="expression" dxfId="5473" priority="7642">
      <formula>AND(OR($D29="GD&amp;T",$D29="MAX"),$G29="")</formula>
    </cfRule>
    <cfRule type="containsBlanks" dxfId="5472" priority="7643">
      <formula>LEN(TRIM(G29))=0</formula>
    </cfRule>
  </conditionalFormatting>
  <conditionalFormatting sqref="F29">
    <cfRule type="expression" dxfId="5471" priority="7638">
      <formula>AND($D29="MIN",$F29&lt;&gt;"")</formula>
    </cfRule>
    <cfRule type="expression" dxfId="5470" priority="7639">
      <formula>AND($D29="MIN",$F29="")</formula>
    </cfRule>
    <cfRule type="containsBlanks" dxfId="5469" priority="7640">
      <formula>LEN(TRIM(F29))=0</formula>
    </cfRule>
  </conditionalFormatting>
  <conditionalFormatting sqref="G29:G30">
    <cfRule type="expression" dxfId="5468" priority="7635">
      <formula>AND(OR($D29="GD&amp;T",$D29="MAX"),$G29&lt;&gt;"")</formula>
    </cfRule>
    <cfRule type="expression" dxfId="5467" priority="7636">
      <formula>AND(OR($D29="GD&amp;T",$D29="MAX"),$G29="")</formula>
    </cfRule>
    <cfRule type="containsBlanks" dxfId="5466" priority="7637">
      <formula>LEN(TRIM(G29))=0</formula>
    </cfRule>
  </conditionalFormatting>
  <conditionalFormatting sqref="F30">
    <cfRule type="expression" dxfId="5465" priority="7632">
      <formula>AND($D30="MIN",$F30&lt;&gt;"")</formula>
    </cfRule>
    <cfRule type="expression" dxfId="5464" priority="7633">
      <formula>AND($D30="MIN",$F30="")</formula>
    </cfRule>
    <cfRule type="containsBlanks" dxfId="5463" priority="7634">
      <formula>LEN(TRIM(F30))=0</formula>
    </cfRule>
  </conditionalFormatting>
  <conditionalFormatting sqref="F30">
    <cfRule type="expression" dxfId="5462" priority="7629">
      <formula>AND($D30="MIN",$F30&lt;&gt;"")</formula>
    </cfRule>
    <cfRule type="expression" dxfId="5461" priority="7630">
      <formula>AND($D30="MIN",$F30="")</formula>
    </cfRule>
    <cfRule type="containsBlanks" dxfId="5460" priority="7631">
      <formula>LEN(TRIM(F30))=0</formula>
    </cfRule>
  </conditionalFormatting>
  <conditionalFormatting sqref="F30">
    <cfRule type="expression" dxfId="5459" priority="7626">
      <formula>AND($D30="MIN",$F30&lt;&gt;"")</formula>
    </cfRule>
    <cfRule type="expression" dxfId="5458" priority="7627">
      <formula>AND($D30="MIN",$F30="")</formula>
    </cfRule>
    <cfRule type="containsBlanks" dxfId="5457" priority="7628">
      <formula>LEN(TRIM(F30))=0</formula>
    </cfRule>
  </conditionalFormatting>
  <conditionalFormatting sqref="F30">
    <cfRule type="expression" dxfId="5456" priority="7623">
      <formula>AND($D30="MIN",$F30&lt;&gt;"")</formula>
    </cfRule>
    <cfRule type="expression" dxfId="5455" priority="7624">
      <formula>AND($D30="MIN",$F30="")</formula>
    </cfRule>
    <cfRule type="containsBlanks" dxfId="5454" priority="7625">
      <formula>LEN(TRIM(F30))=0</formula>
    </cfRule>
  </conditionalFormatting>
  <conditionalFormatting sqref="F30">
    <cfRule type="expression" dxfId="5453" priority="7620">
      <formula>AND($D30="MIN",$F30&lt;&gt;"")</formula>
    </cfRule>
    <cfRule type="expression" dxfId="5452" priority="7621">
      <formula>AND($D30="MIN",$F30="")</formula>
    </cfRule>
    <cfRule type="containsBlanks" dxfId="5451" priority="7622">
      <formula>LEN(TRIM(F30))=0</formula>
    </cfRule>
  </conditionalFormatting>
  <conditionalFormatting sqref="F31">
    <cfRule type="expression" dxfId="5450" priority="7617">
      <formula>AND($D31="MIN",$F31&lt;&gt;"")</formula>
    </cfRule>
    <cfRule type="expression" dxfId="5449" priority="7618">
      <formula>AND($D31="MIN",$F31="")</formula>
    </cfRule>
    <cfRule type="containsBlanks" dxfId="5448" priority="7619">
      <formula>LEN(TRIM(F31))=0</formula>
    </cfRule>
  </conditionalFormatting>
  <conditionalFormatting sqref="G31">
    <cfRule type="expression" dxfId="5447" priority="7614">
      <formula>AND(OR($D31="GD&amp;T",$D31="MAX"),$G31&lt;&gt;"")</formula>
    </cfRule>
    <cfRule type="expression" dxfId="5446" priority="7615">
      <formula>AND(OR($D31="GD&amp;T",$D31="MAX"),$G31="")</formula>
    </cfRule>
    <cfRule type="containsBlanks" dxfId="5445" priority="7616">
      <formula>LEN(TRIM(G31))=0</formula>
    </cfRule>
  </conditionalFormatting>
  <conditionalFormatting sqref="F31">
    <cfRule type="expression" dxfId="5444" priority="7611">
      <formula>AND($D31="MIN",$F31&lt;&gt;"")</formula>
    </cfRule>
    <cfRule type="expression" dxfId="5443" priority="7612">
      <formula>AND($D31="MIN",$F31="")</formula>
    </cfRule>
    <cfRule type="containsBlanks" dxfId="5442" priority="7613">
      <formula>LEN(TRIM(F31))=0</formula>
    </cfRule>
  </conditionalFormatting>
  <conditionalFormatting sqref="G31">
    <cfRule type="expression" dxfId="5441" priority="7608">
      <formula>AND(OR($D31="GD&amp;T",$D31="MAX"),$G31&lt;&gt;"")</formula>
    </cfRule>
    <cfRule type="expression" dxfId="5440" priority="7609">
      <formula>AND(OR($D31="GD&amp;T",$D31="MAX"),$G31="")</formula>
    </cfRule>
    <cfRule type="containsBlanks" dxfId="5439" priority="7610">
      <formula>LEN(TRIM(G31))=0</formula>
    </cfRule>
  </conditionalFormatting>
  <conditionalFormatting sqref="F31">
    <cfRule type="expression" dxfId="5438" priority="7605">
      <formula>AND($D31="MIN",$F31&lt;&gt;"")</formula>
    </cfRule>
    <cfRule type="expression" dxfId="5437" priority="7606">
      <formula>AND($D31="MIN",$F31="")</formula>
    </cfRule>
    <cfRule type="containsBlanks" dxfId="5436" priority="7607">
      <formula>LEN(TRIM(F31))=0</formula>
    </cfRule>
  </conditionalFormatting>
  <conditionalFormatting sqref="G31">
    <cfRule type="expression" dxfId="5435" priority="7602">
      <formula>AND(OR($D31="GD&amp;T",$D31="MAX"),$G31&lt;&gt;"")</formula>
    </cfRule>
    <cfRule type="expression" dxfId="5434" priority="7603">
      <formula>AND(OR($D31="GD&amp;T",$D31="MAX"),$G31="")</formula>
    </cfRule>
    <cfRule type="containsBlanks" dxfId="5433" priority="7604">
      <formula>LEN(TRIM(G31))=0</formula>
    </cfRule>
  </conditionalFormatting>
  <conditionalFormatting sqref="F31">
    <cfRule type="expression" dxfId="5432" priority="7599">
      <formula>AND($D31="MIN",$F31&lt;&gt;"")</formula>
    </cfRule>
    <cfRule type="expression" dxfId="5431" priority="7600">
      <formula>AND($D31="MIN",$F31="")</formula>
    </cfRule>
    <cfRule type="containsBlanks" dxfId="5430" priority="7601">
      <formula>LEN(TRIM(F31))=0</formula>
    </cfRule>
  </conditionalFormatting>
  <conditionalFormatting sqref="G31">
    <cfRule type="expression" dxfId="5429" priority="7596">
      <formula>AND(OR($D31="GD&amp;T",$D31="MAX"),$G31&lt;&gt;"")</formula>
    </cfRule>
    <cfRule type="expression" dxfId="5428" priority="7597">
      <formula>AND(OR($D31="GD&amp;T",$D31="MAX"),$G31="")</formula>
    </cfRule>
    <cfRule type="containsBlanks" dxfId="5427" priority="7598">
      <formula>LEN(TRIM(G31))=0</formula>
    </cfRule>
  </conditionalFormatting>
  <conditionalFormatting sqref="F32">
    <cfRule type="expression" dxfId="5426" priority="7593">
      <formula>AND($D32="MIN",$F32&lt;&gt;"")</formula>
    </cfRule>
    <cfRule type="expression" dxfId="5425" priority="7594">
      <formula>AND($D32="MIN",$F32="")</formula>
    </cfRule>
    <cfRule type="containsBlanks" dxfId="5424" priority="7595">
      <formula>LEN(TRIM(F32))=0</formula>
    </cfRule>
  </conditionalFormatting>
  <conditionalFormatting sqref="G32">
    <cfRule type="expression" dxfId="5423" priority="7590">
      <formula>AND(OR($D32="GD&amp;T",$D32="MAX"),$G32&lt;&gt;"")</formula>
    </cfRule>
    <cfRule type="expression" dxfId="5422" priority="7591">
      <formula>AND(OR($D32="GD&amp;T",$D32="MAX"),$G32="")</formula>
    </cfRule>
    <cfRule type="containsBlanks" dxfId="5421" priority="7592">
      <formula>LEN(TRIM(G32))=0</formula>
    </cfRule>
  </conditionalFormatting>
  <conditionalFormatting sqref="F32">
    <cfRule type="expression" dxfId="5420" priority="7587">
      <formula>AND($D32="MIN",$F32&lt;&gt;"")</formula>
    </cfRule>
    <cfRule type="expression" dxfId="5419" priority="7588">
      <formula>AND($D32="MIN",$F32="")</formula>
    </cfRule>
    <cfRule type="containsBlanks" dxfId="5418" priority="7589">
      <formula>LEN(TRIM(F32))=0</formula>
    </cfRule>
  </conditionalFormatting>
  <conditionalFormatting sqref="G32">
    <cfRule type="expression" dxfId="5417" priority="7584">
      <formula>AND(OR($D32="GD&amp;T",$D32="MAX"),$G32&lt;&gt;"")</formula>
    </cfRule>
    <cfRule type="expression" dxfId="5416" priority="7585">
      <formula>AND(OR($D32="GD&amp;T",$D32="MAX"),$G32="")</formula>
    </cfRule>
    <cfRule type="containsBlanks" dxfId="5415" priority="7586">
      <formula>LEN(TRIM(G32))=0</formula>
    </cfRule>
  </conditionalFormatting>
  <conditionalFormatting sqref="F31">
    <cfRule type="expression" dxfId="5414" priority="7581">
      <formula>AND($D31="MIN",$F31&lt;&gt;"")</formula>
    </cfRule>
    <cfRule type="expression" dxfId="5413" priority="7582">
      <formula>AND($D31="MIN",$F31="")</formula>
    </cfRule>
    <cfRule type="containsBlanks" dxfId="5412" priority="7583">
      <formula>LEN(TRIM(F31))=0</formula>
    </cfRule>
  </conditionalFormatting>
  <conditionalFormatting sqref="G31">
    <cfRule type="expression" dxfId="5411" priority="7578">
      <formula>AND(OR($D31="GD&amp;T",$D31="MAX"),$G31&lt;&gt;"")</formula>
    </cfRule>
    <cfRule type="expression" dxfId="5410" priority="7579">
      <formula>AND(OR($D31="GD&amp;T",$D31="MAX"),$G31="")</formula>
    </cfRule>
    <cfRule type="containsBlanks" dxfId="5409" priority="7580">
      <formula>LEN(TRIM(G31))=0</formula>
    </cfRule>
  </conditionalFormatting>
  <conditionalFormatting sqref="F31">
    <cfRule type="expression" dxfId="5408" priority="7575">
      <formula>AND($D31="MIN",$F31&lt;&gt;"")</formula>
    </cfRule>
    <cfRule type="expression" dxfId="5407" priority="7576">
      <formula>AND($D31="MIN",$F31="")</formula>
    </cfRule>
    <cfRule type="containsBlanks" dxfId="5406" priority="7577">
      <formula>LEN(TRIM(F31))=0</formula>
    </cfRule>
  </conditionalFormatting>
  <conditionalFormatting sqref="G31">
    <cfRule type="expression" dxfId="5405" priority="7572">
      <formula>AND(OR($D31="GD&amp;T",$D31="MAX"),$G31&lt;&gt;"")</formula>
    </cfRule>
    <cfRule type="expression" dxfId="5404" priority="7573">
      <formula>AND(OR($D31="GD&amp;T",$D31="MAX"),$G31="")</formula>
    </cfRule>
    <cfRule type="containsBlanks" dxfId="5403" priority="7574">
      <formula>LEN(TRIM(G31))=0</formula>
    </cfRule>
  </conditionalFormatting>
  <conditionalFormatting sqref="F32">
    <cfRule type="expression" dxfId="5402" priority="7569">
      <formula>AND($D32="MIN",$F32&lt;&gt;"")</formula>
    </cfRule>
    <cfRule type="expression" dxfId="5401" priority="7570">
      <formula>AND($D32="MIN",$F32="")</formula>
    </cfRule>
    <cfRule type="containsBlanks" dxfId="5400" priority="7571">
      <formula>LEN(TRIM(F32))=0</formula>
    </cfRule>
  </conditionalFormatting>
  <conditionalFormatting sqref="G32">
    <cfRule type="expression" dxfId="5399" priority="7566">
      <formula>AND(OR($D32="GD&amp;T",$D32="MAX"),$G32&lt;&gt;"")</formula>
    </cfRule>
    <cfRule type="expression" dxfId="5398" priority="7567">
      <formula>AND(OR($D32="GD&amp;T",$D32="MAX"),$G32="")</formula>
    </cfRule>
    <cfRule type="containsBlanks" dxfId="5397" priority="7568">
      <formula>LEN(TRIM(G32))=0</formula>
    </cfRule>
  </conditionalFormatting>
  <conditionalFormatting sqref="F32">
    <cfRule type="expression" dxfId="5396" priority="7563">
      <formula>AND($D32="MIN",$F32&lt;&gt;"")</formula>
    </cfRule>
    <cfRule type="expression" dxfId="5395" priority="7564">
      <formula>AND($D32="MIN",$F32="")</formula>
    </cfRule>
    <cfRule type="containsBlanks" dxfId="5394" priority="7565">
      <formula>LEN(TRIM(F32))=0</formula>
    </cfRule>
  </conditionalFormatting>
  <conditionalFormatting sqref="G32">
    <cfRule type="expression" dxfId="5393" priority="7560">
      <formula>AND(OR($D32="GD&amp;T",$D32="MAX"),$G32&lt;&gt;"")</formula>
    </cfRule>
    <cfRule type="expression" dxfId="5392" priority="7561">
      <formula>AND(OR($D32="GD&amp;T",$D32="MAX"),$G32="")</formula>
    </cfRule>
    <cfRule type="containsBlanks" dxfId="5391" priority="7562">
      <formula>LEN(TRIM(G32))=0</formula>
    </cfRule>
  </conditionalFormatting>
  <conditionalFormatting sqref="F31">
    <cfRule type="expression" dxfId="5390" priority="7557">
      <formula>AND($D31="MIN",$F31&lt;&gt;"")</formula>
    </cfRule>
    <cfRule type="expression" dxfId="5389" priority="7558">
      <formula>AND($D31="MIN",$F31="")</formula>
    </cfRule>
    <cfRule type="containsBlanks" dxfId="5388" priority="7559">
      <formula>LEN(TRIM(F31))=0</formula>
    </cfRule>
  </conditionalFormatting>
  <conditionalFormatting sqref="G31">
    <cfRule type="expression" dxfId="5387" priority="7554">
      <formula>AND(OR($D31="GD&amp;T",$D31="MAX"),$G31&lt;&gt;"")</formula>
    </cfRule>
    <cfRule type="expression" dxfId="5386" priority="7555">
      <formula>AND(OR($D31="GD&amp;T",$D31="MAX"),$G31="")</formula>
    </cfRule>
    <cfRule type="containsBlanks" dxfId="5385" priority="7556">
      <formula>LEN(TRIM(G31))=0</formula>
    </cfRule>
  </conditionalFormatting>
  <conditionalFormatting sqref="F31">
    <cfRule type="expression" dxfId="5384" priority="7551">
      <formula>AND($D31="MIN",$F31&lt;&gt;"")</formula>
    </cfRule>
    <cfRule type="expression" dxfId="5383" priority="7552">
      <formula>AND($D31="MIN",$F31="")</formula>
    </cfRule>
    <cfRule type="containsBlanks" dxfId="5382" priority="7553">
      <formula>LEN(TRIM(F31))=0</formula>
    </cfRule>
  </conditionalFormatting>
  <conditionalFormatting sqref="G31">
    <cfRule type="expression" dxfId="5381" priority="7548">
      <formula>AND(OR($D31="GD&amp;T",$D31="MAX"),$G31&lt;&gt;"")</formula>
    </cfRule>
    <cfRule type="expression" dxfId="5380" priority="7549">
      <formula>AND(OR($D31="GD&amp;T",$D31="MAX"),$G31="")</formula>
    </cfRule>
    <cfRule type="containsBlanks" dxfId="5379" priority="7550">
      <formula>LEN(TRIM(G31))=0</formula>
    </cfRule>
  </conditionalFormatting>
  <conditionalFormatting sqref="F31">
    <cfRule type="expression" dxfId="5378" priority="7545">
      <formula>AND($D31="MIN",$F31&lt;&gt;"")</formula>
    </cfRule>
    <cfRule type="expression" dxfId="5377" priority="7546">
      <formula>AND($D31="MIN",$F31="")</formula>
    </cfRule>
    <cfRule type="containsBlanks" dxfId="5376" priority="7547">
      <formula>LEN(TRIM(F31))=0</formula>
    </cfRule>
  </conditionalFormatting>
  <conditionalFormatting sqref="G31:G32">
    <cfRule type="expression" dxfId="5375" priority="7542">
      <formula>AND(OR($D31="GD&amp;T",$D31="MAX"),$G31&lt;&gt;"")</formula>
    </cfRule>
    <cfRule type="expression" dxfId="5374" priority="7543">
      <formula>AND(OR($D31="GD&amp;T",$D31="MAX"),$G31="")</formula>
    </cfRule>
    <cfRule type="containsBlanks" dxfId="5373" priority="7544">
      <formula>LEN(TRIM(G31))=0</formula>
    </cfRule>
  </conditionalFormatting>
  <conditionalFormatting sqref="F31">
    <cfRule type="expression" dxfId="5372" priority="7539">
      <formula>AND($D31="MIN",$F31&lt;&gt;"")</formula>
    </cfRule>
    <cfRule type="expression" dxfId="5371" priority="7540">
      <formula>AND($D31="MIN",$F31="")</formula>
    </cfRule>
    <cfRule type="containsBlanks" dxfId="5370" priority="7541">
      <formula>LEN(TRIM(F31))=0</formula>
    </cfRule>
  </conditionalFormatting>
  <conditionalFormatting sqref="G31:G32">
    <cfRule type="expression" dxfId="5369" priority="7536">
      <formula>AND(OR($D31="GD&amp;T",$D31="MAX"),$G31&lt;&gt;"")</formula>
    </cfRule>
    <cfRule type="expression" dxfId="5368" priority="7537">
      <formula>AND(OR($D31="GD&amp;T",$D31="MAX"),$G31="")</formula>
    </cfRule>
    <cfRule type="containsBlanks" dxfId="5367" priority="7538">
      <formula>LEN(TRIM(G31))=0</formula>
    </cfRule>
  </conditionalFormatting>
  <conditionalFormatting sqref="F31">
    <cfRule type="expression" dxfId="5366" priority="7533">
      <formula>AND($D31="MIN",$F31&lt;&gt;"")</formula>
    </cfRule>
    <cfRule type="expression" dxfId="5365" priority="7534">
      <formula>AND($D31="MIN",$F31="")</formula>
    </cfRule>
    <cfRule type="containsBlanks" dxfId="5364" priority="7535">
      <formula>LEN(TRIM(F31))=0</formula>
    </cfRule>
  </conditionalFormatting>
  <conditionalFormatting sqref="G31:G32">
    <cfRule type="expression" dxfId="5363" priority="7530">
      <formula>AND(OR($D31="GD&amp;T",$D31="MAX"),$G31&lt;&gt;"")</formula>
    </cfRule>
    <cfRule type="expression" dxfId="5362" priority="7531">
      <formula>AND(OR($D31="GD&amp;T",$D31="MAX"),$G31="")</formula>
    </cfRule>
    <cfRule type="containsBlanks" dxfId="5361" priority="7532">
      <formula>LEN(TRIM(G31))=0</formula>
    </cfRule>
  </conditionalFormatting>
  <conditionalFormatting sqref="F31">
    <cfRule type="expression" dxfId="5360" priority="7527">
      <formula>AND($D31="MIN",$F31&lt;&gt;"")</formula>
    </cfRule>
    <cfRule type="expression" dxfId="5359" priority="7528">
      <formula>AND($D31="MIN",$F31="")</formula>
    </cfRule>
    <cfRule type="containsBlanks" dxfId="5358" priority="7529">
      <formula>LEN(TRIM(F31))=0</formula>
    </cfRule>
  </conditionalFormatting>
  <conditionalFormatting sqref="G31:G32">
    <cfRule type="expression" dxfId="5357" priority="7524">
      <formula>AND(OR($D31="GD&amp;T",$D31="MAX"),$G31&lt;&gt;"")</formula>
    </cfRule>
    <cfRule type="expression" dxfId="5356" priority="7525">
      <formula>AND(OR($D31="GD&amp;T",$D31="MAX"),$G31="")</formula>
    </cfRule>
    <cfRule type="containsBlanks" dxfId="5355" priority="7526">
      <formula>LEN(TRIM(G31))=0</formula>
    </cfRule>
  </conditionalFormatting>
  <conditionalFormatting sqref="F31">
    <cfRule type="expression" dxfId="5354" priority="7521">
      <formula>AND($D31="MIN",$F31&lt;&gt;"")</formula>
    </cfRule>
    <cfRule type="expression" dxfId="5353" priority="7522">
      <formula>AND($D31="MIN",$F31="")</formula>
    </cfRule>
    <cfRule type="containsBlanks" dxfId="5352" priority="7523">
      <formula>LEN(TRIM(F31))=0</formula>
    </cfRule>
  </conditionalFormatting>
  <conditionalFormatting sqref="G31:G32">
    <cfRule type="expression" dxfId="5351" priority="7518">
      <formula>AND(OR($D31="GD&amp;T",$D31="MAX"),$G31&lt;&gt;"")</formula>
    </cfRule>
    <cfRule type="expression" dxfId="5350" priority="7519">
      <formula>AND(OR($D31="GD&amp;T",$D31="MAX"),$G31="")</formula>
    </cfRule>
    <cfRule type="containsBlanks" dxfId="5349" priority="7520">
      <formula>LEN(TRIM(G31))=0</formula>
    </cfRule>
  </conditionalFormatting>
  <conditionalFormatting sqref="F32">
    <cfRule type="expression" dxfId="5348" priority="7515">
      <formula>AND($D32="MIN",$F32&lt;&gt;"")</formula>
    </cfRule>
    <cfRule type="expression" dxfId="5347" priority="7516">
      <formula>AND($D32="MIN",$F32="")</formula>
    </cfRule>
    <cfRule type="containsBlanks" dxfId="5346" priority="7517">
      <formula>LEN(TRIM(F32))=0</formula>
    </cfRule>
  </conditionalFormatting>
  <conditionalFormatting sqref="F32">
    <cfRule type="expression" dxfId="5345" priority="7512">
      <formula>AND($D32="MIN",$F32&lt;&gt;"")</formula>
    </cfRule>
    <cfRule type="expression" dxfId="5344" priority="7513">
      <formula>AND($D32="MIN",$F32="")</formula>
    </cfRule>
    <cfRule type="containsBlanks" dxfId="5343" priority="7514">
      <formula>LEN(TRIM(F32))=0</formula>
    </cfRule>
  </conditionalFormatting>
  <conditionalFormatting sqref="F32">
    <cfRule type="expression" dxfId="5342" priority="7509">
      <formula>AND($D32="MIN",$F32&lt;&gt;"")</formula>
    </cfRule>
    <cfRule type="expression" dxfId="5341" priority="7510">
      <formula>AND($D32="MIN",$F32="")</formula>
    </cfRule>
    <cfRule type="containsBlanks" dxfId="5340" priority="7511">
      <formula>LEN(TRIM(F32))=0</formula>
    </cfRule>
  </conditionalFormatting>
  <conditionalFormatting sqref="F32">
    <cfRule type="expression" dxfId="5339" priority="7506">
      <formula>AND($D32="MIN",$F32&lt;&gt;"")</formula>
    </cfRule>
    <cfRule type="expression" dxfId="5338" priority="7507">
      <formula>AND($D32="MIN",$F32="")</formula>
    </cfRule>
    <cfRule type="containsBlanks" dxfId="5337" priority="7508">
      <formula>LEN(TRIM(F32))=0</formula>
    </cfRule>
  </conditionalFormatting>
  <conditionalFormatting sqref="F32">
    <cfRule type="expression" dxfId="5336" priority="7503">
      <formula>AND($D32="MIN",$F32&lt;&gt;"")</formula>
    </cfRule>
    <cfRule type="expression" dxfId="5335" priority="7504">
      <formula>AND($D32="MIN",$F32="")</formula>
    </cfRule>
    <cfRule type="containsBlanks" dxfId="5334" priority="7505">
      <formula>LEN(TRIM(F32))=0</formula>
    </cfRule>
  </conditionalFormatting>
  <conditionalFormatting sqref="F33">
    <cfRule type="expression" dxfId="5333" priority="7500">
      <formula>AND($D33="MIN",$F33&lt;&gt;"")</formula>
    </cfRule>
    <cfRule type="expression" dxfId="5332" priority="7501">
      <formula>AND($D33="MIN",$F33="")</formula>
    </cfRule>
    <cfRule type="containsBlanks" dxfId="5331" priority="7502">
      <formula>LEN(TRIM(F33))=0</formula>
    </cfRule>
  </conditionalFormatting>
  <conditionalFormatting sqref="G33">
    <cfRule type="expression" dxfId="5330" priority="7497">
      <formula>AND(OR($D33="GD&amp;T",$D33="MAX"),$G33&lt;&gt;"")</formula>
    </cfRule>
    <cfRule type="expression" dxfId="5329" priority="7498">
      <formula>AND(OR($D33="GD&amp;T",$D33="MAX"),$G33="")</formula>
    </cfRule>
    <cfRule type="containsBlanks" dxfId="5328" priority="7499">
      <formula>LEN(TRIM(G33))=0</formula>
    </cfRule>
  </conditionalFormatting>
  <conditionalFormatting sqref="F33">
    <cfRule type="expression" dxfId="5327" priority="7494">
      <formula>AND($D33="MIN",$F33&lt;&gt;"")</formula>
    </cfRule>
    <cfRule type="expression" dxfId="5326" priority="7495">
      <formula>AND($D33="MIN",$F33="")</formula>
    </cfRule>
    <cfRule type="containsBlanks" dxfId="5325" priority="7496">
      <formula>LEN(TRIM(F33))=0</formula>
    </cfRule>
  </conditionalFormatting>
  <conditionalFormatting sqref="G33">
    <cfRule type="expression" dxfId="5324" priority="7491">
      <formula>AND(OR($D33="GD&amp;T",$D33="MAX"),$G33&lt;&gt;"")</formula>
    </cfRule>
    <cfRule type="expression" dxfId="5323" priority="7492">
      <formula>AND(OR($D33="GD&amp;T",$D33="MAX"),$G33="")</formula>
    </cfRule>
    <cfRule type="containsBlanks" dxfId="5322" priority="7493">
      <formula>LEN(TRIM(G33))=0</formula>
    </cfRule>
  </conditionalFormatting>
  <conditionalFormatting sqref="F33">
    <cfRule type="expression" dxfId="5321" priority="7488">
      <formula>AND($D33="MIN",$F33&lt;&gt;"")</formula>
    </cfRule>
    <cfRule type="expression" dxfId="5320" priority="7489">
      <formula>AND($D33="MIN",$F33="")</formula>
    </cfRule>
    <cfRule type="containsBlanks" dxfId="5319" priority="7490">
      <formula>LEN(TRIM(F33))=0</formula>
    </cfRule>
  </conditionalFormatting>
  <conditionalFormatting sqref="G33">
    <cfRule type="expression" dxfId="5318" priority="7485">
      <formula>AND(OR($D33="GD&amp;T",$D33="MAX"),$G33&lt;&gt;"")</formula>
    </cfRule>
    <cfRule type="expression" dxfId="5317" priority="7486">
      <formula>AND(OR($D33="GD&amp;T",$D33="MAX"),$G33="")</formula>
    </cfRule>
    <cfRule type="containsBlanks" dxfId="5316" priority="7487">
      <formula>LEN(TRIM(G33))=0</formula>
    </cfRule>
  </conditionalFormatting>
  <conditionalFormatting sqref="F33">
    <cfRule type="expression" dxfId="5315" priority="7482">
      <formula>AND($D33="MIN",$F33&lt;&gt;"")</formula>
    </cfRule>
    <cfRule type="expression" dxfId="5314" priority="7483">
      <formula>AND($D33="MIN",$F33="")</formula>
    </cfRule>
    <cfRule type="containsBlanks" dxfId="5313" priority="7484">
      <formula>LEN(TRIM(F33))=0</formula>
    </cfRule>
  </conditionalFormatting>
  <conditionalFormatting sqref="G33">
    <cfRule type="expression" dxfId="5312" priority="7479">
      <formula>AND(OR($D33="GD&amp;T",$D33="MAX"),$G33&lt;&gt;"")</formula>
    </cfRule>
    <cfRule type="expression" dxfId="5311" priority="7480">
      <formula>AND(OR($D33="GD&amp;T",$D33="MAX"),$G33="")</formula>
    </cfRule>
    <cfRule type="containsBlanks" dxfId="5310" priority="7481">
      <formula>LEN(TRIM(G33))=0</formula>
    </cfRule>
  </conditionalFormatting>
  <conditionalFormatting sqref="F34">
    <cfRule type="expression" dxfId="5309" priority="7476">
      <formula>AND($D34="MIN",$F34&lt;&gt;"")</formula>
    </cfRule>
    <cfRule type="expression" dxfId="5308" priority="7477">
      <formula>AND($D34="MIN",$F34="")</formula>
    </cfRule>
    <cfRule type="containsBlanks" dxfId="5307" priority="7478">
      <formula>LEN(TRIM(F34))=0</formula>
    </cfRule>
  </conditionalFormatting>
  <conditionalFormatting sqref="G34">
    <cfRule type="expression" dxfId="5306" priority="7473">
      <formula>AND(OR($D34="GD&amp;T",$D34="MAX"),$G34&lt;&gt;"")</formula>
    </cfRule>
    <cfRule type="expression" dxfId="5305" priority="7474">
      <formula>AND(OR($D34="GD&amp;T",$D34="MAX"),$G34="")</formula>
    </cfRule>
    <cfRule type="containsBlanks" dxfId="5304" priority="7475">
      <formula>LEN(TRIM(G34))=0</formula>
    </cfRule>
  </conditionalFormatting>
  <conditionalFormatting sqref="F34">
    <cfRule type="expression" dxfId="5303" priority="7470">
      <formula>AND($D34="MIN",$F34&lt;&gt;"")</formula>
    </cfRule>
    <cfRule type="expression" dxfId="5302" priority="7471">
      <formula>AND($D34="MIN",$F34="")</formula>
    </cfRule>
    <cfRule type="containsBlanks" dxfId="5301" priority="7472">
      <formula>LEN(TRIM(F34))=0</formula>
    </cfRule>
  </conditionalFormatting>
  <conditionalFormatting sqref="G34">
    <cfRule type="expression" dxfId="5300" priority="7467">
      <formula>AND(OR($D34="GD&amp;T",$D34="MAX"),$G34&lt;&gt;"")</formula>
    </cfRule>
    <cfRule type="expression" dxfId="5299" priority="7468">
      <formula>AND(OR($D34="GD&amp;T",$D34="MAX"),$G34="")</formula>
    </cfRule>
    <cfRule type="containsBlanks" dxfId="5298" priority="7469">
      <formula>LEN(TRIM(G34))=0</formula>
    </cfRule>
  </conditionalFormatting>
  <conditionalFormatting sqref="F33">
    <cfRule type="expression" dxfId="5297" priority="7464">
      <formula>AND($D33="MIN",$F33&lt;&gt;"")</formula>
    </cfRule>
    <cfRule type="expression" dxfId="5296" priority="7465">
      <formula>AND($D33="MIN",$F33="")</formula>
    </cfRule>
    <cfRule type="containsBlanks" dxfId="5295" priority="7466">
      <formula>LEN(TRIM(F33))=0</formula>
    </cfRule>
  </conditionalFormatting>
  <conditionalFormatting sqref="G33">
    <cfRule type="expression" dxfId="5294" priority="7461">
      <formula>AND(OR($D33="GD&amp;T",$D33="MAX"),$G33&lt;&gt;"")</formula>
    </cfRule>
    <cfRule type="expression" dxfId="5293" priority="7462">
      <formula>AND(OR($D33="GD&amp;T",$D33="MAX"),$G33="")</formula>
    </cfRule>
    <cfRule type="containsBlanks" dxfId="5292" priority="7463">
      <formula>LEN(TRIM(G33))=0</formula>
    </cfRule>
  </conditionalFormatting>
  <conditionalFormatting sqref="F33">
    <cfRule type="expression" dxfId="5291" priority="7458">
      <formula>AND($D33="MIN",$F33&lt;&gt;"")</formula>
    </cfRule>
    <cfRule type="expression" dxfId="5290" priority="7459">
      <formula>AND($D33="MIN",$F33="")</formula>
    </cfRule>
    <cfRule type="containsBlanks" dxfId="5289" priority="7460">
      <formula>LEN(TRIM(F33))=0</formula>
    </cfRule>
  </conditionalFormatting>
  <conditionalFormatting sqref="G33">
    <cfRule type="expression" dxfId="5288" priority="7455">
      <formula>AND(OR($D33="GD&amp;T",$D33="MAX"),$G33&lt;&gt;"")</formula>
    </cfRule>
    <cfRule type="expression" dxfId="5287" priority="7456">
      <formula>AND(OR($D33="GD&amp;T",$D33="MAX"),$G33="")</formula>
    </cfRule>
    <cfRule type="containsBlanks" dxfId="5286" priority="7457">
      <formula>LEN(TRIM(G33))=0</formula>
    </cfRule>
  </conditionalFormatting>
  <conditionalFormatting sqref="F34">
    <cfRule type="expression" dxfId="5285" priority="7452">
      <formula>AND($D34="MIN",$F34&lt;&gt;"")</formula>
    </cfRule>
    <cfRule type="expression" dxfId="5284" priority="7453">
      <formula>AND($D34="MIN",$F34="")</formula>
    </cfRule>
    <cfRule type="containsBlanks" dxfId="5283" priority="7454">
      <formula>LEN(TRIM(F34))=0</formula>
    </cfRule>
  </conditionalFormatting>
  <conditionalFormatting sqref="G34">
    <cfRule type="expression" dxfId="5282" priority="7449">
      <formula>AND(OR($D34="GD&amp;T",$D34="MAX"),$G34&lt;&gt;"")</formula>
    </cfRule>
    <cfRule type="expression" dxfId="5281" priority="7450">
      <formula>AND(OR($D34="GD&amp;T",$D34="MAX"),$G34="")</formula>
    </cfRule>
    <cfRule type="containsBlanks" dxfId="5280" priority="7451">
      <formula>LEN(TRIM(G34))=0</formula>
    </cfRule>
  </conditionalFormatting>
  <conditionalFormatting sqref="F34">
    <cfRule type="expression" dxfId="5279" priority="7446">
      <formula>AND($D34="MIN",$F34&lt;&gt;"")</formula>
    </cfRule>
    <cfRule type="expression" dxfId="5278" priority="7447">
      <formula>AND($D34="MIN",$F34="")</formula>
    </cfRule>
    <cfRule type="containsBlanks" dxfId="5277" priority="7448">
      <formula>LEN(TRIM(F34))=0</formula>
    </cfRule>
  </conditionalFormatting>
  <conditionalFormatting sqref="G34">
    <cfRule type="expression" dxfId="5276" priority="7443">
      <formula>AND(OR($D34="GD&amp;T",$D34="MAX"),$G34&lt;&gt;"")</formula>
    </cfRule>
    <cfRule type="expression" dxfId="5275" priority="7444">
      <formula>AND(OR($D34="GD&amp;T",$D34="MAX"),$G34="")</formula>
    </cfRule>
    <cfRule type="containsBlanks" dxfId="5274" priority="7445">
      <formula>LEN(TRIM(G34))=0</formula>
    </cfRule>
  </conditionalFormatting>
  <conditionalFormatting sqref="F33">
    <cfRule type="expression" dxfId="5273" priority="7440">
      <formula>AND($D33="MIN",$F33&lt;&gt;"")</formula>
    </cfRule>
    <cfRule type="expression" dxfId="5272" priority="7441">
      <formula>AND($D33="MIN",$F33="")</formula>
    </cfRule>
    <cfRule type="containsBlanks" dxfId="5271" priority="7442">
      <formula>LEN(TRIM(F33))=0</formula>
    </cfRule>
  </conditionalFormatting>
  <conditionalFormatting sqref="G33">
    <cfRule type="expression" dxfId="5270" priority="7437">
      <formula>AND(OR($D33="GD&amp;T",$D33="MAX"),$G33&lt;&gt;"")</formula>
    </cfRule>
    <cfRule type="expression" dxfId="5269" priority="7438">
      <formula>AND(OR($D33="GD&amp;T",$D33="MAX"),$G33="")</formula>
    </cfRule>
    <cfRule type="containsBlanks" dxfId="5268" priority="7439">
      <formula>LEN(TRIM(G33))=0</formula>
    </cfRule>
  </conditionalFormatting>
  <conditionalFormatting sqref="F33">
    <cfRule type="expression" dxfId="5267" priority="7434">
      <formula>AND($D33="MIN",$F33&lt;&gt;"")</formula>
    </cfRule>
    <cfRule type="expression" dxfId="5266" priority="7435">
      <formula>AND($D33="MIN",$F33="")</formula>
    </cfRule>
    <cfRule type="containsBlanks" dxfId="5265" priority="7436">
      <formula>LEN(TRIM(F33))=0</formula>
    </cfRule>
  </conditionalFormatting>
  <conditionalFormatting sqref="G33">
    <cfRule type="expression" dxfId="5264" priority="7431">
      <formula>AND(OR($D33="GD&amp;T",$D33="MAX"),$G33&lt;&gt;"")</formula>
    </cfRule>
    <cfRule type="expression" dxfId="5263" priority="7432">
      <formula>AND(OR($D33="GD&amp;T",$D33="MAX"),$G33="")</formula>
    </cfRule>
    <cfRule type="containsBlanks" dxfId="5262" priority="7433">
      <formula>LEN(TRIM(G33))=0</formula>
    </cfRule>
  </conditionalFormatting>
  <conditionalFormatting sqref="F33">
    <cfRule type="expression" dxfId="5261" priority="7428">
      <formula>AND($D33="MIN",$F33&lt;&gt;"")</formula>
    </cfRule>
    <cfRule type="expression" dxfId="5260" priority="7429">
      <formula>AND($D33="MIN",$F33="")</formula>
    </cfRule>
    <cfRule type="containsBlanks" dxfId="5259" priority="7430">
      <formula>LEN(TRIM(F33))=0</formula>
    </cfRule>
  </conditionalFormatting>
  <conditionalFormatting sqref="G33:G34">
    <cfRule type="expression" dxfId="5258" priority="7425">
      <formula>AND(OR($D33="GD&amp;T",$D33="MAX"),$G33&lt;&gt;"")</formula>
    </cfRule>
    <cfRule type="expression" dxfId="5257" priority="7426">
      <formula>AND(OR($D33="GD&amp;T",$D33="MAX"),$G33="")</formula>
    </cfRule>
    <cfRule type="containsBlanks" dxfId="5256" priority="7427">
      <formula>LEN(TRIM(G33))=0</formula>
    </cfRule>
  </conditionalFormatting>
  <conditionalFormatting sqref="F33">
    <cfRule type="expression" dxfId="5255" priority="7422">
      <formula>AND($D33="MIN",$F33&lt;&gt;"")</formula>
    </cfRule>
    <cfRule type="expression" dxfId="5254" priority="7423">
      <formula>AND($D33="MIN",$F33="")</formula>
    </cfRule>
    <cfRule type="containsBlanks" dxfId="5253" priority="7424">
      <formula>LEN(TRIM(F33))=0</formula>
    </cfRule>
  </conditionalFormatting>
  <conditionalFormatting sqref="G33:G34">
    <cfRule type="expression" dxfId="5252" priority="7419">
      <formula>AND(OR($D33="GD&amp;T",$D33="MAX"),$G33&lt;&gt;"")</formula>
    </cfRule>
    <cfRule type="expression" dxfId="5251" priority="7420">
      <formula>AND(OR($D33="GD&amp;T",$D33="MAX"),$G33="")</formula>
    </cfRule>
    <cfRule type="containsBlanks" dxfId="5250" priority="7421">
      <formula>LEN(TRIM(G33))=0</formula>
    </cfRule>
  </conditionalFormatting>
  <conditionalFormatting sqref="F33">
    <cfRule type="expression" dxfId="5249" priority="7416">
      <formula>AND($D33="MIN",$F33&lt;&gt;"")</formula>
    </cfRule>
    <cfRule type="expression" dxfId="5248" priority="7417">
      <formula>AND($D33="MIN",$F33="")</formula>
    </cfRule>
    <cfRule type="containsBlanks" dxfId="5247" priority="7418">
      <formula>LEN(TRIM(F33))=0</formula>
    </cfRule>
  </conditionalFormatting>
  <conditionalFormatting sqref="G33:G34">
    <cfRule type="expression" dxfId="5246" priority="7413">
      <formula>AND(OR($D33="GD&amp;T",$D33="MAX"),$G33&lt;&gt;"")</formula>
    </cfRule>
    <cfRule type="expression" dxfId="5245" priority="7414">
      <formula>AND(OR($D33="GD&amp;T",$D33="MAX"),$G33="")</formula>
    </cfRule>
    <cfRule type="containsBlanks" dxfId="5244" priority="7415">
      <formula>LEN(TRIM(G33))=0</formula>
    </cfRule>
  </conditionalFormatting>
  <conditionalFormatting sqref="F33">
    <cfRule type="expression" dxfId="5243" priority="7410">
      <formula>AND($D33="MIN",$F33&lt;&gt;"")</formula>
    </cfRule>
    <cfRule type="expression" dxfId="5242" priority="7411">
      <formula>AND($D33="MIN",$F33="")</formula>
    </cfRule>
    <cfRule type="containsBlanks" dxfId="5241" priority="7412">
      <formula>LEN(TRIM(F33))=0</formula>
    </cfRule>
  </conditionalFormatting>
  <conditionalFormatting sqref="G33:G34">
    <cfRule type="expression" dxfId="5240" priority="7407">
      <formula>AND(OR($D33="GD&amp;T",$D33="MAX"),$G33&lt;&gt;"")</formula>
    </cfRule>
    <cfRule type="expression" dxfId="5239" priority="7408">
      <formula>AND(OR($D33="GD&amp;T",$D33="MAX"),$G33="")</formula>
    </cfRule>
    <cfRule type="containsBlanks" dxfId="5238" priority="7409">
      <formula>LEN(TRIM(G33))=0</formula>
    </cfRule>
  </conditionalFormatting>
  <conditionalFormatting sqref="F33">
    <cfRule type="expression" dxfId="5237" priority="7404">
      <formula>AND($D33="MIN",$F33&lt;&gt;"")</formula>
    </cfRule>
    <cfRule type="expression" dxfId="5236" priority="7405">
      <formula>AND($D33="MIN",$F33="")</formula>
    </cfRule>
    <cfRule type="containsBlanks" dxfId="5235" priority="7406">
      <formula>LEN(TRIM(F33))=0</formula>
    </cfRule>
  </conditionalFormatting>
  <conditionalFormatting sqref="G33:G34">
    <cfRule type="expression" dxfId="5234" priority="7401">
      <formula>AND(OR($D33="GD&amp;T",$D33="MAX"),$G33&lt;&gt;"")</formula>
    </cfRule>
    <cfRule type="expression" dxfId="5233" priority="7402">
      <formula>AND(OR($D33="GD&amp;T",$D33="MAX"),$G33="")</formula>
    </cfRule>
    <cfRule type="containsBlanks" dxfId="5232" priority="7403">
      <formula>LEN(TRIM(G33))=0</formula>
    </cfRule>
  </conditionalFormatting>
  <conditionalFormatting sqref="F34">
    <cfRule type="expression" dxfId="5231" priority="7398">
      <formula>AND($D34="MIN",$F34&lt;&gt;"")</formula>
    </cfRule>
    <cfRule type="expression" dxfId="5230" priority="7399">
      <formula>AND($D34="MIN",$F34="")</formula>
    </cfRule>
    <cfRule type="containsBlanks" dxfId="5229" priority="7400">
      <formula>LEN(TRIM(F34))=0</formula>
    </cfRule>
  </conditionalFormatting>
  <conditionalFormatting sqref="F34">
    <cfRule type="expression" dxfId="5228" priority="7395">
      <formula>AND($D34="MIN",$F34&lt;&gt;"")</formula>
    </cfRule>
    <cfRule type="expression" dxfId="5227" priority="7396">
      <formula>AND($D34="MIN",$F34="")</formula>
    </cfRule>
    <cfRule type="containsBlanks" dxfId="5226" priority="7397">
      <formula>LEN(TRIM(F34))=0</formula>
    </cfRule>
  </conditionalFormatting>
  <conditionalFormatting sqref="F34">
    <cfRule type="expression" dxfId="5225" priority="7392">
      <formula>AND($D34="MIN",$F34&lt;&gt;"")</formula>
    </cfRule>
    <cfRule type="expression" dxfId="5224" priority="7393">
      <formula>AND($D34="MIN",$F34="")</formula>
    </cfRule>
    <cfRule type="containsBlanks" dxfId="5223" priority="7394">
      <formula>LEN(TRIM(F34))=0</formula>
    </cfRule>
  </conditionalFormatting>
  <conditionalFormatting sqref="F34">
    <cfRule type="expression" dxfId="5222" priority="7389">
      <formula>AND($D34="MIN",$F34&lt;&gt;"")</formula>
    </cfRule>
    <cfRule type="expression" dxfId="5221" priority="7390">
      <formula>AND($D34="MIN",$F34="")</formula>
    </cfRule>
    <cfRule type="containsBlanks" dxfId="5220" priority="7391">
      <formula>LEN(TRIM(F34))=0</formula>
    </cfRule>
  </conditionalFormatting>
  <conditionalFormatting sqref="F34">
    <cfRule type="expression" dxfId="5219" priority="7386">
      <formula>AND($D34="MIN",$F34&lt;&gt;"")</formula>
    </cfRule>
    <cfRule type="expression" dxfId="5218" priority="7387">
      <formula>AND($D34="MIN",$F34="")</formula>
    </cfRule>
    <cfRule type="containsBlanks" dxfId="5217" priority="7388">
      <formula>LEN(TRIM(F34))=0</formula>
    </cfRule>
  </conditionalFormatting>
  <conditionalFormatting sqref="F35:F37">
    <cfRule type="expression" dxfId="5216" priority="7383">
      <formula>AND($D35="MIN",$F35&lt;&gt;"")</formula>
    </cfRule>
    <cfRule type="expression" dxfId="5215" priority="7384">
      <formula>AND($D35="MIN",$F35="")</formula>
    </cfRule>
    <cfRule type="containsBlanks" dxfId="5214" priority="7385">
      <formula>LEN(TRIM(F35))=0</formula>
    </cfRule>
  </conditionalFormatting>
  <conditionalFormatting sqref="G35:G37">
    <cfRule type="expression" dxfId="5213" priority="7380">
      <formula>AND(OR($D35="GD&amp;T",$D35="MAX"),$G35&lt;&gt;"")</formula>
    </cfRule>
    <cfRule type="expression" dxfId="5212" priority="7381">
      <formula>AND(OR($D35="GD&amp;T",$D35="MAX"),$G35="")</formula>
    </cfRule>
    <cfRule type="containsBlanks" dxfId="5211" priority="7382">
      <formula>LEN(TRIM(G35))=0</formula>
    </cfRule>
  </conditionalFormatting>
  <conditionalFormatting sqref="F35:F37">
    <cfRule type="expression" dxfId="5210" priority="7377">
      <formula>AND($D35="MIN",$F35&lt;&gt;"")</formula>
    </cfRule>
    <cfRule type="expression" dxfId="5209" priority="7378">
      <formula>AND($D35="MIN",$F35="")</formula>
    </cfRule>
    <cfRule type="containsBlanks" dxfId="5208" priority="7379">
      <formula>LEN(TRIM(F35))=0</formula>
    </cfRule>
  </conditionalFormatting>
  <conditionalFormatting sqref="G35:G37">
    <cfRule type="expression" dxfId="5207" priority="7374">
      <formula>AND(OR($D35="GD&amp;T",$D35="MAX"),$G35&lt;&gt;"")</formula>
    </cfRule>
    <cfRule type="expression" dxfId="5206" priority="7375">
      <formula>AND(OR($D35="GD&amp;T",$D35="MAX"),$G35="")</formula>
    </cfRule>
    <cfRule type="containsBlanks" dxfId="5205" priority="7376">
      <formula>LEN(TRIM(G35))=0</formula>
    </cfRule>
  </conditionalFormatting>
  <conditionalFormatting sqref="F35:F37">
    <cfRule type="expression" dxfId="5204" priority="7371">
      <formula>AND($D35="MIN",$F35&lt;&gt;"")</formula>
    </cfRule>
    <cfRule type="expression" dxfId="5203" priority="7372">
      <formula>AND($D35="MIN",$F35="")</formula>
    </cfRule>
    <cfRule type="containsBlanks" dxfId="5202" priority="7373">
      <formula>LEN(TRIM(F35))=0</formula>
    </cfRule>
  </conditionalFormatting>
  <conditionalFormatting sqref="G35:G37">
    <cfRule type="expression" dxfId="5201" priority="7368">
      <formula>AND(OR($D35="GD&amp;T",$D35="MAX"),$G35&lt;&gt;"")</formula>
    </cfRule>
    <cfRule type="expression" dxfId="5200" priority="7369">
      <formula>AND(OR($D35="GD&amp;T",$D35="MAX"),$G35="")</formula>
    </cfRule>
    <cfRule type="containsBlanks" dxfId="5199" priority="7370">
      <formula>LEN(TRIM(G35))=0</formula>
    </cfRule>
  </conditionalFormatting>
  <conditionalFormatting sqref="F35:F37">
    <cfRule type="expression" dxfId="5198" priority="7365">
      <formula>AND($D35="MIN",$F35&lt;&gt;"")</formula>
    </cfRule>
    <cfRule type="expression" dxfId="5197" priority="7366">
      <formula>AND($D35="MIN",$F35="")</formula>
    </cfRule>
    <cfRule type="containsBlanks" dxfId="5196" priority="7367">
      <formula>LEN(TRIM(F35))=0</formula>
    </cfRule>
  </conditionalFormatting>
  <conditionalFormatting sqref="G35:G37">
    <cfRule type="expression" dxfId="5195" priority="7362">
      <formula>AND(OR($D35="GD&amp;T",$D35="MAX"),$G35&lt;&gt;"")</formula>
    </cfRule>
    <cfRule type="expression" dxfId="5194" priority="7363">
      <formula>AND(OR($D35="GD&amp;T",$D35="MAX"),$G35="")</formula>
    </cfRule>
    <cfRule type="containsBlanks" dxfId="5193" priority="7364">
      <formula>LEN(TRIM(G35))=0</formula>
    </cfRule>
  </conditionalFormatting>
  <conditionalFormatting sqref="G35:G37">
    <cfRule type="expression" dxfId="5192" priority="7359">
      <formula>AND(OR($D35="GD&amp;T",$D35="MAX"),$G35&lt;&gt;"")</formula>
    </cfRule>
    <cfRule type="expression" dxfId="5191" priority="7360">
      <formula>AND(OR($D35="GD&amp;T",$D35="MAX"),$G35="")</formula>
    </cfRule>
    <cfRule type="containsBlanks" dxfId="5190" priority="7361">
      <formula>LEN(TRIM(G35))=0</formula>
    </cfRule>
  </conditionalFormatting>
  <conditionalFormatting sqref="G35:G37">
    <cfRule type="expression" dxfId="5189" priority="7356">
      <formula>AND(OR($D35="GD&amp;T",$D35="MAX"),$G35&lt;&gt;"")</formula>
    </cfRule>
    <cfRule type="expression" dxfId="5188" priority="7357">
      <formula>AND(OR($D35="GD&amp;T",$D35="MAX"),$G35="")</formula>
    </cfRule>
    <cfRule type="containsBlanks" dxfId="5187" priority="7358">
      <formula>LEN(TRIM(G35))=0</formula>
    </cfRule>
  </conditionalFormatting>
  <conditionalFormatting sqref="G35:G37">
    <cfRule type="expression" dxfId="5186" priority="7353">
      <formula>AND(OR($D35="GD&amp;T",$D35="MAX"),$G35&lt;&gt;"")</formula>
    </cfRule>
    <cfRule type="expression" dxfId="5185" priority="7354">
      <formula>AND(OR($D35="GD&amp;T",$D35="MAX"),$G35="")</formula>
    </cfRule>
    <cfRule type="containsBlanks" dxfId="5184" priority="7355">
      <formula>LEN(TRIM(G35))=0</formula>
    </cfRule>
  </conditionalFormatting>
  <conditionalFormatting sqref="G35:G37">
    <cfRule type="expression" dxfId="5183" priority="7350">
      <formula>AND(OR($D35="GD&amp;T",$D35="MAX"),$G35&lt;&gt;"")</formula>
    </cfRule>
    <cfRule type="expression" dxfId="5182" priority="7351">
      <formula>AND(OR($D35="GD&amp;T",$D35="MAX"),$G35="")</formula>
    </cfRule>
    <cfRule type="containsBlanks" dxfId="5181" priority="7352">
      <formula>LEN(TRIM(G35))=0</formula>
    </cfRule>
  </conditionalFormatting>
  <conditionalFormatting sqref="G35:G37">
    <cfRule type="expression" dxfId="5180" priority="7347">
      <formula>AND(OR($D35="GD&amp;T",$D35="MAX"),$G35&lt;&gt;"")</formula>
    </cfRule>
    <cfRule type="expression" dxfId="5179" priority="7348">
      <formula>AND(OR($D35="GD&amp;T",$D35="MAX"),$G35="")</formula>
    </cfRule>
    <cfRule type="containsBlanks" dxfId="5178" priority="7349">
      <formula>LEN(TRIM(G35))=0</formula>
    </cfRule>
  </conditionalFormatting>
  <conditionalFormatting sqref="F35:F37">
    <cfRule type="expression" dxfId="5177" priority="7344">
      <formula>AND($D35="MIN",$F35&lt;&gt;"")</formula>
    </cfRule>
    <cfRule type="expression" dxfId="5176" priority="7345">
      <formula>AND($D35="MIN",$F35="")</formula>
    </cfRule>
    <cfRule type="containsBlanks" dxfId="5175" priority="7346">
      <formula>LEN(TRIM(F35))=0</formula>
    </cfRule>
  </conditionalFormatting>
  <conditionalFormatting sqref="F35:F37">
    <cfRule type="expression" dxfId="5174" priority="7341">
      <formula>AND($D35="MIN",$F35&lt;&gt;"")</formula>
    </cfRule>
    <cfRule type="expression" dxfId="5173" priority="7342">
      <formula>AND($D35="MIN",$F35="")</formula>
    </cfRule>
    <cfRule type="containsBlanks" dxfId="5172" priority="7343">
      <formula>LEN(TRIM(F35))=0</formula>
    </cfRule>
  </conditionalFormatting>
  <conditionalFormatting sqref="F35:F37">
    <cfRule type="expression" dxfId="5171" priority="7338">
      <formula>AND($D35="MIN",$F35&lt;&gt;"")</formula>
    </cfRule>
    <cfRule type="expression" dxfId="5170" priority="7339">
      <formula>AND($D35="MIN",$F35="")</formula>
    </cfRule>
    <cfRule type="containsBlanks" dxfId="5169" priority="7340">
      <formula>LEN(TRIM(F35))=0</formula>
    </cfRule>
  </conditionalFormatting>
  <conditionalFormatting sqref="F35:F37">
    <cfRule type="expression" dxfId="5168" priority="7335">
      <formula>AND($D35="MIN",$F35&lt;&gt;"")</formula>
    </cfRule>
    <cfRule type="expression" dxfId="5167" priority="7336">
      <formula>AND($D35="MIN",$F35="")</formula>
    </cfRule>
    <cfRule type="containsBlanks" dxfId="5166" priority="7337">
      <formula>LEN(TRIM(F35))=0</formula>
    </cfRule>
  </conditionalFormatting>
  <conditionalFormatting sqref="F35:F37">
    <cfRule type="expression" dxfId="5165" priority="7332">
      <formula>AND($D35="MIN",$F35&lt;&gt;"")</formula>
    </cfRule>
    <cfRule type="expression" dxfId="5164" priority="7333">
      <formula>AND($D35="MIN",$F35="")</formula>
    </cfRule>
    <cfRule type="containsBlanks" dxfId="5163" priority="7334">
      <formula>LEN(TRIM(F35))=0</formula>
    </cfRule>
  </conditionalFormatting>
  <conditionalFormatting sqref="E171">
    <cfRule type="expression" dxfId="5162" priority="7320">
      <formula>AND($D171&lt;&gt;"Tolerance",$E171&lt;&gt;"")</formula>
    </cfRule>
    <cfRule type="expression" dxfId="5161" priority="7321">
      <formula>AND(OR($D171="GD&amp;T",$D171="MAX",$D171="MIN"),$E171="")</formula>
    </cfRule>
    <cfRule type="containsBlanks" dxfId="5160" priority="7322">
      <formula>LEN(TRIM(E171))=0</formula>
    </cfRule>
  </conditionalFormatting>
  <conditionalFormatting sqref="E86">
    <cfRule type="expression" dxfId="5159" priority="6345">
      <formula>AND($D86&lt;&gt;"Tolerance",$E86&lt;&gt;"")</formula>
    </cfRule>
    <cfRule type="expression" dxfId="5158" priority="6346">
      <formula>AND(OR($D86="GD&amp;T",$D86="MAX",$D86="MIN"),$E86="")</formula>
    </cfRule>
    <cfRule type="containsBlanks" dxfId="5157" priority="6347">
      <formula>LEN(TRIM(E86))=0</formula>
    </cfRule>
  </conditionalFormatting>
  <conditionalFormatting sqref="E86">
    <cfRule type="expression" dxfId="5156" priority="6342">
      <formula>AND($D86&lt;&gt;"Tolerance",$E86&lt;&gt;"")</formula>
    </cfRule>
    <cfRule type="expression" dxfId="5155" priority="6343">
      <formula>AND(OR($D86="GD&amp;T",$D86="MAX",$D86="MIN"),$E86="")</formula>
    </cfRule>
    <cfRule type="containsBlanks" dxfId="5154" priority="6344">
      <formula>LEN(TRIM(E86))=0</formula>
    </cfRule>
  </conditionalFormatting>
  <conditionalFormatting sqref="E86">
    <cfRule type="expression" dxfId="5153" priority="6339">
      <formula>AND($D86&lt;&gt;"Tolerance",$E86&lt;&gt;"")</formula>
    </cfRule>
    <cfRule type="expression" dxfId="5152" priority="6340">
      <formula>AND(OR($D86="GD&amp;T",$D86="MAX",$D86="MIN"),$E86="")</formula>
    </cfRule>
    <cfRule type="containsBlanks" dxfId="5151" priority="6341">
      <formula>LEN(TRIM(E86))=0</formula>
    </cfRule>
  </conditionalFormatting>
  <conditionalFormatting sqref="E109">
    <cfRule type="expression" dxfId="5150" priority="6327">
      <formula>AND($D109&lt;&gt;"Tolerance",$E109&lt;&gt;"")</formula>
    </cfRule>
    <cfRule type="expression" dxfId="5149" priority="6328">
      <formula>AND(OR($D109="GD&amp;T",$D109="MAX",$D109="MIN"),$E109="")</formula>
    </cfRule>
    <cfRule type="containsBlanks" dxfId="5148" priority="6329">
      <formula>LEN(TRIM(E109))=0</formula>
    </cfRule>
  </conditionalFormatting>
  <conditionalFormatting sqref="E109">
    <cfRule type="expression" dxfId="5147" priority="6324">
      <formula>AND($D109&lt;&gt;"Tolerance",$E109&lt;&gt;"")</formula>
    </cfRule>
    <cfRule type="expression" dxfId="5146" priority="6325">
      <formula>AND(OR($D109="GD&amp;T",$D109="MAX",$D109="MIN"),$E109="")</formula>
    </cfRule>
    <cfRule type="containsBlanks" dxfId="5145" priority="6326">
      <formula>LEN(TRIM(E109))=0</formula>
    </cfRule>
  </conditionalFormatting>
  <conditionalFormatting sqref="E109">
    <cfRule type="expression" dxfId="5144" priority="6321">
      <formula>AND($D109&lt;&gt;"Tolerance",$E109&lt;&gt;"")</formula>
    </cfRule>
    <cfRule type="expression" dxfId="5143" priority="6322">
      <formula>AND(OR($D109="GD&amp;T",$D109="MAX",$D109="MIN"),$E109="")</formula>
    </cfRule>
    <cfRule type="containsBlanks" dxfId="5142" priority="6323">
      <formula>LEN(TRIM(E109))=0</formula>
    </cfRule>
  </conditionalFormatting>
  <conditionalFormatting sqref="M89">
    <cfRule type="expression" dxfId="5141" priority="5757">
      <formula>AND($J89&lt;&gt;"",M89&lt;$J89)</formula>
    </cfRule>
    <cfRule type="expression" dxfId="5140" priority="5758">
      <formula>AND($I89&lt;&gt;"",M89&gt;$I89)</formula>
    </cfRule>
    <cfRule type="notContainsBlanks" dxfId="5139" priority="5759">
      <formula>LEN(TRIM(M89))&gt;0</formula>
    </cfRule>
  </conditionalFormatting>
  <conditionalFormatting sqref="L126">
    <cfRule type="expression" dxfId="5138" priority="5475">
      <formula>AND($J126&lt;&gt;"",L126&lt;$J126)</formula>
    </cfRule>
    <cfRule type="expression" dxfId="5137" priority="5476">
      <formula>AND($I126&lt;&gt;"",L126&gt;$I126)</formula>
    </cfRule>
    <cfRule type="notContainsBlanks" dxfId="5136" priority="5477">
      <formula>LEN(TRIM(L126))&gt;0</formula>
    </cfRule>
  </conditionalFormatting>
  <conditionalFormatting sqref="L128">
    <cfRule type="expression" dxfId="5135" priority="5472">
      <formula>AND($J128&lt;&gt;"",L128&lt;$J128)</formula>
    </cfRule>
    <cfRule type="expression" dxfId="5134" priority="5473">
      <formula>AND($I128&lt;&gt;"",L128&gt;$I128)</formula>
    </cfRule>
    <cfRule type="notContainsBlanks" dxfId="5133" priority="5474">
      <formula>LEN(TRIM(L128))&gt;0</formula>
    </cfRule>
  </conditionalFormatting>
  <conditionalFormatting sqref="L125">
    <cfRule type="expression" dxfId="5132" priority="5457">
      <formula>AND($J125&lt;&gt;"",L125&lt;$J125)</formula>
    </cfRule>
    <cfRule type="expression" dxfId="5131" priority="5458">
      <formula>AND($I125&lt;&gt;"",L125&gt;$I125)</formula>
    </cfRule>
    <cfRule type="notContainsBlanks" dxfId="5130" priority="5459">
      <formula>LEN(TRIM(L125))&gt;0</formula>
    </cfRule>
  </conditionalFormatting>
  <conditionalFormatting sqref="L126">
    <cfRule type="expression" dxfId="5129" priority="5454">
      <formula>AND($J126&lt;&gt;"",L126&lt;$J126)</formula>
    </cfRule>
    <cfRule type="expression" dxfId="5128" priority="5455">
      <formula>AND($I126&lt;&gt;"",L126&gt;$I126)</formula>
    </cfRule>
    <cfRule type="notContainsBlanks" dxfId="5127" priority="5456">
      <formula>LEN(TRIM(L126))&gt;0</formula>
    </cfRule>
  </conditionalFormatting>
  <conditionalFormatting sqref="L126">
    <cfRule type="expression" dxfId="5126" priority="5451">
      <formula>AND($J126&lt;&gt;"",L126&lt;$J126)</formula>
    </cfRule>
    <cfRule type="expression" dxfId="5125" priority="5452">
      <formula>AND($I126&lt;&gt;"",L126&gt;$I126)</formula>
    </cfRule>
    <cfRule type="notContainsBlanks" dxfId="5124" priority="5453">
      <formula>LEN(TRIM(L126))&gt;0</formula>
    </cfRule>
  </conditionalFormatting>
  <conditionalFormatting sqref="L128">
    <cfRule type="expression" dxfId="5123" priority="5448">
      <formula>AND($J128&lt;&gt;"",L128&lt;$J128)</formula>
    </cfRule>
    <cfRule type="expression" dxfId="5122" priority="5449">
      <formula>AND($I128&lt;&gt;"",L128&gt;$I128)</formula>
    </cfRule>
    <cfRule type="notContainsBlanks" dxfId="5121" priority="5450">
      <formula>LEN(TRIM(L128))&gt;0</formula>
    </cfRule>
  </conditionalFormatting>
  <conditionalFormatting sqref="K129">
    <cfRule type="expression" dxfId="5120" priority="5442">
      <formula>AND($J129&lt;&gt;"",K129&lt;$J129)</formula>
    </cfRule>
    <cfRule type="expression" dxfId="5119" priority="5443">
      <formula>AND($I129&lt;&gt;"",K129&gt;$I129)</formula>
    </cfRule>
    <cfRule type="notContainsBlanks" dxfId="5118" priority="5444">
      <formula>LEN(TRIM(K129))&gt;0</formula>
    </cfRule>
  </conditionalFormatting>
  <conditionalFormatting sqref="K126">
    <cfRule type="expression" dxfId="5117" priority="5433">
      <formula>AND($J126&lt;&gt;"",K126&lt;$J126)</formula>
    </cfRule>
    <cfRule type="expression" dxfId="5116" priority="5434">
      <formula>AND($I126&lt;&gt;"",K126&gt;$I126)</formula>
    </cfRule>
    <cfRule type="notContainsBlanks" dxfId="5115" priority="5435">
      <formula>LEN(TRIM(K126))&gt;0</formula>
    </cfRule>
  </conditionalFormatting>
  <conditionalFormatting sqref="K128">
    <cfRule type="expression" dxfId="5114" priority="5430">
      <formula>AND($J128&lt;&gt;"",K128&lt;$J128)</formula>
    </cfRule>
    <cfRule type="expression" dxfId="5113" priority="5431">
      <formula>AND($I128&lt;&gt;"",K128&gt;$I128)</formula>
    </cfRule>
    <cfRule type="notContainsBlanks" dxfId="5112" priority="5432">
      <formula>LEN(TRIM(K128))&gt;0</formula>
    </cfRule>
  </conditionalFormatting>
  <conditionalFormatting sqref="K125">
    <cfRule type="expression" dxfId="5111" priority="5421">
      <formula>AND($J125&lt;&gt;"",K125&lt;$J125)</formula>
    </cfRule>
    <cfRule type="expression" dxfId="5110" priority="5422">
      <formula>AND($I125&lt;&gt;"",K125&gt;$I125)</formula>
    </cfRule>
    <cfRule type="notContainsBlanks" dxfId="5109" priority="5423">
      <formula>LEN(TRIM(K125))&gt;0</formula>
    </cfRule>
  </conditionalFormatting>
  <conditionalFormatting sqref="K126">
    <cfRule type="expression" dxfId="5108" priority="5418">
      <formula>AND($J126&lt;&gt;"",K126&lt;$J126)</formula>
    </cfRule>
    <cfRule type="expression" dxfId="5107" priority="5419">
      <formula>AND($I126&lt;&gt;"",K126&gt;$I126)</formula>
    </cfRule>
    <cfRule type="notContainsBlanks" dxfId="5106" priority="5420">
      <formula>LEN(TRIM(K126))&gt;0</formula>
    </cfRule>
  </conditionalFormatting>
  <conditionalFormatting sqref="K126">
    <cfRule type="expression" dxfId="5105" priority="5415">
      <formula>AND($J126&lt;&gt;"",K126&lt;$J126)</formula>
    </cfRule>
    <cfRule type="expression" dxfId="5104" priority="5416">
      <formula>AND($I126&lt;&gt;"",K126&gt;$I126)</formula>
    </cfRule>
    <cfRule type="notContainsBlanks" dxfId="5103" priority="5417">
      <formula>LEN(TRIM(K126))&gt;0</formula>
    </cfRule>
  </conditionalFormatting>
  <conditionalFormatting sqref="K128">
    <cfRule type="expression" dxfId="5102" priority="5412">
      <formula>AND($J128&lt;&gt;"",K128&lt;$J128)</formula>
    </cfRule>
    <cfRule type="expression" dxfId="5101" priority="5413">
      <formula>AND($I128&lt;&gt;"",K128&gt;$I128)</formula>
    </cfRule>
    <cfRule type="notContainsBlanks" dxfId="5100" priority="5414">
      <formula>LEN(TRIM(K128))&gt;0</formula>
    </cfRule>
  </conditionalFormatting>
  <conditionalFormatting sqref="L129">
    <cfRule type="expression" dxfId="5099" priority="5406">
      <formula>AND($J129&lt;&gt;"",L129&lt;$J129)</formula>
    </cfRule>
    <cfRule type="expression" dxfId="5098" priority="5407">
      <formula>AND($I129&lt;&gt;"",L129&gt;$I129)</formula>
    </cfRule>
    <cfRule type="notContainsBlanks" dxfId="5097" priority="5408">
      <formula>LEN(TRIM(L129))&gt;0</formula>
    </cfRule>
  </conditionalFormatting>
  <conditionalFormatting sqref="L126">
    <cfRule type="expression" dxfId="5096" priority="5403">
      <formula>AND($J126&lt;&gt;"",L126&lt;$J126)</formula>
    </cfRule>
    <cfRule type="expression" dxfId="5095" priority="5404">
      <formula>AND($I126&lt;&gt;"",L126&gt;$I126)</formula>
    </cfRule>
    <cfRule type="notContainsBlanks" dxfId="5094" priority="5405">
      <formula>LEN(TRIM(L126))&gt;0</formula>
    </cfRule>
  </conditionalFormatting>
  <conditionalFormatting sqref="L128">
    <cfRule type="expression" dxfId="5093" priority="5400">
      <formula>AND($J128&lt;&gt;"",L128&lt;$J128)</formula>
    </cfRule>
    <cfRule type="expression" dxfId="5092" priority="5401">
      <formula>AND($I128&lt;&gt;"",L128&gt;$I128)</formula>
    </cfRule>
    <cfRule type="notContainsBlanks" dxfId="5091" priority="5402">
      <formula>LEN(TRIM(L128))&gt;0</formula>
    </cfRule>
  </conditionalFormatting>
  <conditionalFormatting sqref="L126">
    <cfRule type="expression" dxfId="5090" priority="5397">
      <formula>AND($J126&lt;&gt;"",L126&lt;$J126)</formula>
    </cfRule>
    <cfRule type="expression" dxfId="5089" priority="5398">
      <formula>AND($I126&lt;&gt;"",L126&gt;$I126)</formula>
    </cfRule>
    <cfRule type="notContainsBlanks" dxfId="5088" priority="5399">
      <formula>LEN(TRIM(L126))&gt;0</formula>
    </cfRule>
  </conditionalFormatting>
  <conditionalFormatting sqref="L126">
    <cfRule type="expression" dxfId="5087" priority="5394">
      <formula>AND($J126&lt;&gt;"",L126&lt;$J126)</formula>
    </cfRule>
    <cfRule type="expression" dxfId="5086" priority="5395">
      <formula>AND($I126&lt;&gt;"",L126&gt;$I126)</formula>
    </cfRule>
    <cfRule type="notContainsBlanks" dxfId="5085" priority="5396">
      <formula>LEN(TRIM(L126))&gt;0</formula>
    </cfRule>
  </conditionalFormatting>
  <conditionalFormatting sqref="L128">
    <cfRule type="expression" dxfId="5084" priority="5391">
      <formula>AND($J128&lt;&gt;"",L128&lt;$J128)</formula>
    </cfRule>
    <cfRule type="expression" dxfId="5083" priority="5392">
      <formula>AND($I128&lt;&gt;"",L128&gt;$I128)</formula>
    </cfRule>
    <cfRule type="notContainsBlanks" dxfId="5082" priority="5393">
      <formula>LEN(TRIM(L128))&gt;0</formula>
    </cfRule>
  </conditionalFormatting>
  <conditionalFormatting sqref="L127">
    <cfRule type="expression" dxfId="5081" priority="5388">
      <formula>AND($J127&lt;&gt;"",L127&lt;$J127)</formula>
    </cfRule>
    <cfRule type="expression" dxfId="5080" priority="5389">
      <formula>AND($I127&lt;&gt;"",L127&gt;$I127)</formula>
    </cfRule>
    <cfRule type="notContainsBlanks" dxfId="5079" priority="5390">
      <formula>LEN(TRIM(L127))&gt;0</formula>
    </cfRule>
  </conditionalFormatting>
  <conditionalFormatting sqref="L129">
    <cfRule type="expression" dxfId="5078" priority="5385">
      <formula>AND($J129&lt;&gt;"",L129&lt;$J129)</formula>
    </cfRule>
    <cfRule type="expression" dxfId="5077" priority="5386">
      <formula>AND($I129&lt;&gt;"",L129&gt;$I129)</formula>
    </cfRule>
    <cfRule type="notContainsBlanks" dxfId="5076" priority="5387">
      <formula>LEN(TRIM(L129))&gt;0</formula>
    </cfRule>
  </conditionalFormatting>
  <conditionalFormatting sqref="L126">
    <cfRule type="expression" dxfId="5075" priority="5382">
      <formula>AND($J126&lt;&gt;"",L126&lt;$J126)</formula>
    </cfRule>
    <cfRule type="expression" dxfId="5074" priority="5383">
      <formula>AND($I126&lt;&gt;"",L126&gt;$I126)</formula>
    </cfRule>
    <cfRule type="notContainsBlanks" dxfId="5073" priority="5384">
      <formula>LEN(TRIM(L126))&gt;0</formula>
    </cfRule>
  </conditionalFormatting>
  <conditionalFormatting sqref="L127">
    <cfRule type="expression" dxfId="5072" priority="5379">
      <formula>AND($J127&lt;&gt;"",L127&lt;$J127)</formula>
    </cfRule>
    <cfRule type="expression" dxfId="5071" priority="5380">
      <formula>AND($I127&lt;&gt;"",L127&gt;$I127)</formula>
    </cfRule>
    <cfRule type="notContainsBlanks" dxfId="5070" priority="5381">
      <formula>LEN(TRIM(L127))&gt;0</formula>
    </cfRule>
  </conditionalFormatting>
  <conditionalFormatting sqref="L127">
    <cfRule type="expression" dxfId="5069" priority="5376">
      <formula>AND($J127&lt;&gt;"",L127&lt;$J127)</formula>
    </cfRule>
    <cfRule type="expression" dxfId="5068" priority="5377">
      <formula>AND($I127&lt;&gt;"",L127&gt;$I127)</formula>
    </cfRule>
    <cfRule type="notContainsBlanks" dxfId="5067" priority="5378">
      <formula>LEN(TRIM(L127))&gt;0</formula>
    </cfRule>
  </conditionalFormatting>
  <conditionalFormatting sqref="L129">
    <cfRule type="expression" dxfId="5066" priority="5373">
      <formula>AND($J129&lt;&gt;"",L129&lt;$J129)</formula>
    </cfRule>
    <cfRule type="expression" dxfId="5065" priority="5374">
      <formula>AND($I129&lt;&gt;"",L129&gt;$I129)</formula>
    </cfRule>
    <cfRule type="notContainsBlanks" dxfId="5064" priority="5375">
      <formula>LEN(TRIM(L129))&gt;0</formula>
    </cfRule>
  </conditionalFormatting>
  <conditionalFormatting sqref="M129">
    <cfRule type="expression" dxfId="5063" priority="5370">
      <formula>AND($J129&lt;&gt;"",M129&lt;$J129)</formula>
    </cfRule>
    <cfRule type="expression" dxfId="5062" priority="5371">
      <formula>AND($I129&lt;&gt;"",M129&gt;$I129)</formula>
    </cfRule>
    <cfRule type="notContainsBlanks" dxfId="5061" priority="5372">
      <formula>LEN(TRIM(M129))&gt;0</formula>
    </cfRule>
  </conditionalFormatting>
  <conditionalFormatting sqref="M126">
    <cfRule type="expression" dxfId="5060" priority="5364">
      <formula>AND($J126&lt;&gt;"",M126&lt;$J126)</formula>
    </cfRule>
    <cfRule type="expression" dxfId="5059" priority="5365">
      <formula>AND($I126&lt;&gt;"",M126&gt;$I126)</formula>
    </cfRule>
    <cfRule type="notContainsBlanks" dxfId="5058" priority="5366">
      <formula>LEN(TRIM(M126))&gt;0</formula>
    </cfRule>
  </conditionalFormatting>
  <conditionalFormatting sqref="M128">
    <cfRule type="expression" dxfId="5057" priority="5361">
      <formula>AND($J128&lt;&gt;"",M128&lt;$J128)</formula>
    </cfRule>
    <cfRule type="expression" dxfId="5056" priority="5362">
      <formula>AND($I128&lt;&gt;"",M128&gt;$I128)</formula>
    </cfRule>
    <cfRule type="notContainsBlanks" dxfId="5055" priority="5363">
      <formula>LEN(TRIM(M128))&gt;0</formula>
    </cfRule>
  </conditionalFormatting>
  <conditionalFormatting sqref="M125">
    <cfRule type="expression" dxfId="5054" priority="5355">
      <formula>AND($J125&lt;&gt;"",M125&lt;$J125)</formula>
    </cfRule>
    <cfRule type="expression" dxfId="5053" priority="5356">
      <formula>AND($I125&lt;&gt;"",M125&gt;$I125)</formula>
    </cfRule>
    <cfRule type="notContainsBlanks" dxfId="5052" priority="5357">
      <formula>LEN(TRIM(M125))&gt;0</formula>
    </cfRule>
  </conditionalFormatting>
  <conditionalFormatting sqref="M126">
    <cfRule type="expression" dxfId="5051" priority="5352">
      <formula>AND($J126&lt;&gt;"",M126&lt;$J126)</formula>
    </cfRule>
    <cfRule type="expression" dxfId="5050" priority="5353">
      <formula>AND($I126&lt;&gt;"",M126&gt;$I126)</formula>
    </cfRule>
    <cfRule type="notContainsBlanks" dxfId="5049" priority="5354">
      <formula>LEN(TRIM(M126))&gt;0</formula>
    </cfRule>
  </conditionalFormatting>
  <conditionalFormatting sqref="M126">
    <cfRule type="expression" dxfId="5048" priority="5349">
      <formula>AND($J126&lt;&gt;"",M126&lt;$J126)</formula>
    </cfRule>
    <cfRule type="expression" dxfId="5047" priority="5350">
      <formula>AND($I126&lt;&gt;"",M126&gt;$I126)</formula>
    </cfRule>
    <cfRule type="notContainsBlanks" dxfId="5046" priority="5351">
      <formula>LEN(TRIM(M126))&gt;0</formula>
    </cfRule>
  </conditionalFormatting>
  <conditionalFormatting sqref="M128">
    <cfRule type="expression" dxfId="5045" priority="5346">
      <formula>AND($J128&lt;&gt;"",M128&lt;$J128)</formula>
    </cfRule>
    <cfRule type="expression" dxfId="5044" priority="5347">
      <formula>AND($I128&lt;&gt;"",M128&gt;$I128)</formula>
    </cfRule>
    <cfRule type="notContainsBlanks" dxfId="5043" priority="5348">
      <formula>LEN(TRIM(M128))&gt;0</formula>
    </cfRule>
  </conditionalFormatting>
  <conditionalFormatting sqref="K73">
    <cfRule type="expression" dxfId="5042" priority="5214">
      <formula>AND($J73&lt;&gt;"",K73&lt;$J73)</formula>
    </cfRule>
    <cfRule type="expression" dxfId="5041" priority="5215">
      <formula>AND($I73&lt;&gt;"",K73&gt;$I73)</formula>
    </cfRule>
    <cfRule type="notContainsBlanks" dxfId="5040" priority="5216">
      <formula>LEN(TRIM(K73))&gt;0</formula>
    </cfRule>
  </conditionalFormatting>
  <conditionalFormatting sqref="K128:M128">
    <cfRule type="expression" dxfId="5039" priority="5152">
      <formula>AND($J128&lt;&gt;"",K128&lt;$J128)</formula>
    </cfRule>
    <cfRule type="expression" dxfId="5038" priority="5153">
      <formula>AND($I128&lt;&gt;"",K128&gt;$I128)</formula>
    </cfRule>
    <cfRule type="notContainsBlanks" dxfId="5037" priority="5154">
      <formula>LEN(TRIM(K128))&gt;0</formula>
    </cfRule>
  </conditionalFormatting>
  <conditionalFormatting sqref="K123:M123">
    <cfRule type="expression" dxfId="5036" priority="5149">
      <formula>AND($J123&lt;&gt;"",K123&lt;$J123)</formula>
    </cfRule>
    <cfRule type="expression" dxfId="5035" priority="5150">
      <formula>AND($I123&lt;&gt;"",K123&gt;$I123)</formula>
    </cfRule>
    <cfRule type="notContainsBlanks" dxfId="5034" priority="5151">
      <formula>LEN(TRIM(K123))&gt;0</formula>
    </cfRule>
  </conditionalFormatting>
  <conditionalFormatting sqref="K125:M125">
    <cfRule type="expression" dxfId="5033" priority="5140">
      <formula>AND($J125&lt;&gt;"",K125&lt;$J125)</formula>
    </cfRule>
    <cfRule type="expression" dxfId="5032" priority="5141">
      <formula>AND($I125&lt;&gt;"",K125&gt;$I125)</formula>
    </cfRule>
    <cfRule type="notContainsBlanks" dxfId="5031" priority="5142">
      <formula>LEN(TRIM(K125))&gt;0</formula>
    </cfRule>
  </conditionalFormatting>
  <conditionalFormatting sqref="K127:M127">
    <cfRule type="expression" dxfId="5030" priority="5137">
      <formula>AND($J127&lt;&gt;"",K127&lt;$J127)</formula>
    </cfRule>
    <cfRule type="expression" dxfId="5029" priority="5138">
      <formula>AND($I127&lt;&gt;"",K127&gt;$I127)</formula>
    </cfRule>
    <cfRule type="notContainsBlanks" dxfId="5028" priority="5139">
      <formula>LEN(TRIM(K127))&gt;0</formula>
    </cfRule>
  </conditionalFormatting>
  <conditionalFormatting sqref="L124:M124">
    <cfRule type="expression" dxfId="5027" priority="5134">
      <formula>AND($J124&lt;&gt;"",L124&lt;$J124)</formula>
    </cfRule>
    <cfRule type="expression" dxfId="5026" priority="5135">
      <formula>AND($I124&lt;&gt;"",L124&gt;$I124)</formula>
    </cfRule>
    <cfRule type="notContainsBlanks" dxfId="5025" priority="5136">
      <formula>LEN(TRIM(L124))&gt;0</formula>
    </cfRule>
  </conditionalFormatting>
  <conditionalFormatting sqref="K122:M122">
    <cfRule type="expression" dxfId="5024" priority="5128">
      <formula>AND($J122&lt;&gt;"",K122&lt;$J122)</formula>
    </cfRule>
    <cfRule type="expression" dxfId="5023" priority="5129">
      <formula>AND($I122&lt;&gt;"",K122&gt;$I122)</formula>
    </cfRule>
    <cfRule type="notContainsBlanks" dxfId="5022" priority="5130">
      <formula>LEN(TRIM(K122))&gt;0</formula>
    </cfRule>
  </conditionalFormatting>
  <conditionalFormatting sqref="K124">
    <cfRule type="expression" dxfId="5021" priority="5125">
      <formula>AND($J124&lt;&gt;"",K124&lt;$J124)</formula>
    </cfRule>
    <cfRule type="expression" dxfId="5020" priority="5126">
      <formula>AND($I124&lt;&gt;"",K124&gt;$I124)</formula>
    </cfRule>
    <cfRule type="notContainsBlanks" dxfId="5019" priority="5127">
      <formula>LEN(TRIM(K124))&gt;0</formula>
    </cfRule>
  </conditionalFormatting>
  <conditionalFormatting sqref="L123:M123">
    <cfRule type="expression" dxfId="5018" priority="5122">
      <formula>AND($J123&lt;&gt;"",L123&lt;$J123)</formula>
    </cfRule>
    <cfRule type="expression" dxfId="5017" priority="5123">
      <formula>AND($I123&lt;&gt;"",L123&gt;$I123)</formula>
    </cfRule>
    <cfRule type="notContainsBlanks" dxfId="5016" priority="5124">
      <formula>LEN(TRIM(L123))&gt;0</formula>
    </cfRule>
  </conditionalFormatting>
  <conditionalFormatting sqref="L124:M124">
    <cfRule type="expression" dxfId="5015" priority="5119">
      <formula>AND($J124&lt;&gt;"",L124&lt;$J124)</formula>
    </cfRule>
    <cfRule type="expression" dxfId="5014" priority="5120">
      <formula>AND($I124&lt;&gt;"",L124&gt;$I124)</formula>
    </cfRule>
    <cfRule type="notContainsBlanks" dxfId="5013" priority="5121">
      <formula>LEN(TRIM(L124))&gt;0</formula>
    </cfRule>
  </conditionalFormatting>
  <conditionalFormatting sqref="K122:M122">
    <cfRule type="expression" dxfId="5012" priority="5116">
      <formula>AND($J122&lt;&gt;"",K122&lt;$J122)</formula>
    </cfRule>
    <cfRule type="expression" dxfId="5011" priority="5117">
      <formula>AND($I122&lt;&gt;"",K122&gt;$I122)</formula>
    </cfRule>
    <cfRule type="notContainsBlanks" dxfId="5010" priority="5118">
      <formula>LEN(TRIM(K122))&gt;0</formula>
    </cfRule>
  </conditionalFormatting>
  <conditionalFormatting sqref="K124">
    <cfRule type="expression" dxfId="5009" priority="5113">
      <formula>AND($J124&lt;&gt;"",K124&lt;$J124)</formula>
    </cfRule>
    <cfRule type="expression" dxfId="5008" priority="5114">
      <formula>AND($I124&lt;&gt;"",K124&gt;$I124)</formula>
    </cfRule>
    <cfRule type="notContainsBlanks" dxfId="5007" priority="5115">
      <formula>LEN(TRIM(K124))&gt;0</formula>
    </cfRule>
  </conditionalFormatting>
  <conditionalFormatting sqref="L123:M123">
    <cfRule type="expression" dxfId="5006" priority="5110">
      <formula>AND($J123&lt;&gt;"",L123&lt;$J123)</formula>
    </cfRule>
    <cfRule type="expression" dxfId="5005" priority="5111">
      <formula>AND($I123&lt;&gt;"",L123&gt;$I123)</formula>
    </cfRule>
    <cfRule type="notContainsBlanks" dxfId="5004" priority="5112">
      <formula>LEN(TRIM(L123))&gt;0</formula>
    </cfRule>
  </conditionalFormatting>
  <conditionalFormatting sqref="L124:M124">
    <cfRule type="expression" dxfId="5003" priority="5107">
      <formula>AND($J124&lt;&gt;"",L124&lt;$J124)</formula>
    </cfRule>
    <cfRule type="expression" dxfId="5002" priority="5108">
      <formula>AND($I124&lt;&gt;"",L124&gt;$I124)</formula>
    </cfRule>
    <cfRule type="notContainsBlanks" dxfId="5001" priority="5109">
      <formula>LEN(TRIM(L124))&gt;0</formula>
    </cfRule>
  </conditionalFormatting>
  <conditionalFormatting sqref="K123">
    <cfRule type="expression" dxfId="5000" priority="5101">
      <formula>AND($J123&lt;&gt;"",K123&lt;$J123)</formula>
    </cfRule>
    <cfRule type="expression" dxfId="4999" priority="5102">
      <formula>AND($I123&lt;&gt;"",K123&gt;$I123)</formula>
    </cfRule>
    <cfRule type="notContainsBlanks" dxfId="4998" priority="5103">
      <formula>LEN(TRIM(K123))&gt;0</formula>
    </cfRule>
  </conditionalFormatting>
  <conditionalFormatting sqref="L122:M122">
    <cfRule type="expression" dxfId="4997" priority="5098">
      <formula>AND($J122&lt;&gt;"",L122&lt;$J122)</formula>
    </cfRule>
    <cfRule type="expression" dxfId="4996" priority="5099">
      <formula>AND($I122&lt;&gt;"",L122&gt;$I122)</formula>
    </cfRule>
    <cfRule type="notContainsBlanks" dxfId="4995" priority="5100">
      <formula>LEN(TRIM(L122))&gt;0</formula>
    </cfRule>
  </conditionalFormatting>
  <conditionalFormatting sqref="L123:M123">
    <cfRule type="expression" dxfId="4994" priority="5095">
      <formula>AND($J123&lt;&gt;"",L123&lt;$J123)</formula>
    </cfRule>
    <cfRule type="expression" dxfId="4993" priority="5096">
      <formula>AND($I123&lt;&gt;"",L123&gt;$I123)</formula>
    </cfRule>
    <cfRule type="notContainsBlanks" dxfId="4992" priority="5097">
      <formula>LEN(TRIM(L123))&gt;0</formula>
    </cfRule>
  </conditionalFormatting>
  <conditionalFormatting sqref="K125:M125">
    <cfRule type="expression" dxfId="4991" priority="5089">
      <formula>AND($J125&lt;&gt;"",K125&lt;$J125)</formula>
    </cfRule>
    <cfRule type="expression" dxfId="4990" priority="5090">
      <formula>AND($I125&lt;&gt;"",K125&gt;$I125)</formula>
    </cfRule>
    <cfRule type="notContainsBlanks" dxfId="4989" priority="5091">
      <formula>LEN(TRIM(K125))&gt;0</formula>
    </cfRule>
  </conditionalFormatting>
  <conditionalFormatting sqref="K125:M125">
    <cfRule type="expression" dxfId="4988" priority="5086">
      <formula>AND($J125&lt;&gt;"",K125&lt;$J125)</formula>
    </cfRule>
    <cfRule type="expression" dxfId="4987" priority="5087">
      <formula>AND($I125&lt;&gt;"",K125&gt;$I125)</formula>
    </cfRule>
    <cfRule type="notContainsBlanks" dxfId="4986" priority="5088">
      <formula>LEN(TRIM(K125))&gt;0</formula>
    </cfRule>
  </conditionalFormatting>
  <conditionalFormatting sqref="K127:M127">
    <cfRule type="expression" dxfId="4985" priority="5083">
      <formula>AND($J127&lt;&gt;"",K127&lt;$J127)</formula>
    </cfRule>
    <cfRule type="expression" dxfId="4984" priority="5084">
      <formula>AND($I127&lt;&gt;"",K127&gt;$I127)</formula>
    </cfRule>
    <cfRule type="notContainsBlanks" dxfId="4983" priority="5085">
      <formula>LEN(TRIM(K127))&gt;0</formula>
    </cfRule>
  </conditionalFormatting>
  <conditionalFormatting sqref="L126">
    <cfRule type="expression" dxfId="4982" priority="5074">
      <formula>AND($J126&lt;&gt;"",L126&lt;$J126)</formula>
    </cfRule>
    <cfRule type="expression" dxfId="4981" priority="5075">
      <formula>AND($I126&lt;&gt;"",L126&gt;$I126)</formula>
    </cfRule>
    <cfRule type="notContainsBlanks" dxfId="4980" priority="5076">
      <formula>LEN(TRIM(L126))&gt;0</formula>
    </cfRule>
  </conditionalFormatting>
  <conditionalFormatting sqref="L128">
    <cfRule type="expression" dxfId="4979" priority="5071">
      <formula>AND($J128&lt;&gt;"",L128&lt;$J128)</formula>
    </cfRule>
    <cfRule type="expression" dxfId="4978" priority="5072">
      <formula>AND($I128&lt;&gt;"",L128&gt;$I128)</formula>
    </cfRule>
    <cfRule type="notContainsBlanks" dxfId="4977" priority="5073">
      <formula>LEN(TRIM(L128))&gt;0</formula>
    </cfRule>
  </conditionalFormatting>
  <conditionalFormatting sqref="L125">
    <cfRule type="expression" dxfId="4976" priority="5056">
      <formula>AND($J125&lt;&gt;"",L125&lt;$J125)</formula>
    </cfRule>
    <cfRule type="expression" dxfId="4975" priority="5057">
      <formula>AND($I125&lt;&gt;"",L125&gt;$I125)</formula>
    </cfRule>
    <cfRule type="notContainsBlanks" dxfId="4974" priority="5058">
      <formula>LEN(TRIM(L125))&gt;0</formula>
    </cfRule>
  </conditionalFormatting>
  <conditionalFormatting sqref="L126">
    <cfRule type="expression" dxfId="4973" priority="5053">
      <formula>AND($J126&lt;&gt;"",L126&lt;$J126)</formula>
    </cfRule>
    <cfRule type="expression" dxfId="4972" priority="5054">
      <formula>AND($I126&lt;&gt;"",L126&gt;$I126)</formula>
    </cfRule>
    <cfRule type="notContainsBlanks" dxfId="4971" priority="5055">
      <formula>LEN(TRIM(L126))&gt;0</formula>
    </cfRule>
  </conditionalFormatting>
  <conditionalFormatting sqref="L126">
    <cfRule type="expression" dxfId="4970" priority="5050">
      <formula>AND($J126&lt;&gt;"",L126&lt;$J126)</formula>
    </cfRule>
    <cfRule type="expression" dxfId="4969" priority="5051">
      <formula>AND($I126&lt;&gt;"",L126&gt;$I126)</formula>
    </cfRule>
    <cfRule type="notContainsBlanks" dxfId="4968" priority="5052">
      <formula>LEN(TRIM(L126))&gt;0</formula>
    </cfRule>
  </conditionalFormatting>
  <conditionalFormatting sqref="L128">
    <cfRule type="expression" dxfId="4967" priority="5047">
      <formula>AND($J128&lt;&gt;"",L128&lt;$J128)</formula>
    </cfRule>
    <cfRule type="expression" dxfId="4966" priority="5048">
      <formula>AND($I128&lt;&gt;"",L128&gt;$I128)</formula>
    </cfRule>
    <cfRule type="notContainsBlanks" dxfId="4965" priority="5049">
      <formula>LEN(TRIM(L128))&gt;0</formula>
    </cfRule>
  </conditionalFormatting>
  <conditionalFormatting sqref="K129">
    <cfRule type="expression" dxfId="4964" priority="5041">
      <formula>AND($J129&lt;&gt;"",K129&lt;$J129)</formula>
    </cfRule>
    <cfRule type="expression" dxfId="4963" priority="5042">
      <formula>AND($I129&lt;&gt;"",K129&gt;$I129)</formula>
    </cfRule>
    <cfRule type="notContainsBlanks" dxfId="4962" priority="5043">
      <formula>LEN(TRIM(K129))&gt;0</formula>
    </cfRule>
  </conditionalFormatting>
  <conditionalFormatting sqref="K126">
    <cfRule type="expression" dxfId="4961" priority="5032">
      <formula>AND($J126&lt;&gt;"",K126&lt;$J126)</formula>
    </cfRule>
    <cfRule type="expression" dxfId="4960" priority="5033">
      <formula>AND($I126&lt;&gt;"",K126&gt;$I126)</formula>
    </cfRule>
    <cfRule type="notContainsBlanks" dxfId="4959" priority="5034">
      <formula>LEN(TRIM(K126))&gt;0</formula>
    </cfRule>
  </conditionalFormatting>
  <conditionalFormatting sqref="K128">
    <cfRule type="expression" dxfId="4958" priority="5029">
      <formula>AND($J128&lt;&gt;"",K128&lt;$J128)</formula>
    </cfRule>
    <cfRule type="expression" dxfId="4957" priority="5030">
      <formula>AND($I128&lt;&gt;"",K128&gt;$I128)</formula>
    </cfRule>
    <cfRule type="notContainsBlanks" dxfId="4956" priority="5031">
      <formula>LEN(TRIM(K128))&gt;0</formula>
    </cfRule>
  </conditionalFormatting>
  <conditionalFormatting sqref="K125">
    <cfRule type="expression" dxfId="4955" priority="5020">
      <formula>AND($J125&lt;&gt;"",K125&lt;$J125)</formula>
    </cfRule>
    <cfRule type="expression" dxfId="4954" priority="5021">
      <formula>AND($I125&lt;&gt;"",K125&gt;$I125)</formula>
    </cfRule>
    <cfRule type="notContainsBlanks" dxfId="4953" priority="5022">
      <formula>LEN(TRIM(K125))&gt;0</formula>
    </cfRule>
  </conditionalFormatting>
  <conditionalFormatting sqref="K126">
    <cfRule type="expression" dxfId="4952" priority="5017">
      <formula>AND($J126&lt;&gt;"",K126&lt;$J126)</formula>
    </cfRule>
    <cfRule type="expression" dxfId="4951" priority="5018">
      <formula>AND($I126&lt;&gt;"",K126&gt;$I126)</formula>
    </cfRule>
    <cfRule type="notContainsBlanks" dxfId="4950" priority="5019">
      <formula>LEN(TRIM(K126))&gt;0</formula>
    </cfRule>
  </conditionalFormatting>
  <conditionalFormatting sqref="K126">
    <cfRule type="expression" dxfId="4949" priority="5014">
      <formula>AND($J126&lt;&gt;"",K126&lt;$J126)</formula>
    </cfRule>
    <cfRule type="expression" dxfId="4948" priority="5015">
      <formula>AND($I126&lt;&gt;"",K126&gt;$I126)</formula>
    </cfRule>
    <cfRule type="notContainsBlanks" dxfId="4947" priority="5016">
      <formula>LEN(TRIM(K126))&gt;0</formula>
    </cfRule>
  </conditionalFormatting>
  <conditionalFormatting sqref="K128">
    <cfRule type="expression" dxfId="4946" priority="5011">
      <formula>AND($J128&lt;&gt;"",K128&lt;$J128)</formula>
    </cfRule>
    <cfRule type="expression" dxfId="4945" priority="5012">
      <formula>AND($I128&lt;&gt;"",K128&gt;$I128)</formula>
    </cfRule>
    <cfRule type="notContainsBlanks" dxfId="4944" priority="5013">
      <formula>LEN(TRIM(K128))&gt;0</formula>
    </cfRule>
  </conditionalFormatting>
  <conditionalFormatting sqref="L129">
    <cfRule type="expression" dxfId="4943" priority="5005">
      <formula>AND($J129&lt;&gt;"",L129&lt;$J129)</formula>
    </cfRule>
    <cfRule type="expression" dxfId="4942" priority="5006">
      <formula>AND($I129&lt;&gt;"",L129&gt;$I129)</formula>
    </cfRule>
    <cfRule type="notContainsBlanks" dxfId="4941" priority="5007">
      <formula>LEN(TRIM(L129))&gt;0</formula>
    </cfRule>
  </conditionalFormatting>
  <conditionalFormatting sqref="L126">
    <cfRule type="expression" dxfId="4940" priority="5002">
      <formula>AND($J126&lt;&gt;"",L126&lt;$J126)</formula>
    </cfRule>
    <cfRule type="expression" dxfId="4939" priority="5003">
      <formula>AND($I126&lt;&gt;"",L126&gt;$I126)</formula>
    </cfRule>
    <cfRule type="notContainsBlanks" dxfId="4938" priority="5004">
      <formula>LEN(TRIM(L126))&gt;0</formula>
    </cfRule>
  </conditionalFormatting>
  <conditionalFormatting sqref="L128">
    <cfRule type="expression" dxfId="4937" priority="4999">
      <formula>AND($J128&lt;&gt;"",L128&lt;$J128)</formula>
    </cfRule>
    <cfRule type="expression" dxfId="4936" priority="5000">
      <formula>AND($I128&lt;&gt;"",L128&gt;$I128)</formula>
    </cfRule>
    <cfRule type="notContainsBlanks" dxfId="4935" priority="5001">
      <formula>LEN(TRIM(L128))&gt;0</formula>
    </cfRule>
  </conditionalFormatting>
  <conditionalFormatting sqref="L126">
    <cfRule type="expression" dxfId="4934" priority="4996">
      <formula>AND($J126&lt;&gt;"",L126&lt;$J126)</formula>
    </cfRule>
    <cfRule type="expression" dxfId="4933" priority="4997">
      <formula>AND($I126&lt;&gt;"",L126&gt;$I126)</formula>
    </cfRule>
    <cfRule type="notContainsBlanks" dxfId="4932" priority="4998">
      <formula>LEN(TRIM(L126))&gt;0</formula>
    </cfRule>
  </conditionalFormatting>
  <conditionalFormatting sqref="L126">
    <cfRule type="expression" dxfId="4931" priority="4993">
      <formula>AND($J126&lt;&gt;"",L126&lt;$J126)</formula>
    </cfRule>
    <cfRule type="expression" dxfId="4930" priority="4994">
      <formula>AND($I126&lt;&gt;"",L126&gt;$I126)</formula>
    </cfRule>
    <cfRule type="notContainsBlanks" dxfId="4929" priority="4995">
      <formula>LEN(TRIM(L126))&gt;0</formula>
    </cfRule>
  </conditionalFormatting>
  <conditionalFormatting sqref="L128">
    <cfRule type="expression" dxfId="4928" priority="4990">
      <formula>AND($J128&lt;&gt;"",L128&lt;$J128)</formula>
    </cfRule>
    <cfRule type="expression" dxfId="4927" priority="4991">
      <formula>AND($I128&lt;&gt;"",L128&gt;$I128)</formula>
    </cfRule>
    <cfRule type="notContainsBlanks" dxfId="4926" priority="4992">
      <formula>LEN(TRIM(L128))&gt;0</formula>
    </cfRule>
  </conditionalFormatting>
  <conditionalFormatting sqref="L127">
    <cfRule type="expression" dxfId="4925" priority="4987">
      <formula>AND($J127&lt;&gt;"",L127&lt;$J127)</formula>
    </cfRule>
    <cfRule type="expression" dxfId="4924" priority="4988">
      <formula>AND($I127&lt;&gt;"",L127&gt;$I127)</formula>
    </cfRule>
    <cfRule type="notContainsBlanks" dxfId="4923" priority="4989">
      <formula>LEN(TRIM(L127))&gt;0</formula>
    </cfRule>
  </conditionalFormatting>
  <conditionalFormatting sqref="L129">
    <cfRule type="expression" dxfId="4922" priority="4984">
      <formula>AND($J129&lt;&gt;"",L129&lt;$J129)</formula>
    </cfRule>
    <cfRule type="expression" dxfId="4921" priority="4985">
      <formula>AND($I129&lt;&gt;"",L129&gt;$I129)</formula>
    </cfRule>
    <cfRule type="notContainsBlanks" dxfId="4920" priority="4986">
      <formula>LEN(TRIM(L129))&gt;0</formula>
    </cfRule>
  </conditionalFormatting>
  <conditionalFormatting sqref="L126">
    <cfRule type="expression" dxfId="4919" priority="4981">
      <formula>AND($J126&lt;&gt;"",L126&lt;$J126)</formula>
    </cfRule>
    <cfRule type="expression" dxfId="4918" priority="4982">
      <formula>AND($I126&lt;&gt;"",L126&gt;$I126)</formula>
    </cfRule>
    <cfRule type="notContainsBlanks" dxfId="4917" priority="4983">
      <formula>LEN(TRIM(L126))&gt;0</formula>
    </cfRule>
  </conditionalFormatting>
  <conditionalFormatting sqref="L127">
    <cfRule type="expression" dxfId="4916" priority="4978">
      <formula>AND($J127&lt;&gt;"",L127&lt;$J127)</formula>
    </cfRule>
    <cfRule type="expression" dxfId="4915" priority="4979">
      <formula>AND($I127&lt;&gt;"",L127&gt;$I127)</formula>
    </cfRule>
    <cfRule type="notContainsBlanks" dxfId="4914" priority="4980">
      <formula>LEN(TRIM(L127))&gt;0</formula>
    </cfRule>
  </conditionalFormatting>
  <conditionalFormatting sqref="L127">
    <cfRule type="expression" dxfId="4913" priority="4975">
      <formula>AND($J127&lt;&gt;"",L127&lt;$J127)</formula>
    </cfRule>
    <cfRule type="expression" dxfId="4912" priority="4976">
      <formula>AND($I127&lt;&gt;"",L127&gt;$I127)</formula>
    </cfRule>
    <cfRule type="notContainsBlanks" dxfId="4911" priority="4977">
      <formula>LEN(TRIM(L127))&gt;0</formula>
    </cfRule>
  </conditionalFormatting>
  <conditionalFormatting sqref="L129">
    <cfRule type="expression" dxfId="4910" priority="4972">
      <formula>AND($J129&lt;&gt;"",L129&lt;$J129)</formula>
    </cfRule>
    <cfRule type="expression" dxfId="4909" priority="4973">
      <formula>AND($I129&lt;&gt;"",L129&gt;$I129)</formula>
    </cfRule>
    <cfRule type="notContainsBlanks" dxfId="4908" priority="4974">
      <formula>LEN(TRIM(L129))&gt;0</formula>
    </cfRule>
  </conditionalFormatting>
  <conditionalFormatting sqref="M129">
    <cfRule type="expression" dxfId="4907" priority="4969">
      <formula>AND($J129&lt;&gt;"",M129&lt;$J129)</formula>
    </cfRule>
    <cfRule type="expression" dxfId="4906" priority="4970">
      <formula>AND($I129&lt;&gt;"",M129&gt;$I129)</formula>
    </cfRule>
    <cfRule type="notContainsBlanks" dxfId="4905" priority="4971">
      <formula>LEN(TRIM(M129))&gt;0</formula>
    </cfRule>
  </conditionalFormatting>
  <conditionalFormatting sqref="M126">
    <cfRule type="expression" dxfId="4904" priority="4963">
      <formula>AND($J126&lt;&gt;"",M126&lt;$J126)</formula>
    </cfRule>
    <cfRule type="expression" dxfId="4903" priority="4964">
      <formula>AND($I126&lt;&gt;"",M126&gt;$I126)</formula>
    </cfRule>
    <cfRule type="notContainsBlanks" dxfId="4902" priority="4965">
      <formula>LEN(TRIM(M126))&gt;0</formula>
    </cfRule>
  </conditionalFormatting>
  <conditionalFormatting sqref="M128">
    <cfRule type="expression" dxfId="4901" priority="4960">
      <formula>AND($J128&lt;&gt;"",M128&lt;$J128)</formula>
    </cfRule>
    <cfRule type="expression" dxfId="4900" priority="4961">
      <formula>AND($I128&lt;&gt;"",M128&gt;$I128)</formula>
    </cfRule>
    <cfRule type="notContainsBlanks" dxfId="4899" priority="4962">
      <formula>LEN(TRIM(M128))&gt;0</formula>
    </cfRule>
  </conditionalFormatting>
  <conditionalFormatting sqref="M125">
    <cfRule type="expression" dxfId="4898" priority="4954">
      <formula>AND($J125&lt;&gt;"",M125&lt;$J125)</formula>
    </cfRule>
    <cfRule type="expression" dxfId="4897" priority="4955">
      <formula>AND($I125&lt;&gt;"",M125&gt;$I125)</formula>
    </cfRule>
    <cfRule type="notContainsBlanks" dxfId="4896" priority="4956">
      <formula>LEN(TRIM(M125))&gt;0</formula>
    </cfRule>
  </conditionalFormatting>
  <conditionalFormatting sqref="M126">
    <cfRule type="expression" dxfId="4895" priority="4951">
      <formula>AND($J126&lt;&gt;"",M126&lt;$J126)</formula>
    </cfRule>
    <cfRule type="expression" dxfId="4894" priority="4952">
      <formula>AND($I126&lt;&gt;"",M126&gt;$I126)</formula>
    </cfRule>
    <cfRule type="notContainsBlanks" dxfId="4893" priority="4953">
      <formula>LEN(TRIM(M126))&gt;0</formula>
    </cfRule>
  </conditionalFormatting>
  <conditionalFormatting sqref="M126">
    <cfRule type="expression" dxfId="4892" priority="4948">
      <formula>AND($J126&lt;&gt;"",M126&lt;$J126)</formula>
    </cfRule>
    <cfRule type="expression" dxfId="4891" priority="4949">
      <formula>AND($I126&lt;&gt;"",M126&gt;$I126)</formula>
    </cfRule>
    <cfRule type="notContainsBlanks" dxfId="4890" priority="4950">
      <formula>LEN(TRIM(M126))&gt;0</formula>
    </cfRule>
  </conditionalFormatting>
  <conditionalFormatting sqref="M128">
    <cfRule type="expression" dxfId="4889" priority="4945">
      <formula>AND($J128&lt;&gt;"",M128&lt;$J128)</formula>
    </cfRule>
    <cfRule type="expression" dxfId="4888" priority="4946">
      <formula>AND($I128&lt;&gt;"",M128&gt;$I128)</formula>
    </cfRule>
    <cfRule type="notContainsBlanks" dxfId="4887" priority="4947">
      <formula>LEN(TRIM(M128))&gt;0</formula>
    </cfRule>
  </conditionalFormatting>
  <conditionalFormatting sqref="F12">
    <cfRule type="expression" dxfId="4886" priority="4900">
      <formula>AND($D12="MIN",$F12&lt;&gt;"")</formula>
    </cfRule>
    <cfRule type="expression" dxfId="4885" priority="4901">
      <formula>AND($D12="MIN",$F12="")</formula>
    </cfRule>
    <cfRule type="containsBlanks" dxfId="4884" priority="4902">
      <formula>LEN(TRIM(F12))=0</formula>
    </cfRule>
  </conditionalFormatting>
  <conditionalFormatting sqref="E12">
    <cfRule type="expression" dxfId="4883" priority="4897">
      <formula>AND($D12&lt;&gt;"Tolerance",$E12&lt;&gt;"")</formula>
    </cfRule>
    <cfRule type="expression" dxfId="4882" priority="4898">
      <formula>AND(OR($D12="GD&amp;T",$D12="MAX",$D12="MIN"),$E12="")</formula>
    </cfRule>
    <cfRule type="containsBlanks" dxfId="4881" priority="4899">
      <formula>LEN(TRIM(E12))=0</formula>
    </cfRule>
  </conditionalFormatting>
  <conditionalFormatting sqref="E12">
    <cfRule type="expression" dxfId="4880" priority="4894">
      <formula>AND($D12&lt;&gt;"Tolerance",$E12&lt;&gt;"")</formula>
    </cfRule>
    <cfRule type="expression" dxfId="4879" priority="4895">
      <formula>AND(OR($D12="GD&amp;T",$D12="MAX",$D12="MIN"),$E12="")</formula>
    </cfRule>
    <cfRule type="containsBlanks" dxfId="4878" priority="4896">
      <formula>LEN(TRIM(E12))=0</formula>
    </cfRule>
  </conditionalFormatting>
  <conditionalFormatting sqref="E12">
    <cfRule type="expression" dxfId="4877" priority="4891">
      <formula>AND($D12="MIN",$F12&lt;&gt;"")</formula>
    </cfRule>
    <cfRule type="expression" dxfId="4876" priority="4892">
      <formula>AND($D12="MIN",$F12="")</formula>
    </cfRule>
    <cfRule type="containsBlanks" dxfId="4875" priority="4893">
      <formula>LEN(TRIM(E12))=0</formula>
    </cfRule>
  </conditionalFormatting>
  <conditionalFormatting sqref="E12">
    <cfRule type="expression" dxfId="4874" priority="4888">
      <formula>AND($D12="MIN",$F12&lt;&gt;"")</formula>
    </cfRule>
    <cfRule type="expression" dxfId="4873" priority="4889">
      <formula>AND($D12="MIN",$F12="")</formula>
    </cfRule>
    <cfRule type="containsBlanks" dxfId="4872" priority="4890">
      <formula>LEN(TRIM(E12))=0</formula>
    </cfRule>
  </conditionalFormatting>
  <conditionalFormatting sqref="F12">
    <cfRule type="expression" dxfId="4871" priority="4885">
      <formula>AND($D12="MIN",$F12&lt;&gt;"")</formula>
    </cfRule>
    <cfRule type="expression" dxfId="4870" priority="4886">
      <formula>AND($D12="MIN",$F12="")</formula>
    </cfRule>
    <cfRule type="containsBlanks" dxfId="4869" priority="4887">
      <formula>LEN(TRIM(F12))=0</formula>
    </cfRule>
  </conditionalFormatting>
  <conditionalFormatting sqref="F12">
    <cfRule type="expression" dxfId="4868" priority="4882">
      <formula>AND($D12="MIN",$F12&lt;&gt;"")</formula>
    </cfRule>
    <cfRule type="expression" dxfId="4867" priority="4883">
      <formula>AND($D12="MIN",$F12="")</formula>
    </cfRule>
    <cfRule type="containsBlanks" dxfId="4866" priority="4884">
      <formula>LEN(TRIM(F12))=0</formula>
    </cfRule>
  </conditionalFormatting>
  <conditionalFormatting sqref="E12">
    <cfRule type="expression" dxfId="4865" priority="4879">
      <formula>AND($D12&lt;&gt;"Tolerance",$E12&lt;&gt;"")</formula>
    </cfRule>
    <cfRule type="expression" dxfId="4864" priority="4880">
      <formula>AND(OR($D12="GD&amp;T",$D12="MAX",$D12="MIN"),$E12="")</formula>
    </cfRule>
    <cfRule type="containsBlanks" dxfId="4863" priority="4881">
      <formula>LEN(TRIM(E12))=0</formula>
    </cfRule>
  </conditionalFormatting>
  <conditionalFormatting sqref="E12">
    <cfRule type="expression" dxfId="4862" priority="4876">
      <formula>AND($D12&lt;&gt;"Tolerance",$E12&lt;&gt;"")</formula>
    </cfRule>
    <cfRule type="expression" dxfId="4861" priority="4877">
      <formula>AND(OR($D12="GD&amp;T",$D12="MAX",$D12="MIN"),$E12="")</formula>
    </cfRule>
    <cfRule type="containsBlanks" dxfId="4860" priority="4878">
      <formula>LEN(TRIM(E12))=0</formula>
    </cfRule>
  </conditionalFormatting>
  <conditionalFormatting sqref="E12">
    <cfRule type="expression" dxfId="4859" priority="4873">
      <formula>AND($D12="MIN",$F12&lt;&gt;"")</formula>
    </cfRule>
    <cfRule type="expression" dxfId="4858" priority="4874">
      <formula>AND($D12="MIN",$F12="")</formula>
    </cfRule>
    <cfRule type="containsBlanks" dxfId="4857" priority="4875">
      <formula>LEN(TRIM(E12))=0</formula>
    </cfRule>
  </conditionalFormatting>
  <conditionalFormatting sqref="E12">
    <cfRule type="expression" dxfId="4856" priority="4870">
      <formula>AND($D12="MIN",$F12&lt;&gt;"")</formula>
    </cfRule>
    <cfRule type="expression" dxfId="4855" priority="4871">
      <formula>AND($D12="MIN",$F12="")</formula>
    </cfRule>
    <cfRule type="containsBlanks" dxfId="4854" priority="4872">
      <formula>LEN(TRIM(E12))=0</formula>
    </cfRule>
  </conditionalFormatting>
  <conditionalFormatting sqref="F12">
    <cfRule type="expression" dxfId="4853" priority="4867">
      <formula>AND($D12="MIN",$F12&lt;&gt;"")</formula>
    </cfRule>
    <cfRule type="expression" dxfId="4852" priority="4868">
      <formula>AND($D12="MIN",$F12="")</formula>
    </cfRule>
    <cfRule type="containsBlanks" dxfId="4851" priority="4869">
      <formula>LEN(TRIM(F12))=0</formula>
    </cfRule>
  </conditionalFormatting>
  <conditionalFormatting sqref="F12">
    <cfRule type="expression" dxfId="4850" priority="4864">
      <formula>AND($D12="MIN",$F12&lt;&gt;"")</formula>
    </cfRule>
    <cfRule type="expression" dxfId="4849" priority="4865">
      <formula>AND($D12="MIN",$F12="")</formula>
    </cfRule>
    <cfRule type="containsBlanks" dxfId="4848" priority="4866">
      <formula>LEN(TRIM(F12))=0</formula>
    </cfRule>
  </conditionalFormatting>
  <conditionalFormatting sqref="E12">
    <cfRule type="expression" dxfId="4847" priority="4861">
      <formula>AND($D12&lt;&gt;"Tolerance",$E12&lt;&gt;"")</formula>
    </cfRule>
    <cfRule type="expression" dxfId="4846" priority="4862">
      <formula>AND(OR($D12="GD&amp;T",$D12="MAX",$D12="MIN"),$E12="")</formula>
    </cfRule>
    <cfRule type="containsBlanks" dxfId="4845" priority="4863">
      <formula>LEN(TRIM(E12))=0</formula>
    </cfRule>
  </conditionalFormatting>
  <conditionalFormatting sqref="E12">
    <cfRule type="expression" dxfId="4844" priority="4858">
      <formula>AND($D12&lt;&gt;"Tolerance",$E12&lt;&gt;"")</formula>
    </cfRule>
    <cfRule type="expression" dxfId="4843" priority="4859">
      <formula>AND(OR($D12="GD&amp;T",$D12="MAX",$D12="MIN"),$E12="")</formula>
    </cfRule>
    <cfRule type="containsBlanks" dxfId="4842" priority="4860">
      <formula>LEN(TRIM(E12))=0</formula>
    </cfRule>
  </conditionalFormatting>
  <conditionalFormatting sqref="E12">
    <cfRule type="expression" dxfId="4841" priority="4855">
      <formula>AND($D12="MIN",$F12&lt;&gt;"")</formula>
    </cfRule>
    <cfRule type="expression" dxfId="4840" priority="4856">
      <formula>AND($D12="MIN",$F12="")</formula>
    </cfRule>
    <cfRule type="containsBlanks" dxfId="4839" priority="4857">
      <formula>LEN(TRIM(E12))=0</formula>
    </cfRule>
  </conditionalFormatting>
  <conditionalFormatting sqref="E12">
    <cfRule type="expression" dxfId="4838" priority="4852">
      <formula>AND($D12="MIN",$F12&lt;&gt;"")</formula>
    </cfRule>
    <cfRule type="expression" dxfId="4837" priority="4853">
      <formula>AND($D12="MIN",$F12="")</formula>
    </cfRule>
    <cfRule type="containsBlanks" dxfId="4836" priority="4854">
      <formula>LEN(TRIM(E12))=0</formula>
    </cfRule>
  </conditionalFormatting>
  <conditionalFormatting sqref="F13">
    <cfRule type="expression" dxfId="4835" priority="4849">
      <formula>AND($D13="MIN",$F13&lt;&gt;"")</formula>
    </cfRule>
    <cfRule type="expression" dxfId="4834" priority="4850">
      <formula>AND($D13="MIN",$F13="")</formula>
    </cfRule>
    <cfRule type="containsBlanks" dxfId="4833" priority="4851">
      <formula>LEN(TRIM(F13))=0</formula>
    </cfRule>
  </conditionalFormatting>
  <conditionalFormatting sqref="G13">
    <cfRule type="expression" dxfId="4832" priority="4846">
      <formula>AND(OR($D13="GD&amp;T",$D13="MAX"),$G13&lt;&gt;"")</formula>
    </cfRule>
    <cfRule type="expression" dxfId="4831" priority="4847">
      <formula>AND(OR($D13="GD&amp;T",$D13="MAX"),$G13="")</formula>
    </cfRule>
    <cfRule type="containsBlanks" dxfId="4830" priority="4848">
      <formula>LEN(TRIM(G13))=0</formula>
    </cfRule>
  </conditionalFormatting>
  <conditionalFormatting sqref="E13">
    <cfRule type="expression" dxfId="4829" priority="4843">
      <formula>AND($D13&lt;&gt;"Tolerance",$E13&lt;&gt;"")</formula>
    </cfRule>
    <cfRule type="expression" dxfId="4828" priority="4844">
      <formula>AND(OR($D13="GD&amp;T",$D13="MAX",$D13="MIN"),$E13="")</formula>
    </cfRule>
    <cfRule type="containsBlanks" dxfId="4827" priority="4845">
      <formula>LEN(TRIM(E13))=0</formula>
    </cfRule>
  </conditionalFormatting>
  <conditionalFormatting sqref="E13">
    <cfRule type="expression" dxfId="4826" priority="4840">
      <formula>AND($D13&lt;&gt;"Tolerance",$E13&lt;&gt;"")</formula>
    </cfRule>
    <cfRule type="expression" dxfId="4825" priority="4841">
      <formula>AND(OR($D13="GD&amp;T",$D13="MAX",$D13="MIN"),$E13="")</formula>
    </cfRule>
    <cfRule type="containsBlanks" dxfId="4824" priority="4842">
      <formula>LEN(TRIM(E13))=0</formula>
    </cfRule>
  </conditionalFormatting>
  <conditionalFormatting sqref="E13">
    <cfRule type="expression" dxfId="4823" priority="4837">
      <formula>AND($D13="MIN",$F13&lt;&gt;"")</formula>
    </cfRule>
    <cfRule type="expression" dxfId="4822" priority="4838">
      <formula>AND($D13="MIN",$F13="")</formula>
    </cfRule>
    <cfRule type="containsBlanks" dxfId="4821" priority="4839">
      <formula>LEN(TRIM(E13))=0</formula>
    </cfRule>
  </conditionalFormatting>
  <conditionalFormatting sqref="E13">
    <cfRule type="expression" dxfId="4820" priority="4834">
      <formula>AND($D13="MIN",$F13&lt;&gt;"")</formula>
    </cfRule>
    <cfRule type="expression" dxfId="4819" priority="4835">
      <formula>AND($D13="MIN",$F13="")</formula>
    </cfRule>
    <cfRule type="containsBlanks" dxfId="4818" priority="4836">
      <formula>LEN(TRIM(E13))=0</formula>
    </cfRule>
  </conditionalFormatting>
  <conditionalFormatting sqref="F13">
    <cfRule type="expression" dxfId="4817" priority="4831">
      <formula>AND($D13="MIN",$F13&lt;&gt;"")</formula>
    </cfRule>
    <cfRule type="expression" dxfId="4816" priority="4832">
      <formula>AND($D13="MIN",$F13="")</formula>
    </cfRule>
    <cfRule type="containsBlanks" dxfId="4815" priority="4833">
      <formula>LEN(TRIM(F13))=0</formula>
    </cfRule>
  </conditionalFormatting>
  <conditionalFormatting sqref="G13">
    <cfRule type="expression" dxfId="4814" priority="4828">
      <formula>AND(OR($D13="GD&amp;T",$D13="MAX"),$G13&lt;&gt;"")</formula>
    </cfRule>
    <cfRule type="expression" dxfId="4813" priority="4829">
      <formula>AND(OR($D13="GD&amp;T",$D13="MAX"),$G13="")</formula>
    </cfRule>
    <cfRule type="containsBlanks" dxfId="4812" priority="4830">
      <formula>LEN(TRIM(G13))=0</formula>
    </cfRule>
  </conditionalFormatting>
  <conditionalFormatting sqref="F13">
    <cfRule type="expression" dxfId="4811" priority="4825">
      <formula>AND($D13="MIN",$F13&lt;&gt;"")</formula>
    </cfRule>
    <cfRule type="expression" dxfId="4810" priority="4826">
      <formula>AND($D13="MIN",$F13="")</formula>
    </cfRule>
    <cfRule type="containsBlanks" dxfId="4809" priority="4827">
      <formula>LEN(TRIM(F13))=0</formula>
    </cfRule>
  </conditionalFormatting>
  <conditionalFormatting sqref="G13">
    <cfRule type="expression" dxfId="4808" priority="4822">
      <formula>AND(OR($D13="GD&amp;T",$D13="MAX"),$G13&lt;&gt;"")</formula>
    </cfRule>
    <cfRule type="expression" dxfId="4807" priority="4823">
      <formula>AND(OR($D13="GD&amp;T",$D13="MAX"),$G13="")</formula>
    </cfRule>
    <cfRule type="containsBlanks" dxfId="4806" priority="4824">
      <formula>LEN(TRIM(G13))=0</formula>
    </cfRule>
  </conditionalFormatting>
  <conditionalFormatting sqref="E13">
    <cfRule type="expression" dxfId="4805" priority="4819">
      <formula>AND($D13&lt;&gt;"Tolerance",$E13&lt;&gt;"")</formula>
    </cfRule>
    <cfRule type="expression" dxfId="4804" priority="4820">
      <formula>AND(OR($D13="GD&amp;T",$D13="MAX",$D13="MIN"),$E13="")</formula>
    </cfRule>
    <cfRule type="containsBlanks" dxfId="4803" priority="4821">
      <formula>LEN(TRIM(E13))=0</formula>
    </cfRule>
  </conditionalFormatting>
  <conditionalFormatting sqref="E13">
    <cfRule type="expression" dxfId="4802" priority="4816">
      <formula>AND($D13&lt;&gt;"Tolerance",$E13&lt;&gt;"")</formula>
    </cfRule>
    <cfRule type="expression" dxfId="4801" priority="4817">
      <formula>AND(OR($D13="GD&amp;T",$D13="MAX",$D13="MIN"),$E13="")</formula>
    </cfRule>
    <cfRule type="containsBlanks" dxfId="4800" priority="4818">
      <formula>LEN(TRIM(E13))=0</formula>
    </cfRule>
  </conditionalFormatting>
  <conditionalFormatting sqref="E13">
    <cfRule type="expression" dxfId="4799" priority="4813">
      <formula>AND($D13="MIN",$F13&lt;&gt;"")</formula>
    </cfRule>
    <cfRule type="expression" dxfId="4798" priority="4814">
      <formula>AND($D13="MIN",$F13="")</formula>
    </cfRule>
    <cfRule type="containsBlanks" dxfId="4797" priority="4815">
      <formula>LEN(TRIM(E13))=0</formula>
    </cfRule>
  </conditionalFormatting>
  <conditionalFormatting sqref="E13">
    <cfRule type="expression" dxfId="4796" priority="4810">
      <formula>AND($D13="MIN",$F13&lt;&gt;"")</formula>
    </cfRule>
    <cfRule type="expression" dxfId="4795" priority="4811">
      <formula>AND($D13="MIN",$F13="")</formula>
    </cfRule>
    <cfRule type="containsBlanks" dxfId="4794" priority="4812">
      <formula>LEN(TRIM(E13))=0</formula>
    </cfRule>
  </conditionalFormatting>
  <conditionalFormatting sqref="F13">
    <cfRule type="expression" dxfId="4793" priority="4807">
      <formula>AND($D13="MIN",$F13&lt;&gt;"")</formula>
    </cfRule>
    <cfRule type="expression" dxfId="4792" priority="4808">
      <formula>AND($D13="MIN",$F13="")</formula>
    </cfRule>
    <cfRule type="containsBlanks" dxfId="4791" priority="4809">
      <formula>LEN(TRIM(F13))=0</formula>
    </cfRule>
  </conditionalFormatting>
  <conditionalFormatting sqref="G13">
    <cfRule type="expression" dxfId="4790" priority="4804">
      <formula>AND(OR($D13="GD&amp;T",$D13="MAX"),$G13&lt;&gt;"")</formula>
    </cfRule>
    <cfRule type="expression" dxfId="4789" priority="4805">
      <formula>AND(OR($D13="GD&amp;T",$D13="MAX"),$G13="")</formula>
    </cfRule>
    <cfRule type="containsBlanks" dxfId="4788" priority="4806">
      <formula>LEN(TRIM(G13))=0</formula>
    </cfRule>
  </conditionalFormatting>
  <conditionalFormatting sqref="F13">
    <cfRule type="expression" dxfId="4787" priority="4801">
      <formula>AND($D13="MIN",$F13&lt;&gt;"")</formula>
    </cfRule>
    <cfRule type="expression" dxfId="4786" priority="4802">
      <formula>AND($D13="MIN",$F13="")</formula>
    </cfRule>
    <cfRule type="containsBlanks" dxfId="4785" priority="4803">
      <formula>LEN(TRIM(F13))=0</formula>
    </cfRule>
  </conditionalFormatting>
  <conditionalFormatting sqref="G13">
    <cfRule type="expression" dxfId="4784" priority="4798">
      <formula>AND(OR($D13="GD&amp;T",$D13="MAX"),$G13&lt;&gt;"")</formula>
    </cfRule>
    <cfRule type="expression" dxfId="4783" priority="4799">
      <formula>AND(OR($D13="GD&amp;T",$D13="MAX"),$G13="")</formula>
    </cfRule>
    <cfRule type="containsBlanks" dxfId="4782" priority="4800">
      <formula>LEN(TRIM(G13))=0</formula>
    </cfRule>
  </conditionalFormatting>
  <conditionalFormatting sqref="E13">
    <cfRule type="expression" dxfId="4781" priority="4795">
      <formula>AND($D13&lt;&gt;"Tolerance",$E13&lt;&gt;"")</formula>
    </cfRule>
    <cfRule type="expression" dxfId="4780" priority="4796">
      <formula>AND(OR($D13="GD&amp;T",$D13="MAX",$D13="MIN"),$E13="")</formula>
    </cfRule>
    <cfRule type="containsBlanks" dxfId="4779" priority="4797">
      <formula>LEN(TRIM(E13))=0</formula>
    </cfRule>
  </conditionalFormatting>
  <conditionalFormatting sqref="E13">
    <cfRule type="expression" dxfId="4778" priority="4792">
      <formula>AND($D13&lt;&gt;"Tolerance",$E13&lt;&gt;"")</formula>
    </cfRule>
    <cfRule type="expression" dxfId="4777" priority="4793">
      <formula>AND(OR($D13="GD&amp;T",$D13="MAX",$D13="MIN"),$E13="")</formula>
    </cfRule>
    <cfRule type="containsBlanks" dxfId="4776" priority="4794">
      <formula>LEN(TRIM(E13))=0</formula>
    </cfRule>
  </conditionalFormatting>
  <conditionalFormatting sqref="E13">
    <cfRule type="expression" dxfId="4775" priority="4789">
      <formula>AND($D13="MIN",$F13&lt;&gt;"")</formula>
    </cfRule>
    <cfRule type="expression" dxfId="4774" priority="4790">
      <formula>AND($D13="MIN",$F13="")</formula>
    </cfRule>
    <cfRule type="containsBlanks" dxfId="4773" priority="4791">
      <formula>LEN(TRIM(E13))=0</formula>
    </cfRule>
  </conditionalFormatting>
  <conditionalFormatting sqref="E13">
    <cfRule type="expression" dxfId="4772" priority="4786">
      <formula>AND($D13="MIN",$F13&lt;&gt;"")</formula>
    </cfRule>
    <cfRule type="expression" dxfId="4771" priority="4787">
      <formula>AND($D13="MIN",$F13="")</formula>
    </cfRule>
    <cfRule type="containsBlanks" dxfId="4770" priority="4788">
      <formula>LEN(TRIM(E13))=0</formula>
    </cfRule>
  </conditionalFormatting>
  <conditionalFormatting sqref="F14">
    <cfRule type="expression" dxfId="4769" priority="4783">
      <formula>AND($D14="MIN",$F14&lt;&gt;"")</formula>
    </cfRule>
    <cfRule type="expression" dxfId="4768" priority="4784">
      <formula>AND($D14="MIN",$F14="")</formula>
    </cfRule>
    <cfRule type="containsBlanks" dxfId="4767" priority="4785">
      <formula>LEN(TRIM(F14))=0</formula>
    </cfRule>
  </conditionalFormatting>
  <conditionalFormatting sqref="G14">
    <cfRule type="expression" dxfId="4766" priority="4780">
      <formula>AND(OR($D14="GD&amp;T",$D14="MAX"),$G14&lt;&gt;"")</formula>
    </cfRule>
    <cfRule type="expression" dxfId="4765" priority="4781">
      <formula>AND(OR($D14="GD&amp;T",$D14="MAX"),$G14="")</formula>
    </cfRule>
    <cfRule type="containsBlanks" dxfId="4764" priority="4782">
      <formula>LEN(TRIM(G14))=0</formula>
    </cfRule>
  </conditionalFormatting>
  <conditionalFormatting sqref="E14">
    <cfRule type="expression" dxfId="4763" priority="4777">
      <formula>AND($D14&lt;&gt;"Tolerance",$E14&lt;&gt;"")</formula>
    </cfRule>
    <cfRule type="expression" dxfId="4762" priority="4778">
      <formula>AND(OR($D14="GD&amp;T",$D14="MAX",$D14="MIN"),$E14="")</formula>
    </cfRule>
    <cfRule type="containsBlanks" dxfId="4761" priority="4779">
      <formula>LEN(TRIM(E14))=0</formula>
    </cfRule>
  </conditionalFormatting>
  <conditionalFormatting sqref="E14">
    <cfRule type="expression" dxfId="4760" priority="4774">
      <formula>AND($D14&lt;&gt;"Tolerance",$E14&lt;&gt;"")</formula>
    </cfRule>
    <cfRule type="expression" dxfId="4759" priority="4775">
      <formula>AND(OR($D14="GD&amp;T",$D14="MAX",$D14="MIN"),$E14="")</formula>
    </cfRule>
    <cfRule type="containsBlanks" dxfId="4758" priority="4776">
      <formula>LEN(TRIM(E14))=0</formula>
    </cfRule>
  </conditionalFormatting>
  <conditionalFormatting sqref="E14">
    <cfRule type="expression" dxfId="4757" priority="4771">
      <formula>AND($D14="MIN",$F14&lt;&gt;"")</formula>
    </cfRule>
    <cfRule type="expression" dxfId="4756" priority="4772">
      <formula>AND($D14="MIN",$F14="")</formula>
    </cfRule>
    <cfRule type="containsBlanks" dxfId="4755" priority="4773">
      <formula>LEN(TRIM(E14))=0</formula>
    </cfRule>
  </conditionalFormatting>
  <conditionalFormatting sqref="E14">
    <cfRule type="expression" dxfId="4754" priority="4768">
      <formula>AND($D14="MIN",$F14&lt;&gt;"")</formula>
    </cfRule>
    <cfRule type="expression" dxfId="4753" priority="4769">
      <formula>AND($D14="MIN",$F14="")</formula>
    </cfRule>
    <cfRule type="containsBlanks" dxfId="4752" priority="4770">
      <formula>LEN(TRIM(E14))=0</formula>
    </cfRule>
  </conditionalFormatting>
  <conditionalFormatting sqref="F14">
    <cfRule type="expression" dxfId="4751" priority="4765">
      <formula>AND($D14="MIN",$F14&lt;&gt;"")</formula>
    </cfRule>
    <cfRule type="expression" dxfId="4750" priority="4766">
      <formula>AND($D14="MIN",$F14="")</formula>
    </cfRule>
    <cfRule type="containsBlanks" dxfId="4749" priority="4767">
      <formula>LEN(TRIM(F14))=0</formula>
    </cfRule>
  </conditionalFormatting>
  <conditionalFormatting sqref="G14">
    <cfRule type="expression" dxfId="4748" priority="4762">
      <formula>AND(OR($D14="GD&amp;T",$D14="MAX"),$G14&lt;&gt;"")</formula>
    </cfRule>
    <cfRule type="expression" dxfId="4747" priority="4763">
      <formula>AND(OR($D14="GD&amp;T",$D14="MAX"),$G14="")</formula>
    </cfRule>
    <cfRule type="containsBlanks" dxfId="4746" priority="4764">
      <formula>LEN(TRIM(G14))=0</formula>
    </cfRule>
  </conditionalFormatting>
  <conditionalFormatting sqref="F14">
    <cfRule type="expression" dxfId="4745" priority="4759">
      <formula>AND($D14="MIN",$F14&lt;&gt;"")</formula>
    </cfRule>
    <cfRule type="expression" dxfId="4744" priority="4760">
      <formula>AND($D14="MIN",$F14="")</formula>
    </cfRule>
    <cfRule type="containsBlanks" dxfId="4743" priority="4761">
      <formula>LEN(TRIM(F14))=0</formula>
    </cfRule>
  </conditionalFormatting>
  <conditionalFormatting sqref="G14">
    <cfRule type="expression" dxfId="4742" priority="4756">
      <formula>AND(OR($D14="GD&amp;T",$D14="MAX"),$G14&lt;&gt;"")</formula>
    </cfRule>
    <cfRule type="expression" dxfId="4741" priority="4757">
      <formula>AND(OR($D14="GD&amp;T",$D14="MAX"),$G14="")</formula>
    </cfRule>
    <cfRule type="containsBlanks" dxfId="4740" priority="4758">
      <formula>LEN(TRIM(G14))=0</formula>
    </cfRule>
  </conditionalFormatting>
  <conditionalFormatting sqref="E14">
    <cfRule type="expression" dxfId="4739" priority="4753">
      <formula>AND($D14&lt;&gt;"Tolerance",$E14&lt;&gt;"")</formula>
    </cfRule>
    <cfRule type="expression" dxfId="4738" priority="4754">
      <formula>AND(OR($D14="GD&amp;T",$D14="MAX",$D14="MIN"),$E14="")</formula>
    </cfRule>
    <cfRule type="containsBlanks" dxfId="4737" priority="4755">
      <formula>LEN(TRIM(E14))=0</formula>
    </cfRule>
  </conditionalFormatting>
  <conditionalFormatting sqref="E14">
    <cfRule type="expression" dxfId="4736" priority="4750">
      <formula>AND($D14&lt;&gt;"Tolerance",$E14&lt;&gt;"")</formula>
    </cfRule>
    <cfRule type="expression" dxfId="4735" priority="4751">
      <formula>AND(OR($D14="GD&amp;T",$D14="MAX",$D14="MIN"),$E14="")</formula>
    </cfRule>
    <cfRule type="containsBlanks" dxfId="4734" priority="4752">
      <formula>LEN(TRIM(E14))=0</formula>
    </cfRule>
  </conditionalFormatting>
  <conditionalFormatting sqref="E14">
    <cfRule type="expression" dxfId="4733" priority="4747">
      <formula>AND($D14="MIN",$F14&lt;&gt;"")</formula>
    </cfRule>
    <cfRule type="expression" dxfId="4732" priority="4748">
      <formula>AND($D14="MIN",$F14="")</formula>
    </cfRule>
    <cfRule type="containsBlanks" dxfId="4731" priority="4749">
      <formula>LEN(TRIM(E14))=0</formula>
    </cfRule>
  </conditionalFormatting>
  <conditionalFormatting sqref="E14">
    <cfRule type="expression" dxfId="4730" priority="4744">
      <formula>AND($D14="MIN",$F14&lt;&gt;"")</formula>
    </cfRule>
    <cfRule type="expression" dxfId="4729" priority="4745">
      <formula>AND($D14="MIN",$F14="")</formula>
    </cfRule>
    <cfRule type="containsBlanks" dxfId="4728" priority="4746">
      <formula>LEN(TRIM(E14))=0</formula>
    </cfRule>
  </conditionalFormatting>
  <conditionalFormatting sqref="F14">
    <cfRule type="expression" dxfId="4727" priority="4741">
      <formula>AND($D14="MIN",$F14&lt;&gt;"")</formula>
    </cfRule>
    <cfRule type="expression" dxfId="4726" priority="4742">
      <formula>AND($D14="MIN",$F14="")</formula>
    </cfRule>
    <cfRule type="containsBlanks" dxfId="4725" priority="4743">
      <formula>LEN(TRIM(F14))=0</formula>
    </cfRule>
  </conditionalFormatting>
  <conditionalFormatting sqref="G14">
    <cfRule type="expression" dxfId="4724" priority="4738">
      <formula>AND(OR($D14="GD&amp;T",$D14="MAX"),$G14&lt;&gt;"")</formula>
    </cfRule>
    <cfRule type="expression" dxfId="4723" priority="4739">
      <formula>AND(OR($D14="GD&amp;T",$D14="MAX"),$G14="")</formula>
    </cfRule>
    <cfRule type="containsBlanks" dxfId="4722" priority="4740">
      <formula>LEN(TRIM(G14))=0</formula>
    </cfRule>
  </conditionalFormatting>
  <conditionalFormatting sqref="F14">
    <cfRule type="expression" dxfId="4721" priority="4735">
      <formula>AND($D14="MIN",$F14&lt;&gt;"")</formula>
    </cfRule>
    <cfRule type="expression" dxfId="4720" priority="4736">
      <formula>AND($D14="MIN",$F14="")</formula>
    </cfRule>
    <cfRule type="containsBlanks" dxfId="4719" priority="4737">
      <formula>LEN(TRIM(F14))=0</formula>
    </cfRule>
  </conditionalFormatting>
  <conditionalFormatting sqref="G14">
    <cfRule type="expression" dxfId="4718" priority="4732">
      <formula>AND(OR($D14="GD&amp;T",$D14="MAX"),$G14&lt;&gt;"")</formula>
    </cfRule>
    <cfRule type="expression" dxfId="4717" priority="4733">
      <formula>AND(OR($D14="GD&amp;T",$D14="MAX"),$G14="")</formula>
    </cfRule>
    <cfRule type="containsBlanks" dxfId="4716" priority="4734">
      <formula>LEN(TRIM(G14))=0</formula>
    </cfRule>
  </conditionalFormatting>
  <conditionalFormatting sqref="E14">
    <cfRule type="expression" dxfId="4715" priority="4729">
      <formula>AND($D14&lt;&gt;"Tolerance",$E14&lt;&gt;"")</formula>
    </cfRule>
    <cfRule type="expression" dxfId="4714" priority="4730">
      <formula>AND(OR($D14="GD&amp;T",$D14="MAX",$D14="MIN"),$E14="")</formula>
    </cfRule>
    <cfRule type="containsBlanks" dxfId="4713" priority="4731">
      <formula>LEN(TRIM(E14))=0</formula>
    </cfRule>
  </conditionalFormatting>
  <conditionalFormatting sqref="E14">
    <cfRule type="expression" dxfId="4712" priority="4726">
      <formula>AND($D14&lt;&gt;"Tolerance",$E14&lt;&gt;"")</formula>
    </cfRule>
    <cfRule type="expression" dxfId="4711" priority="4727">
      <formula>AND(OR($D14="GD&amp;T",$D14="MAX",$D14="MIN"),$E14="")</formula>
    </cfRule>
    <cfRule type="containsBlanks" dxfId="4710" priority="4728">
      <formula>LEN(TRIM(E14))=0</formula>
    </cfRule>
  </conditionalFormatting>
  <conditionalFormatting sqref="E14">
    <cfRule type="expression" dxfId="4709" priority="4723">
      <formula>AND($D14="MIN",$F14&lt;&gt;"")</formula>
    </cfRule>
    <cfRule type="expression" dxfId="4708" priority="4724">
      <formula>AND($D14="MIN",$F14="")</formula>
    </cfRule>
    <cfRule type="containsBlanks" dxfId="4707" priority="4725">
      <formula>LEN(TRIM(E14))=0</formula>
    </cfRule>
  </conditionalFormatting>
  <conditionalFormatting sqref="E14">
    <cfRule type="expression" dxfId="4706" priority="4720">
      <formula>AND($D14="MIN",$F14&lt;&gt;"")</formula>
    </cfRule>
    <cfRule type="expression" dxfId="4705" priority="4721">
      <formula>AND($D14="MIN",$F14="")</formula>
    </cfRule>
    <cfRule type="containsBlanks" dxfId="4704" priority="4722">
      <formula>LEN(TRIM(E14))=0</formula>
    </cfRule>
  </conditionalFormatting>
  <conditionalFormatting sqref="F15">
    <cfRule type="expression" dxfId="4703" priority="4717">
      <formula>AND($D15="MIN",$F15&lt;&gt;"")</formula>
    </cfRule>
    <cfRule type="expression" dxfId="4702" priority="4718">
      <formula>AND($D15="MIN",$F15="")</formula>
    </cfRule>
    <cfRule type="containsBlanks" dxfId="4701" priority="4719">
      <formula>LEN(TRIM(F15))=0</formula>
    </cfRule>
  </conditionalFormatting>
  <conditionalFormatting sqref="G15">
    <cfRule type="expression" dxfId="4700" priority="4714">
      <formula>AND(OR($D15="GD&amp;T",$D15="MAX"),$G15&lt;&gt;"")</formula>
    </cfRule>
    <cfRule type="expression" dxfId="4699" priority="4715">
      <formula>AND(OR($D15="GD&amp;T",$D15="MAX"),$G15="")</formula>
    </cfRule>
    <cfRule type="containsBlanks" dxfId="4698" priority="4716">
      <formula>LEN(TRIM(G15))=0</formula>
    </cfRule>
  </conditionalFormatting>
  <conditionalFormatting sqref="E15">
    <cfRule type="expression" dxfId="4697" priority="4711">
      <formula>AND($D15&lt;&gt;"Tolerance",$E15&lt;&gt;"")</formula>
    </cfRule>
    <cfRule type="expression" dxfId="4696" priority="4712">
      <formula>AND(OR($D15="GD&amp;T",$D15="MAX",$D15="MIN"),$E15="")</formula>
    </cfRule>
    <cfRule type="containsBlanks" dxfId="4695" priority="4713">
      <formula>LEN(TRIM(E15))=0</formula>
    </cfRule>
  </conditionalFormatting>
  <conditionalFormatting sqref="E15">
    <cfRule type="expression" dxfId="4694" priority="4708">
      <formula>AND($D15&lt;&gt;"Tolerance",$E15&lt;&gt;"")</formula>
    </cfRule>
    <cfRule type="expression" dxfId="4693" priority="4709">
      <formula>AND(OR($D15="GD&amp;T",$D15="MAX",$D15="MIN"),$E15="")</formula>
    </cfRule>
    <cfRule type="containsBlanks" dxfId="4692" priority="4710">
      <formula>LEN(TRIM(E15))=0</formula>
    </cfRule>
  </conditionalFormatting>
  <conditionalFormatting sqref="E15">
    <cfRule type="expression" dxfId="4691" priority="4705">
      <formula>AND($D15="MIN",$F15&lt;&gt;"")</formula>
    </cfRule>
    <cfRule type="expression" dxfId="4690" priority="4706">
      <formula>AND($D15="MIN",$F15="")</formula>
    </cfRule>
    <cfRule type="containsBlanks" dxfId="4689" priority="4707">
      <formula>LEN(TRIM(E15))=0</formula>
    </cfRule>
  </conditionalFormatting>
  <conditionalFormatting sqref="E15">
    <cfRule type="expression" dxfId="4688" priority="4702">
      <formula>AND($D15="MIN",$F15&lt;&gt;"")</formula>
    </cfRule>
    <cfRule type="expression" dxfId="4687" priority="4703">
      <formula>AND($D15="MIN",$F15="")</formula>
    </cfRule>
    <cfRule type="containsBlanks" dxfId="4686" priority="4704">
      <formula>LEN(TRIM(E15))=0</formula>
    </cfRule>
  </conditionalFormatting>
  <conditionalFormatting sqref="F15">
    <cfRule type="expression" dxfId="4685" priority="4699">
      <formula>AND($D15="MIN",$F15&lt;&gt;"")</formula>
    </cfRule>
    <cfRule type="expression" dxfId="4684" priority="4700">
      <formula>AND($D15="MIN",$F15="")</formula>
    </cfRule>
    <cfRule type="containsBlanks" dxfId="4683" priority="4701">
      <formula>LEN(TRIM(F15))=0</formula>
    </cfRule>
  </conditionalFormatting>
  <conditionalFormatting sqref="G15">
    <cfRule type="expression" dxfId="4682" priority="4696">
      <formula>AND(OR($D15="GD&amp;T",$D15="MAX"),$G15&lt;&gt;"")</formula>
    </cfRule>
    <cfRule type="expression" dxfId="4681" priority="4697">
      <formula>AND(OR($D15="GD&amp;T",$D15="MAX"),$G15="")</formula>
    </cfRule>
    <cfRule type="containsBlanks" dxfId="4680" priority="4698">
      <formula>LEN(TRIM(G15))=0</formula>
    </cfRule>
  </conditionalFormatting>
  <conditionalFormatting sqref="F15">
    <cfRule type="expression" dxfId="4679" priority="4693">
      <formula>AND($D15="MIN",$F15&lt;&gt;"")</formula>
    </cfRule>
    <cfRule type="expression" dxfId="4678" priority="4694">
      <formula>AND($D15="MIN",$F15="")</formula>
    </cfRule>
    <cfRule type="containsBlanks" dxfId="4677" priority="4695">
      <formula>LEN(TRIM(F15))=0</formula>
    </cfRule>
  </conditionalFormatting>
  <conditionalFormatting sqref="G15">
    <cfRule type="expression" dxfId="4676" priority="4690">
      <formula>AND(OR($D15="GD&amp;T",$D15="MAX"),$G15&lt;&gt;"")</formula>
    </cfRule>
    <cfRule type="expression" dxfId="4675" priority="4691">
      <formula>AND(OR($D15="GD&amp;T",$D15="MAX"),$G15="")</formula>
    </cfRule>
    <cfRule type="containsBlanks" dxfId="4674" priority="4692">
      <formula>LEN(TRIM(G15))=0</formula>
    </cfRule>
  </conditionalFormatting>
  <conditionalFormatting sqref="E15">
    <cfRule type="expression" dxfId="4673" priority="4687">
      <formula>AND($D15&lt;&gt;"Tolerance",$E15&lt;&gt;"")</formula>
    </cfRule>
    <cfRule type="expression" dxfId="4672" priority="4688">
      <formula>AND(OR($D15="GD&amp;T",$D15="MAX",$D15="MIN"),$E15="")</formula>
    </cfRule>
    <cfRule type="containsBlanks" dxfId="4671" priority="4689">
      <formula>LEN(TRIM(E15))=0</formula>
    </cfRule>
  </conditionalFormatting>
  <conditionalFormatting sqref="E15">
    <cfRule type="expression" dxfId="4670" priority="4684">
      <formula>AND($D15&lt;&gt;"Tolerance",$E15&lt;&gt;"")</formula>
    </cfRule>
    <cfRule type="expression" dxfId="4669" priority="4685">
      <formula>AND(OR($D15="GD&amp;T",$D15="MAX",$D15="MIN"),$E15="")</formula>
    </cfRule>
    <cfRule type="containsBlanks" dxfId="4668" priority="4686">
      <formula>LEN(TRIM(E15))=0</formula>
    </cfRule>
  </conditionalFormatting>
  <conditionalFormatting sqref="E15">
    <cfRule type="expression" dxfId="4667" priority="4681">
      <formula>AND($D15="MIN",$F15&lt;&gt;"")</formula>
    </cfRule>
    <cfRule type="expression" dxfId="4666" priority="4682">
      <formula>AND($D15="MIN",$F15="")</formula>
    </cfRule>
    <cfRule type="containsBlanks" dxfId="4665" priority="4683">
      <formula>LEN(TRIM(E15))=0</formula>
    </cfRule>
  </conditionalFormatting>
  <conditionalFormatting sqref="E15">
    <cfRule type="expression" dxfId="4664" priority="4678">
      <formula>AND($D15="MIN",$F15&lt;&gt;"")</formula>
    </cfRule>
    <cfRule type="expression" dxfId="4663" priority="4679">
      <formula>AND($D15="MIN",$F15="")</formula>
    </cfRule>
    <cfRule type="containsBlanks" dxfId="4662" priority="4680">
      <formula>LEN(TRIM(E15))=0</formula>
    </cfRule>
  </conditionalFormatting>
  <conditionalFormatting sqref="F15">
    <cfRule type="expression" dxfId="4661" priority="4675">
      <formula>AND($D15="MIN",$F15&lt;&gt;"")</formula>
    </cfRule>
    <cfRule type="expression" dxfId="4660" priority="4676">
      <formula>AND($D15="MIN",$F15="")</formula>
    </cfRule>
    <cfRule type="containsBlanks" dxfId="4659" priority="4677">
      <formula>LEN(TRIM(F15))=0</formula>
    </cfRule>
  </conditionalFormatting>
  <conditionalFormatting sqref="G15">
    <cfRule type="expression" dxfId="4658" priority="4672">
      <formula>AND(OR($D15="GD&amp;T",$D15="MAX"),$G15&lt;&gt;"")</formula>
    </cfRule>
    <cfRule type="expression" dxfId="4657" priority="4673">
      <formula>AND(OR($D15="GD&amp;T",$D15="MAX"),$G15="")</formula>
    </cfRule>
    <cfRule type="containsBlanks" dxfId="4656" priority="4674">
      <formula>LEN(TRIM(G15))=0</formula>
    </cfRule>
  </conditionalFormatting>
  <conditionalFormatting sqref="F15">
    <cfRule type="expression" dxfId="4655" priority="4669">
      <formula>AND($D15="MIN",$F15&lt;&gt;"")</formula>
    </cfRule>
    <cfRule type="expression" dxfId="4654" priority="4670">
      <formula>AND($D15="MIN",$F15="")</formula>
    </cfRule>
    <cfRule type="containsBlanks" dxfId="4653" priority="4671">
      <formula>LEN(TRIM(F15))=0</formula>
    </cfRule>
  </conditionalFormatting>
  <conditionalFormatting sqref="G15">
    <cfRule type="expression" dxfId="4652" priority="4666">
      <formula>AND(OR($D15="GD&amp;T",$D15="MAX"),$G15&lt;&gt;"")</formula>
    </cfRule>
    <cfRule type="expression" dxfId="4651" priority="4667">
      <formula>AND(OR($D15="GD&amp;T",$D15="MAX"),$G15="")</formula>
    </cfRule>
    <cfRule type="containsBlanks" dxfId="4650" priority="4668">
      <formula>LEN(TRIM(G15))=0</formula>
    </cfRule>
  </conditionalFormatting>
  <conditionalFormatting sqref="E15">
    <cfRule type="expression" dxfId="4649" priority="4663">
      <formula>AND($D15&lt;&gt;"Tolerance",$E15&lt;&gt;"")</formula>
    </cfRule>
    <cfRule type="expression" dxfId="4648" priority="4664">
      <formula>AND(OR($D15="GD&amp;T",$D15="MAX",$D15="MIN"),$E15="")</formula>
    </cfRule>
    <cfRule type="containsBlanks" dxfId="4647" priority="4665">
      <formula>LEN(TRIM(E15))=0</formula>
    </cfRule>
  </conditionalFormatting>
  <conditionalFormatting sqref="E15">
    <cfRule type="expression" dxfId="4646" priority="4660">
      <formula>AND($D15&lt;&gt;"Tolerance",$E15&lt;&gt;"")</formula>
    </cfRule>
    <cfRule type="expression" dxfId="4645" priority="4661">
      <formula>AND(OR($D15="GD&amp;T",$D15="MAX",$D15="MIN"),$E15="")</formula>
    </cfRule>
    <cfRule type="containsBlanks" dxfId="4644" priority="4662">
      <formula>LEN(TRIM(E15))=0</formula>
    </cfRule>
  </conditionalFormatting>
  <conditionalFormatting sqref="E15">
    <cfRule type="expression" dxfId="4643" priority="4657">
      <formula>AND($D15="MIN",$F15&lt;&gt;"")</formula>
    </cfRule>
    <cfRule type="expression" dxfId="4642" priority="4658">
      <formula>AND($D15="MIN",$F15="")</formula>
    </cfRule>
    <cfRule type="containsBlanks" dxfId="4641" priority="4659">
      <formula>LEN(TRIM(E15))=0</formula>
    </cfRule>
  </conditionalFormatting>
  <conditionalFormatting sqref="E15">
    <cfRule type="expression" dxfId="4640" priority="4654">
      <formula>AND($D15="MIN",$F15&lt;&gt;"")</formula>
    </cfRule>
    <cfRule type="expression" dxfId="4639" priority="4655">
      <formula>AND($D15="MIN",$F15="")</formula>
    </cfRule>
    <cfRule type="containsBlanks" dxfId="4638" priority="4656">
      <formula>LEN(TRIM(E15))=0</formula>
    </cfRule>
  </conditionalFormatting>
  <conditionalFormatting sqref="E16">
    <cfRule type="expression" dxfId="4637" priority="4651">
      <formula>AND($D16&lt;&gt;"Tolerance",$E16&lt;&gt;"")</formula>
    </cfRule>
    <cfRule type="expression" dxfId="4636" priority="4652">
      <formula>AND(OR($D16="GD&amp;T",$D16="MAX",$D16="MIN"),$E16="")</formula>
    </cfRule>
    <cfRule type="containsBlanks" dxfId="4635" priority="4653">
      <formula>LEN(TRIM(E16))=0</formula>
    </cfRule>
  </conditionalFormatting>
  <conditionalFormatting sqref="F16">
    <cfRule type="expression" dxfId="4634" priority="4648">
      <formula>AND($D16="MIN",$F16&lt;&gt;"")</formula>
    </cfRule>
    <cfRule type="expression" dxfId="4633" priority="4649">
      <formula>AND($D16="MIN",$F16="")</formula>
    </cfRule>
    <cfRule type="containsBlanks" dxfId="4632" priority="4650">
      <formula>LEN(TRIM(F16))=0</formula>
    </cfRule>
  </conditionalFormatting>
  <conditionalFormatting sqref="G16">
    <cfRule type="expression" dxfId="4631" priority="4645">
      <formula>AND(OR($D16="GD&amp;T",$D16="MAX"),$G16&lt;&gt;"")</formula>
    </cfRule>
    <cfRule type="expression" dxfId="4630" priority="4646">
      <formula>AND(OR($D16="GD&amp;T",$D16="MAX"),$G16="")</formula>
    </cfRule>
    <cfRule type="containsBlanks" dxfId="4629" priority="4647">
      <formula>LEN(TRIM(G16))=0</formula>
    </cfRule>
  </conditionalFormatting>
  <conditionalFormatting sqref="E16">
    <cfRule type="expression" dxfId="4628" priority="4642">
      <formula>AND($D16&lt;&gt;"Tolerance",$E16&lt;&gt;"")</formula>
    </cfRule>
    <cfRule type="expression" dxfId="4627" priority="4643">
      <formula>AND(OR($D16="GD&amp;T",$D16="MAX",$D16="MIN"),$E16="")</formula>
    </cfRule>
    <cfRule type="containsBlanks" dxfId="4626" priority="4644">
      <formula>LEN(TRIM(E16))=0</formula>
    </cfRule>
  </conditionalFormatting>
  <conditionalFormatting sqref="E16">
    <cfRule type="expression" dxfId="4625" priority="4639">
      <formula>AND($D16&lt;&gt;"Tolerance",$E16&lt;&gt;"")</formula>
    </cfRule>
    <cfRule type="expression" dxfId="4624" priority="4640">
      <formula>AND(OR($D16="GD&amp;T",$D16="MAX",$D16="MIN"),$E16="")</formula>
    </cfRule>
    <cfRule type="containsBlanks" dxfId="4623" priority="4641">
      <formula>LEN(TRIM(E16))=0</formula>
    </cfRule>
  </conditionalFormatting>
  <conditionalFormatting sqref="E16">
    <cfRule type="expression" dxfId="4622" priority="4636">
      <formula>AND($D16="MIN",$F16&lt;&gt;"")</formula>
    </cfRule>
    <cfRule type="expression" dxfId="4621" priority="4637">
      <formula>AND($D16="MIN",$F16="")</formula>
    </cfRule>
    <cfRule type="containsBlanks" dxfId="4620" priority="4638">
      <formula>LEN(TRIM(E16))=0</formula>
    </cfRule>
  </conditionalFormatting>
  <conditionalFormatting sqref="E16">
    <cfRule type="expression" dxfId="4619" priority="4633">
      <formula>AND($D16="MIN",$F16&lt;&gt;"")</formula>
    </cfRule>
    <cfRule type="expression" dxfId="4618" priority="4634">
      <formula>AND($D16="MIN",$F16="")</formula>
    </cfRule>
    <cfRule type="containsBlanks" dxfId="4617" priority="4635">
      <formula>LEN(TRIM(E16))=0</formula>
    </cfRule>
  </conditionalFormatting>
  <conditionalFormatting sqref="E16">
    <cfRule type="expression" dxfId="4616" priority="4630">
      <formula>AND($D16&lt;&gt;"Tolerance",$E16&lt;&gt;"")</formula>
    </cfRule>
    <cfRule type="expression" dxfId="4615" priority="4631">
      <formula>AND(OR($D16="GD&amp;T",$D16="MAX",$D16="MIN"),$E16="")</formula>
    </cfRule>
    <cfRule type="containsBlanks" dxfId="4614" priority="4632">
      <formula>LEN(TRIM(E16))=0</formula>
    </cfRule>
  </conditionalFormatting>
  <conditionalFormatting sqref="F16">
    <cfRule type="expression" dxfId="4613" priority="4627">
      <formula>AND($D16="MIN",$F16&lt;&gt;"")</formula>
    </cfRule>
    <cfRule type="expression" dxfId="4612" priority="4628">
      <formula>AND($D16="MIN",$F16="")</formula>
    </cfRule>
    <cfRule type="containsBlanks" dxfId="4611" priority="4629">
      <formula>LEN(TRIM(F16))=0</formula>
    </cfRule>
  </conditionalFormatting>
  <conditionalFormatting sqref="G16">
    <cfRule type="expression" dxfId="4610" priority="4624">
      <formula>AND(OR($D16="GD&amp;T",$D16="MAX"),$G16&lt;&gt;"")</formula>
    </cfRule>
    <cfRule type="expression" dxfId="4609" priority="4625">
      <formula>AND(OR($D16="GD&amp;T",$D16="MAX"),$G16="")</formula>
    </cfRule>
    <cfRule type="containsBlanks" dxfId="4608" priority="4626">
      <formula>LEN(TRIM(G16))=0</formula>
    </cfRule>
  </conditionalFormatting>
  <conditionalFormatting sqref="F16">
    <cfRule type="expression" dxfId="4607" priority="4621">
      <formula>AND($D16="MIN",$F16&lt;&gt;"")</formula>
    </cfRule>
    <cfRule type="expression" dxfId="4606" priority="4622">
      <formula>AND($D16="MIN",$F16="")</formula>
    </cfRule>
    <cfRule type="containsBlanks" dxfId="4605" priority="4623">
      <formula>LEN(TRIM(F16))=0</formula>
    </cfRule>
  </conditionalFormatting>
  <conditionalFormatting sqref="G16">
    <cfRule type="expression" dxfId="4604" priority="4618">
      <formula>AND(OR($D16="GD&amp;T",$D16="MAX"),$G16&lt;&gt;"")</formula>
    </cfRule>
    <cfRule type="expression" dxfId="4603" priority="4619">
      <formula>AND(OR($D16="GD&amp;T",$D16="MAX"),$G16="")</formula>
    </cfRule>
    <cfRule type="containsBlanks" dxfId="4602" priority="4620">
      <formula>LEN(TRIM(G16))=0</formula>
    </cfRule>
  </conditionalFormatting>
  <conditionalFormatting sqref="E16">
    <cfRule type="expression" dxfId="4601" priority="4615">
      <formula>AND($D16&lt;&gt;"Tolerance",$E16&lt;&gt;"")</formula>
    </cfRule>
    <cfRule type="expression" dxfId="4600" priority="4616">
      <formula>AND(OR($D16="GD&amp;T",$D16="MAX",$D16="MIN"),$E16="")</formula>
    </cfRule>
    <cfRule type="containsBlanks" dxfId="4599" priority="4617">
      <formula>LEN(TRIM(E16))=0</formula>
    </cfRule>
  </conditionalFormatting>
  <conditionalFormatting sqref="E16">
    <cfRule type="expression" dxfId="4598" priority="4612">
      <formula>AND($D16&lt;&gt;"Tolerance",$E16&lt;&gt;"")</formula>
    </cfRule>
    <cfRule type="expression" dxfId="4597" priority="4613">
      <formula>AND(OR($D16="GD&amp;T",$D16="MAX",$D16="MIN"),$E16="")</formula>
    </cfRule>
    <cfRule type="containsBlanks" dxfId="4596" priority="4614">
      <formula>LEN(TRIM(E16))=0</formula>
    </cfRule>
  </conditionalFormatting>
  <conditionalFormatting sqref="E16">
    <cfRule type="expression" dxfId="4595" priority="4609">
      <formula>AND($D16="MIN",$F16&lt;&gt;"")</formula>
    </cfRule>
    <cfRule type="expression" dxfId="4594" priority="4610">
      <formula>AND($D16="MIN",$F16="")</formula>
    </cfRule>
    <cfRule type="containsBlanks" dxfId="4593" priority="4611">
      <formula>LEN(TRIM(E16))=0</formula>
    </cfRule>
  </conditionalFormatting>
  <conditionalFormatting sqref="E16">
    <cfRule type="expression" dxfId="4592" priority="4606">
      <formula>AND($D16="MIN",$F16&lt;&gt;"")</formula>
    </cfRule>
    <cfRule type="expression" dxfId="4591" priority="4607">
      <formula>AND($D16="MIN",$F16="")</formula>
    </cfRule>
    <cfRule type="containsBlanks" dxfId="4590" priority="4608">
      <formula>LEN(TRIM(E16))=0</formula>
    </cfRule>
  </conditionalFormatting>
  <conditionalFormatting sqref="F16">
    <cfRule type="expression" dxfId="4589" priority="4603">
      <formula>AND($D16="MIN",$F16&lt;&gt;"")</formula>
    </cfRule>
    <cfRule type="expression" dxfId="4588" priority="4604">
      <formula>AND($D16="MIN",$F16="")</formula>
    </cfRule>
    <cfRule type="containsBlanks" dxfId="4587" priority="4605">
      <formula>LEN(TRIM(F16))=0</formula>
    </cfRule>
  </conditionalFormatting>
  <conditionalFormatting sqref="G16">
    <cfRule type="expression" dxfId="4586" priority="4600">
      <formula>AND(OR($D16="GD&amp;T",$D16="MAX"),$G16&lt;&gt;"")</formula>
    </cfRule>
    <cfRule type="expression" dxfId="4585" priority="4601">
      <formula>AND(OR($D16="GD&amp;T",$D16="MAX"),$G16="")</formula>
    </cfRule>
    <cfRule type="containsBlanks" dxfId="4584" priority="4602">
      <formula>LEN(TRIM(G16))=0</formula>
    </cfRule>
  </conditionalFormatting>
  <conditionalFormatting sqref="F16">
    <cfRule type="expression" dxfId="4583" priority="4597">
      <formula>AND($D16="MIN",$F16&lt;&gt;"")</formula>
    </cfRule>
    <cfRule type="expression" dxfId="4582" priority="4598">
      <formula>AND($D16="MIN",$F16="")</formula>
    </cfRule>
    <cfRule type="containsBlanks" dxfId="4581" priority="4599">
      <formula>LEN(TRIM(F16))=0</formula>
    </cfRule>
  </conditionalFormatting>
  <conditionalFormatting sqref="G16">
    <cfRule type="expression" dxfId="4580" priority="4594">
      <formula>AND(OR($D16="GD&amp;T",$D16="MAX"),$G16&lt;&gt;"")</formula>
    </cfRule>
    <cfRule type="expression" dxfId="4579" priority="4595">
      <formula>AND(OR($D16="GD&amp;T",$D16="MAX"),$G16="")</formula>
    </cfRule>
    <cfRule type="containsBlanks" dxfId="4578" priority="4596">
      <formula>LEN(TRIM(G16))=0</formula>
    </cfRule>
  </conditionalFormatting>
  <conditionalFormatting sqref="E16">
    <cfRule type="expression" dxfId="4577" priority="4591">
      <formula>AND($D16&lt;&gt;"Tolerance",$E16&lt;&gt;"")</formula>
    </cfRule>
    <cfRule type="expression" dxfId="4576" priority="4592">
      <formula>AND(OR($D16="GD&amp;T",$D16="MAX",$D16="MIN"),$E16="")</formula>
    </cfRule>
    <cfRule type="containsBlanks" dxfId="4575" priority="4593">
      <formula>LEN(TRIM(E16))=0</formula>
    </cfRule>
  </conditionalFormatting>
  <conditionalFormatting sqref="E16">
    <cfRule type="expression" dxfId="4574" priority="4588">
      <formula>AND($D16&lt;&gt;"Tolerance",$E16&lt;&gt;"")</formula>
    </cfRule>
    <cfRule type="expression" dxfId="4573" priority="4589">
      <formula>AND(OR($D16="GD&amp;T",$D16="MAX",$D16="MIN"),$E16="")</formula>
    </cfRule>
    <cfRule type="containsBlanks" dxfId="4572" priority="4590">
      <formula>LEN(TRIM(E16))=0</formula>
    </cfRule>
  </conditionalFormatting>
  <conditionalFormatting sqref="E16">
    <cfRule type="expression" dxfId="4571" priority="4585">
      <formula>AND($D16="MIN",$F16&lt;&gt;"")</formula>
    </cfRule>
    <cfRule type="expression" dxfId="4570" priority="4586">
      <formula>AND($D16="MIN",$F16="")</formula>
    </cfRule>
    <cfRule type="containsBlanks" dxfId="4569" priority="4587">
      <formula>LEN(TRIM(E16))=0</formula>
    </cfRule>
  </conditionalFormatting>
  <conditionalFormatting sqref="E16">
    <cfRule type="expression" dxfId="4568" priority="4582">
      <formula>AND($D16="MIN",$F16&lt;&gt;"")</formula>
    </cfRule>
    <cfRule type="expression" dxfId="4567" priority="4583">
      <formula>AND($D16="MIN",$F16="")</formula>
    </cfRule>
    <cfRule type="containsBlanks" dxfId="4566" priority="4584">
      <formula>LEN(TRIM(E16))=0</formula>
    </cfRule>
  </conditionalFormatting>
  <conditionalFormatting sqref="E18">
    <cfRule type="expression" dxfId="4565" priority="4579">
      <formula>AND($D18&lt;&gt;"Tolerance",$E18&lt;&gt;"")</formula>
    </cfRule>
    <cfRule type="expression" dxfId="4564" priority="4580">
      <formula>AND(OR($D18="GD&amp;T",$D18="MAX",$D18="MIN"),$E18="")</formula>
    </cfRule>
    <cfRule type="containsBlanks" dxfId="4563" priority="4581">
      <formula>LEN(TRIM(E18))=0</formula>
    </cfRule>
  </conditionalFormatting>
  <conditionalFormatting sqref="E18">
    <cfRule type="expression" dxfId="4562" priority="4576">
      <formula>AND($D18&lt;&gt;"Tolerance",$E18&lt;&gt;"")</formula>
    </cfRule>
    <cfRule type="expression" dxfId="4561" priority="4577">
      <formula>AND(OR($D18="GD&amp;T",$D18="MAX",$D18="MIN"),$E18="")</formula>
    </cfRule>
    <cfRule type="containsBlanks" dxfId="4560" priority="4578">
      <formula>LEN(TRIM(E18))=0</formula>
    </cfRule>
  </conditionalFormatting>
  <conditionalFormatting sqref="F18">
    <cfRule type="expression" dxfId="4559" priority="4573">
      <formula>AND($D18="MIN",$F18&lt;&gt;"")</formula>
    </cfRule>
    <cfRule type="expression" dxfId="4558" priority="4574">
      <formula>AND($D18="MIN",$F18="")</formula>
    </cfRule>
    <cfRule type="containsBlanks" dxfId="4557" priority="4575">
      <formula>LEN(TRIM(F18))=0</formula>
    </cfRule>
  </conditionalFormatting>
  <conditionalFormatting sqref="G18">
    <cfRule type="expression" dxfId="4556" priority="4570">
      <formula>AND(OR($D18="GD&amp;T",$D18="MAX"),$G18&lt;&gt;"")</formula>
    </cfRule>
    <cfRule type="expression" dxfId="4555" priority="4571">
      <formula>AND(OR($D18="GD&amp;T",$D18="MAX"),$G18="")</formula>
    </cfRule>
    <cfRule type="containsBlanks" dxfId="4554" priority="4572">
      <formula>LEN(TRIM(G18))=0</formula>
    </cfRule>
  </conditionalFormatting>
  <conditionalFormatting sqref="F18">
    <cfRule type="expression" dxfId="4553" priority="4567">
      <formula>AND($D18="MIN",$F18&lt;&gt;"")</formula>
    </cfRule>
    <cfRule type="expression" dxfId="4552" priority="4568">
      <formula>AND($D18="MIN",$F18="")</formula>
    </cfRule>
    <cfRule type="containsBlanks" dxfId="4551" priority="4569">
      <formula>LEN(TRIM(F18))=0</formula>
    </cfRule>
  </conditionalFormatting>
  <conditionalFormatting sqref="G18">
    <cfRule type="expression" dxfId="4550" priority="4564">
      <formula>AND(OR($D18="GD&amp;T",$D18="MAX"),$G18&lt;&gt;"")</formula>
    </cfRule>
    <cfRule type="expression" dxfId="4549" priority="4565">
      <formula>AND(OR($D18="GD&amp;T",$D18="MAX"),$G18="")</formula>
    </cfRule>
    <cfRule type="containsBlanks" dxfId="4548" priority="4566">
      <formula>LEN(TRIM(G18))=0</formula>
    </cfRule>
  </conditionalFormatting>
  <conditionalFormatting sqref="E18">
    <cfRule type="expression" dxfId="4547" priority="4561">
      <formula>AND($D18&lt;&gt;"Tolerance",$E18&lt;&gt;"")</formula>
    </cfRule>
    <cfRule type="expression" dxfId="4546" priority="4562">
      <formula>AND(OR($D18="GD&amp;T",$D18="MAX",$D18="MIN"),$E18="")</formula>
    </cfRule>
    <cfRule type="containsBlanks" dxfId="4545" priority="4563">
      <formula>LEN(TRIM(E18))=0</formula>
    </cfRule>
  </conditionalFormatting>
  <conditionalFormatting sqref="F18">
    <cfRule type="expression" dxfId="4544" priority="4558">
      <formula>AND($D18="MIN",$F18&lt;&gt;"")</formula>
    </cfRule>
    <cfRule type="expression" dxfId="4543" priority="4559">
      <formula>AND($D18="MIN",$F18="")</formula>
    </cfRule>
    <cfRule type="containsBlanks" dxfId="4542" priority="4560">
      <formula>LEN(TRIM(F18))=0</formula>
    </cfRule>
  </conditionalFormatting>
  <conditionalFormatting sqref="G18">
    <cfRule type="expression" dxfId="4541" priority="4555">
      <formula>AND(OR($D18="GD&amp;T",$D18="MAX"),$G18&lt;&gt;"")</formula>
    </cfRule>
    <cfRule type="expression" dxfId="4540" priority="4556">
      <formula>AND(OR($D18="GD&amp;T",$D18="MAX"),$G18="")</formula>
    </cfRule>
    <cfRule type="containsBlanks" dxfId="4539" priority="4557">
      <formula>LEN(TRIM(G18))=0</formula>
    </cfRule>
  </conditionalFormatting>
  <conditionalFormatting sqref="F18">
    <cfRule type="expression" dxfId="4538" priority="4552">
      <formula>AND($D18="MIN",$F18&lt;&gt;"")</formula>
    </cfRule>
    <cfRule type="expression" dxfId="4537" priority="4553">
      <formula>AND($D18="MIN",$F18="")</formula>
    </cfRule>
    <cfRule type="containsBlanks" dxfId="4536" priority="4554">
      <formula>LEN(TRIM(F18))=0</formula>
    </cfRule>
  </conditionalFormatting>
  <conditionalFormatting sqref="G18">
    <cfRule type="expression" dxfId="4535" priority="4549">
      <formula>AND(OR($D18="GD&amp;T",$D18="MAX"),$G18&lt;&gt;"")</formula>
    </cfRule>
    <cfRule type="expression" dxfId="4534" priority="4550">
      <formula>AND(OR($D18="GD&amp;T",$D18="MAX"),$G18="")</formula>
    </cfRule>
    <cfRule type="containsBlanks" dxfId="4533" priority="4551">
      <formula>LEN(TRIM(G18))=0</formula>
    </cfRule>
  </conditionalFormatting>
  <conditionalFormatting sqref="F18">
    <cfRule type="expression" dxfId="4532" priority="4546">
      <formula>AND($D18="MIN",$F18&lt;&gt;"")</formula>
    </cfRule>
    <cfRule type="expression" dxfId="4531" priority="4547">
      <formula>AND($D18="MIN",$F18="")</formula>
    </cfRule>
    <cfRule type="containsBlanks" dxfId="4530" priority="4548">
      <formula>LEN(TRIM(F18))=0</formula>
    </cfRule>
  </conditionalFormatting>
  <conditionalFormatting sqref="G18">
    <cfRule type="expression" dxfId="4529" priority="4543">
      <formula>AND(OR($D18="GD&amp;T",$D18="MAX"),$G18&lt;&gt;"")</formula>
    </cfRule>
    <cfRule type="expression" dxfId="4528" priority="4544">
      <formula>AND(OR($D18="GD&amp;T",$D18="MAX"),$G18="")</formula>
    </cfRule>
    <cfRule type="containsBlanks" dxfId="4527" priority="4545">
      <formula>LEN(TRIM(G18))=0</formula>
    </cfRule>
  </conditionalFormatting>
  <conditionalFormatting sqref="F18">
    <cfRule type="expression" dxfId="4526" priority="4540">
      <formula>AND($D18="MIN",$F18&lt;&gt;"")</formula>
    </cfRule>
    <cfRule type="expression" dxfId="4525" priority="4541">
      <formula>AND($D18="MIN",$F18="")</formula>
    </cfRule>
    <cfRule type="containsBlanks" dxfId="4524" priority="4542">
      <formula>LEN(TRIM(F18))=0</formula>
    </cfRule>
  </conditionalFormatting>
  <conditionalFormatting sqref="G18">
    <cfRule type="expression" dxfId="4523" priority="4537">
      <formula>AND(OR($D18="GD&amp;T",$D18="MAX"),$G18&lt;&gt;"")</formula>
    </cfRule>
    <cfRule type="expression" dxfId="4522" priority="4538">
      <formula>AND(OR($D18="GD&amp;T",$D18="MAX"),$G18="")</formula>
    </cfRule>
    <cfRule type="containsBlanks" dxfId="4521" priority="4539">
      <formula>LEN(TRIM(G18))=0</formula>
    </cfRule>
  </conditionalFormatting>
  <conditionalFormatting sqref="F18">
    <cfRule type="expression" dxfId="4520" priority="4534">
      <formula>AND($D18="MIN",$F18&lt;&gt;"")</formula>
    </cfRule>
    <cfRule type="expression" dxfId="4519" priority="4535">
      <formula>AND($D18="MIN",$F18="")</formula>
    </cfRule>
    <cfRule type="containsBlanks" dxfId="4518" priority="4536">
      <formula>LEN(TRIM(F18))=0</formula>
    </cfRule>
  </conditionalFormatting>
  <conditionalFormatting sqref="G18">
    <cfRule type="expression" dxfId="4517" priority="4531">
      <formula>AND(OR($D18="GD&amp;T",$D18="MAX"),$G18&lt;&gt;"")</formula>
    </cfRule>
    <cfRule type="expression" dxfId="4516" priority="4532">
      <formula>AND(OR($D18="GD&amp;T",$D18="MAX"),$G18="")</formula>
    </cfRule>
    <cfRule type="containsBlanks" dxfId="4515" priority="4533">
      <formula>LEN(TRIM(G18))=0</formula>
    </cfRule>
  </conditionalFormatting>
  <conditionalFormatting sqref="F18">
    <cfRule type="expression" dxfId="4514" priority="4528">
      <formula>AND($D18="MIN",$F18&lt;&gt;"")</formula>
    </cfRule>
    <cfRule type="expression" dxfId="4513" priority="4529">
      <formula>AND($D18="MIN",$F18="")</formula>
    </cfRule>
    <cfRule type="containsBlanks" dxfId="4512" priority="4530">
      <formula>LEN(TRIM(F18))=0</formula>
    </cfRule>
  </conditionalFormatting>
  <conditionalFormatting sqref="G18">
    <cfRule type="expression" dxfId="4511" priority="4525">
      <formula>AND(OR($D18="GD&amp;T",$D18="MAX"),$G18&lt;&gt;"")</formula>
    </cfRule>
    <cfRule type="expression" dxfId="4510" priority="4526">
      <formula>AND(OR($D18="GD&amp;T",$D18="MAX"),$G18="")</formula>
    </cfRule>
    <cfRule type="containsBlanks" dxfId="4509" priority="4527">
      <formula>LEN(TRIM(G18))=0</formula>
    </cfRule>
  </conditionalFormatting>
  <conditionalFormatting sqref="F18">
    <cfRule type="expression" dxfId="4508" priority="4522">
      <formula>AND($D18="MIN",$F18&lt;&gt;"")</formula>
    </cfRule>
    <cfRule type="expression" dxfId="4507" priority="4523">
      <formula>AND($D18="MIN",$F18="")</formula>
    </cfRule>
    <cfRule type="containsBlanks" dxfId="4506" priority="4524">
      <formula>LEN(TRIM(F18))=0</formula>
    </cfRule>
  </conditionalFormatting>
  <conditionalFormatting sqref="F18">
    <cfRule type="expression" dxfId="4505" priority="4519">
      <formula>AND($D18="MIN",$F18&lt;&gt;"")</formula>
    </cfRule>
    <cfRule type="expression" dxfId="4504" priority="4520">
      <formula>AND($D18="MIN",$F18="")</formula>
    </cfRule>
    <cfRule type="containsBlanks" dxfId="4503" priority="4521">
      <formula>LEN(TRIM(F18))=0</formula>
    </cfRule>
  </conditionalFormatting>
  <conditionalFormatting sqref="F18">
    <cfRule type="expression" dxfId="4502" priority="4516">
      <formula>AND($D18="MIN",$F18&lt;&gt;"")</formula>
    </cfRule>
    <cfRule type="expression" dxfId="4501" priority="4517">
      <formula>AND($D18="MIN",$F18="")</formula>
    </cfRule>
    <cfRule type="containsBlanks" dxfId="4500" priority="4518">
      <formula>LEN(TRIM(F18))=0</formula>
    </cfRule>
  </conditionalFormatting>
  <conditionalFormatting sqref="F18">
    <cfRule type="expression" dxfId="4499" priority="4513">
      <formula>AND($D18="MIN",$F18&lt;&gt;"")</formula>
    </cfRule>
    <cfRule type="expression" dxfId="4498" priority="4514">
      <formula>AND($D18="MIN",$F18="")</formula>
    </cfRule>
    <cfRule type="containsBlanks" dxfId="4497" priority="4515">
      <formula>LEN(TRIM(F18))=0</formula>
    </cfRule>
  </conditionalFormatting>
  <conditionalFormatting sqref="F18">
    <cfRule type="expression" dxfId="4496" priority="4510">
      <formula>AND($D18="MIN",$F18&lt;&gt;"")</formula>
    </cfRule>
    <cfRule type="expression" dxfId="4495" priority="4511">
      <formula>AND($D18="MIN",$F18="")</formula>
    </cfRule>
    <cfRule type="containsBlanks" dxfId="4494" priority="4512">
      <formula>LEN(TRIM(F18))=0</formula>
    </cfRule>
  </conditionalFormatting>
  <conditionalFormatting sqref="E19">
    <cfRule type="expression" dxfId="4493" priority="4507">
      <formula>AND($D19&lt;&gt;"Tolerance",$E19&lt;&gt;"")</formula>
    </cfRule>
    <cfRule type="expression" dxfId="4492" priority="4508">
      <formula>AND(OR($D19="GD&amp;T",$D19="MAX",$D19="MIN"),$E19="")</formula>
    </cfRule>
    <cfRule type="containsBlanks" dxfId="4491" priority="4509">
      <formula>LEN(TRIM(E19))=0</formula>
    </cfRule>
  </conditionalFormatting>
  <conditionalFormatting sqref="E19">
    <cfRule type="expression" dxfId="4490" priority="4504">
      <formula>AND($D19&lt;&gt;"Tolerance",$E19&lt;&gt;"")</formula>
    </cfRule>
    <cfRule type="expression" dxfId="4489" priority="4505">
      <formula>AND(OR($D19="GD&amp;T",$D19="MAX",$D19="MIN"),$E19="")</formula>
    </cfRule>
    <cfRule type="containsBlanks" dxfId="4488" priority="4506">
      <formula>LEN(TRIM(E19))=0</formula>
    </cfRule>
  </conditionalFormatting>
  <conditionalFormatting sqref="F19">
    <cfRule type="expression" dxfId="4487" priority="4501">
      <formula>AND($D19="MIN",$F19&lt;&gt;"")</formula>
    </cfRule>
    <cfRule type="expression" dxfId="4486" priority="4502">
      <formula>AND($D19="MIN",$F19="")</formula>
    </cfRule>
    <cfRule type="containsBlanks" dxfId="4485" priority="4503">
      <formula>LEN(TRIM(F19))=0</formula>
    </cfRule>
  </conditionalFormatting>
  <conditionalFormatting sqref="G19">
    <cfRule type="expression" dxfId="4484" priority="4498">
      <formula>AND(OR($D19="GD&amp;T",$D19="MAX"),$G19&lt;&gt;"")</formula>
    </cfRule>
    <cfRule type="expression" dxfId="4483" priority="4499">
      <formula>AND(OR($D19="GD&amp;T",$D19="MAX"),$G19="")</formula>
    </cfRule>
    <cfRule type="containsBlanks" dxfId="4482" priority="4500">
      <formula>LEN(TRIM(G19))=0</formula>
    </cfRule>
  </conditionalFormatting>
  <conditionalFormatting sqref="F19">
    <cfRule type="expression" dxfId="4481" priority="4495">
      <formula>AND($D19="MIN",$F19&lt;&gt;"")</formula>
    </cfRule>
    <cfRule type="expression" dxfId="4480" priority="4496">
      <formula>AND($D19="MIN",$F19="")</formula>
    </cfRule>
    <cfRule type="containsBlanks" dxfId="4479" priority="4497">
      <formula>LEN(TRIM(F19))=0</formula>
    </cfRule>
  </conditionalFormatting>
  <conditionalFormatting sqref="G19">
    <cfRule type="expression" dxfId="4478" priority="4492">
      <formula>AND(OR($D19="GD&amp;T",$D19="MAX"),$G19&lt;&gt;"")</formula>
    </cfRule>
    <cfRule type="expression" dxfId="4477" priority="4493">
      <formula>AND(OR($D19="GD&amp;T",$D19="MAX"),$G19="")</formula>
    </cfRule>
    <cfRule type="containsBlanks" dxfId="4476" priority="4494">
      <formula>LEN(TRIM(G19))=0</formula>
    </cfRule>
  </conditionalFormatting>
  <conditionalFormatting sqref="E19">
    <cfRule type="expression" dxfId="4475" priority="4489">
      <formula>AND($D19&lt;&gt;"Tolerance",$E19&lt;&gt;"")</formula>
    </cfRule>
    <cfRule type="expression" dxfId="4474" priority="4490">
      <formula>AND(OR($D19="GD&amp;T",$D19="MAX",$D19="MIN"),$E19="")</formula>
    </cfRule>
    <cfRule type="containsBlanks" dxfId="4473" priority="4491">
      <formula>LEN(TRIM(E19))=0</formula>
    </cfRule>
  </conditionalFormatting>
  <conditionalFormatting sqref="F19">
    <cfRule type="expression" dxfId="4472" priority="4486">
      <formula>AND($D19="MIN",$F19&lt;&gt;"")</formula>
    </cfRule>
    <cfRule type="expression" dxfId="4471" priority="4487">
      <formula>AND($D19="MIN",$F19="")</formula>
    </cfRule>
    <cfRule type="containsBlanks" dxfId="4470" priority="4488">
      <formula>LEN(TRIM(F19))=0</formula>
    </cfRule>
  </conditionalFormatting>
  <conditionalFormatting sqref="G19">
    <cfRule type="expression" dxfId="4469" priority="4483">
      <formula>AND(OR($D19="GD&amp;T",$D19="MAX"),$G19&lt;&gt;"")</formula>
    </cfRule>
    <cfRule type="expression" dxfId="4468" priority="4484">
      <formula>AND(OR($D19="GD&amp;T",$D19="MAX"),$G19="")</formula>
    </cfRule>
    <cfRule type="containsBlanks" dxfId="4467" priority="4485">
      <formula>LEN(TRIM(G19))=0</formula>
    </cfRule>
  </conditionalFormatting>
  <conditionalFormatting sqref="F19">
    <cfRule type="expression" dxfId="4466" priority="4480">
      <formula>AND($D19="MIN",$F19&lt;&gt;"")</formula>
    </cfRule>
    <cfRule type="expression" dxfId="4465" priority="4481">
      <formula>AND($D19="MIN",$F19="")</formula>
    </cfRule>
    <cfRule type="containsBlanks" dxfId="4464" priority="4482">
      <formula>LEN(TRIM(F19))=0</formula>
    </cfRule>
  </conditionalFormatting>
  <conditionalFormatting sqref="G19">
    <cfRule type="expression" dxfId="4463" priority="4477">
      <formula>AND(OR($D19="GD&amp;T",$D19="MAX"),$G19&lt;&gt;"")</formula>
    </cfRule>
    <cfRule type="expression" dxfId="4462" priority="4478">
      <formula>AND(OR($D19="GD&amp;T",$D19="MAX"),$G19="")</formula>
    </cfRule>
    <cfRule type="containsBlanks" dxfId="4461" priority="4479">
      <formula>LEN(TRIM(G19))=0</formula>
    </cfRule>
  </conditionalFormatting>
  <conditionalFormatting sqref="F19">
    <cfRule type="expression" dxfId="4460" priority="4474">
      <formula>AND($D19="MIN",$F19&lt;&gt;"")</formula>
    </cfRule>
    <cfRule type="expression" dxfId="4459" priority="4475">
      <formula>AND($D19="MIN",$F19="")</formula>
    </cfRule>
    <cfRule type="containsBlanks" dxfId="4458" priority="4476">
      <formula>LEN(TRIM(F19))=0</formula>
    </cfRule>
  </conditionalFormatting>
  <conditionalFormatting sqref="G19">
    <cfRule type="expression" dxfId="4457" priority="4471">
      <formula>AND(OR($D19="GD&amp;T",$D19="MAX"),$G19&lt;&gt;"")</formula>
    </cfRule>
    <cfRule type="expression" dxfId="4456" priority="4472">
      <formula>AND(OR($D19="GD&amp;T",$D19="MAX"),$G19="")</formula>
    </cfRule>
    <cfRule type="containsBlanks" dxfId="4455" priority="4473">
      <formula>LEN(TRIM(G19))=0</formula>
    </cfRule>
  </conditionalFormatting>
  <conditionalFormatting sqref="F19">
    <cfRule type="expression" dxfId="4454" priority="4468">
      <formula>AND($D19="MIN",$F19&lt;&gt;"")</formula>
    </cfRule>
    <cfRule type="expression" dxfId="4453" priority="4469">
      <formula>AND($D19="MIN",$F19="")</formula>
    </cfRule>
    <cfRule type="containsBlanks" dxfId="4452" priority="4470">
      <formula>LEN(TRIM(F19))=0</formula>
    </cfRule>
  </conditionalFormatting>
  <conditionalFormatting sqref="G19">
    <cfRule type="expression" dxfId="4451" priority="4465">
      <formula>AND(OR($D19="GD&amp;T",$D19="MAX"),$G19&lt;&gt;"")</formula>
    </cfRule>
    <cfRule type="expression" dxfId="4450" priority="4466">
      <formula>AND(OR($D19="GD&amp;T",$D19="MAX"),$G19="")</formula>
    </cfRule>
    <cfRule type="containsBlanks" dxfId="4449" priority="4467">
      <formula>LEN(TRIM(G19))=0</formula>
    </cfRule>
  </conditionalFormatting>
  <conditionalFormatting sqref="F19">
    <cfRule type="expression" dxfId="4448" priority="4462">
      <formula>AND($D19="MIN",$F19&lt;&gt;"")</formula>
    </cfRule>
    <cfRule type="expression" dxfId="4447" priority="4463">
      <formula>AND($D19="MIN",$F19="")</formula>
    </cfRule>
    <cfRule type="containsBlanks" dxfId="4446" priority="4464">
      <formula>LEN(TRIM(F19))=0</formula>
    </cfRule>
  </conditionalFormatting>
  <conditionalFormatting sqref="G19">
    <cfRule type="expression" dxfId="4445" priority="4459">
      <formula>AND(OR($D19="GD&amp;T",$D19="MAX"),$G19&lt;&gt;"")</formula>
    </cfRule>
    <cfRule type="expression" dxfId="4444" priority="4460">
      <formula>AND(OR($D19="GD&amp;T",$D19="MAX"),$G19="")</formula>
    </cfRule>
    <cfRule type="containsBlanks" dxfId="4443" priority="4461">
      <formula>LEN(TRIM(G19))=0</formula>
    </cfRule>
  </conditionalFormatting>
  <conditionalFormatting sqref="F19">
    <cfRule type="expression" dxfId="4442" priority="4456">
      <formula>AND($D19="MIN",$F19&lt;&gt;"")</formula>
    </cfRule>
    <cfRule type="expression" dxfId="4441" priority="4457">
      <formula>AND($D19="MIN",$F19="")</formula>
    </cfRule>
    <cfRule type="containsBlanks" dxfId="4440" priority="4458">
      <formula>LEN(TRIM(F19))=0</formula>
    </cfRule>
  </conditionalFormatting>
  <conditionalFormatting sqref="G19">
    <cfRule type="expression" dxfId="4439" priority="4453">
      <formula>AND(OR($D19="GD&amp;T",$D19="MAX"),$G19&lt;&gt;"")</formula>
    </cfRule>
    <cfRule type="expression" dxfId="4438" priority="4454">
      <formula>AND(OR($D19="GD&amp;T",$D19="MAX"),$G19="")</formula>
    </cfRule>
    <cfRule type="containsBlanks" dxfId="4437" priority="4455">
      <formula>LEN(TRIM(G19))=0</formula>
    </cfRule>
  </conditionalFormatting>
  <conditionalFormatting sqref="F19">
    <cfRule type="expression" dxfId="4436" priority="4450">
      <formula>AND($D19="MIN",$F19&lt;&gt;"")</formula>
    </cfRule>
    <cfRule type="expression" dxfId="4435" priority="4451">
      <formula>AND($D19="MIN",$F19="")</formula>
    </cfRule>
    <cfRule type="containsBlanks" dxfId="4434" priority="4452">
      <formula>LEN(TRIM(F19))=0</formula>
    </cfRule>
  </conditionalFormatting>
  <conditionalFormatting sqref="G19">
    <cfRule type="expression" dxfId="4433" priority="4447">
      <formula>AND(OR($D19="GD&amp;T",$D19="MAX"),$G19&lt;&gt;"")</formula>
    </cfRule>
    <cfRule type="expression" dxfId="4432" priority="4448">
      <formula>AND(OR($D19="GD&amp;T",$D19="MAX"),$G19="")</formula>
    </cfRule>
    <cfRule type="containsBlanks" dxfId="4431" priority="4449">
      <formula>LEN(TRIM(G19))=0</formula>
    </cfRule>
  </conditionalFormatting>
  <conditionalFormatting sqref="F19">
    <cfRule type="expression" dxfId="4430" priority="4444">
      <formula>AND($D19="MIN",$F19&lt;&gt;"")</formula>
    </cfRule>
    <cfRule type="expression" dxfId="4429" priority="4445">
      <formula>AND($D19="MIN",$F19="")</formula>
    </cfRule>
    <cfRule type="containsBlanks" dxfId="4428" priority="4446">
      <formula>LEN(TRIM(F19))=0</formula>
    </cfRule>
  </conditionalFormatting>
  <conditionalFormatting sqref="G19">
    <cfRule type="expression" dxfId="4427" priority="4441">
      <formula>AND(OR($D19="GD&amp;T",$D19="MAX"),$G19&lt;&gt;"")</formula>
    </cfRule>
    <cfRule type="expression" dxfId="4426" priority="4442">
      <formula>AND(OR($D19="GD&amp;T",$D19="MAX"),$G19="")</formula>
    </cfRule>
    <cfRule type="containsBlanks" dxfId="4425" priority="4443">
      <formula>LEN(TRIM(G19))=0</formula>
    </cfRule>
  </conditionalFormatting>
  <conditionalFormatting sqref="F19">
    <cfRule type="expression" dxfId="4424" priority="4438">
      <formula>AND($D19="MIN",$F19&lt;&gt;"")</formula>
    </cfRule>
    <cfRule type="expression" dxfId="4423" priority="4439">
      <formula>AND($D19="MIN",$F19="")</formula>
    </cfRule>
    <cfRule type="containsBlanks" dxfId="4422" priority="4440">
      <formula>LEN(TRIM(F19))=0</formula>
    </cfRule>
  </conditionalFormatting>
  <conditionalFormatting sqref="G19">
    <cfRule type="expression" dxfId="4421" priority="4435">
      <formula>AND(OR($D19="GD&amp;T",$D19="MAX"),$G19&lt;&gt;"")</formula>
    </cfRule>
    <cfRule type="expression" dxfId="4420" priority="4436">
      <formula>AND(OR($D19="GD&amp;T",$D19="MAX"),$G19="")</formula>
    </cfRule>
    <cfRule type="containsBlanks" dxfId="4419" priority="4437">
      <formula>LEN(TRIM(G19))=0</formula>
    </cfRule>
  </conditionalFormatting>
  <conditionalFormatting sqref="F19">
    <cfRule type="expression" dxfId="4418" priority="4432">
      <formula>AND($D19="MIN",$F19&lt;&gt;"")</formula>
    </cfRule>
    <cfRule type="expression" dxfId="4417" priority="4433">
      <formula>AND($D19="MIN",$F19="")</formula>
    </cfRule>
    <cfRule type="containsBlanks" dxfId="4416" priority="4434">
      <formula>LEN(TRIM(F19))=0</formula>
    </cfRule>
  </conditionalFormatting>
  <conditionalFormatting sqref="G19">
    <cfRule type="expression" dxfId="4415" priority="4429">
      <formula>AND(OR($D19="GD&amp;T",$D19="MAX"),$G19&lt;&gt;"")</formula>
    </cfRule>
    <cfRule type="expression" dxfId="4414" priority="4430">
      <formula>AND(OR($D19="GD&amp;T",$D19="MAX"),$G19="")</formula>
    </cfRule>
    <cfRule type="containsBlanks" dxfId="4413" priority="4431">
      <formula>LEN(TRIM(G19))=0</formula>
    </cfRule>
  </conditionalFormatting>
  <conditionalFormatting sqref="F19">
    <cfRule type="expression" dxfId="4412" priority="4426">
      <formula>AND($D19="MIN",$F19&lt;&gt;"")</formula>
    </cfRule>
    <cfRule type="expression" dxfId="4411" priority="4427">
      <formula>AND($D19="MIN",$F19="")</formula>
    </cfRule>
    <cfRule type="containsBlanks" dxfId="4410" priority="4428">
      <formula>LEN(TRIM(F19))=0</formula>
    </cfRule>
  </conditionalFormatting>
  <conditionalFormatting sqref="G19">
    <cfRule type="expression" dxfId="4409" priority="4423">
      <formula>AND(OR($D19="GD&amp;T",$D19="MAX"),$G19&lt;&gt;"")</formula>
    </cfRule>
    <cfRule type="expression" dxfId="4408" priority="4424">
      <formula>AND(OR($D19="GD&amp;T",$D19="MAX"),$G19="")</formula>
    </cfRule>
    <cfRule type="containsBlanks" dxfId="4407" priority="4425">
      <formula>LEN(TRIM(G19))=0</formula>
    </cfRule>
  </conditionalFormatting>
  <conditionalFormatting sqref="E20">
    <cfRule type="expression" dxfId="4406" priority="4420">
      <formula>AND($D20&lt;&gt;"Tolerance",$E20&lt;&gt;"")</formula>
    </cfRule>
    <cfRule type="expression" dxfId="4405" priority="4421">
      <formula>AND(OR($D20="GD&amp;T",$D20="MAX",$D20="MIN"),$E20="")</formula>
    </cfRule>
    <cfRule type="containsBlanks" dxfId="4404" priority="4422">
      <formula>LEN(TRIM(E20))=0</formula>
    </cfRule>
  </conditionalFormatting>
  <conditionalFormatting sqref="E20">
    <cfRule type="expression" dxfId="4403" priority="4417">
      <formula>AND($D20&lt;&gt;"Tolerance",$E20&lt;&gt;"")</formula>
    </cfRule>
    <cfRule type="expression" dxfId="4402" priority="4418">
      <formula>AND(OR($D20="GD&amp;T",$D20="MAX",$D20="MIN"),$E20="")</formula>
    </cfRule>
    <cfRule type="containsBlanks" dxfId="4401" priority="4419">
      <formula>LEN(TRIM(E20))=0</formula>
    </cfRule>
  </conditionalFormatting>
  <conditionalFormatting sqref="F20">
    <cfRule type="expression" dxfId="4400" priority="4414">
      <formula>AND($D20="MIN",$F20&lt;&gt;"")</formula>
    </cfRule>
    <cfRule type="expression" dxfId="4399" priority="4415">
      <formula>AND($D20="MIN",$F20="")</formula>
    </cfRule>
    <cfRule type="containsBlanks" dxfId="4398" priority="4416">
      <formula>LEN(TRIM(F20))=0</formula>
    </cfRule>
  </conditionalFormatting>
  <conditionalFormatting sqref="G20">
    <cfRule type="expression" dxfId="4397" priority="4411">
      <formula>AND(OR($D20="GD&amp;T",$D20="MAX"),$G20&lt;&gt;"")</formula>
    </cfRule>
    <cfRule type="expression" dxfId="4396" priority="4412">
      <formula>AND(OR($D20="GD&amp;T",$D20="MAX"),$G20="")</formula>
    </cfRule>
    <cfRule type="containsBlanks" dxfId="4395" priority="4413">
      <formula>LEN(TRIM(G20))=0</formula>
    </cfRule>
  </conditionalFormatting>
  <conditionalFormatting sqref="F20">
    <cfRule type="expression" dxfId="4394" priority="4408">
      <formula>AND($D20="MIN",$F20&lt;&gt;"")</formula>
    </cfRule>
    <cfRule type="expression" dxfId="4393" priority="4409">
      <formula>AND($D20="MIN",$F20="")</formula>
    </cfRule>
    <cfRule type="containsBlanks" dxfId="4392" priority="4410">
      <formula>LEN(TRIM(F20))=0</formula>
    </cfRule>
  </conditionalFormatting>
  <conditionalFormatting sqref="G20">
    <cfRule type="expression" dxfId="4391" priority="4405">
      <formula>AND(OR($D20="GD&amp;T",$D20="MAX"),$G20&lt;&gt;"")</formula>
    </cfRule>
    <cfRule type="expression" dxfId="4390" priority="4406">
      <formula>AND(OR($D20="GD&amp;T",$D20="MAX"),$G20="")</formula>
    </cfRule>
    <cfRule type="containsBlanks" dxfId="4389" priority="4407">
      <formula>LEN(TRIM(G20))=0</formula>
    </cfRule>
  </conditionalFormatting>
  <conditionalFormatting sqref="E20">
    <cfRule type="expression" dxfId="4388" priority="4402">
      <formula>AND($D20&lt;&gt;"Tolerance",$E20&lt;&gt;"")</formula>
    </cfRule>
    <cfRule type="expression" dxfId="4387" priority="4403">
      <formula>AND(OR($D20="GD&amp;T",$D20="MAX",$D20="MIN"),$E20="")</formula>
    </cfRule>
    <cfRule type="containsBlanks" dxfId="4386" priority="4404">
      <formula>LEN(TRIM(E20))=0</formula>
    </cfRule>
  </conditionalFormatting>
  <conditionalFormatting sqref="F20">
    <cfRule type="expression" dxfId="4385" priority="4399">
      <formula>AND($D20="MIN",$F20&lt;&gt;"")</formula>
    </cfRule>
    <cfRule type="expression" dxfId="4384" priority="4400">
      <formula>AND($D20="MIN",$F20="")</formula>
    </cfRule>
    <cfRule type="containsBlanks" dxfId="4383" priority="4401">
      <formula>LEN(TRIM(F20))=0</formula>
    </cfRule>
  </conditionalFormatting>
  <conditionalFormatting sqref="G20">
    <cfRule type="expression" dxfId="4382" priority="4396">
      <formula>AND(OR($D20="GD&amp;T",$D20="MAX"),$G20&lt;&gt;"")</formula>
    </cfRule>
    <cfRule type="expression" dxfId="4381" priority="4397">
      <formula>AND(OR($D20="GD&amp;T",$D20="MAX"),$G20="")</formula>
    </cfRule>
    <cfRule type="containsBlanks" dxfId="4380" priority="4398">
      <formula>LEN(TRIM(G20))=0</formula>
    </cfRule>
  </conditionalFormatting>
  <conditionalFormatting sqref="F20">
    <cfRule type="expression" dxfId="4379" priority="4393">
      <formula>AND($D20="MIN",$F20&lt;&gt;"")</formula>
    </cfRule>
    <cfRule type="expression" dxfId="4378" priority="4394">
      <formula>AND($D20="MIN",$F20="")</formula>
    </cfRule>
    <cfRule type="containsBlanks" dxfId="4377" priority="4395">
      <formula>LEN(TRIM(F20))=0</formula>
    </cfRule>
  </conditionalFormatting>
  <conditionalFormatting sqref="G20">
    <cfRule type="expression" dxfId="4376" priority="4390">
      <formula>AND(OR($D20="GD&amp;T",$D20="MAX"),$G20&lt;&gt;"")</formula>
    </cfRule>
    <cfRule type="expression" dxfId="4375" priority="4391">
      <formula>AND(OR($D20="GD&amp;T",$D20="MAX"),$G20="")</formula>
    </cfRule>
    <cfRule type="containsBlanks" dxfId="4374" priority="4392">
      <formula>LEN(TRIM(G20))=0</formula>
    </cfRule>
  </conditionalFormatting>
  <conditionalFormatting sqref="F20">
    <cfRule type="expression" dxfId="4373" priority="4387">
      <formula>AND($D20="MIN",$F20&lt;&gt;"")</formula>
    </cfRule>
    <cfRule type="expression" dxfId="4372" priority="4388">
      <formula>AND($D20="MIN",$F20="")</formula>
    </cfRule>
    <cfRule type="containsBlanks" dxfId="4371" priority="4389">
      <formula>LEN(TRIM(F20))=0</formula>
    </cfRule>
  </conditionalFormatting>
  <conditionalFormatting sqref="G20">
    <cfRule type="expression" dxfId="4370" priority="4384">
      <formula>AND(OR($D20="GD&amp;T",$D20="MAX"),$G20&lt;&gt;"")</formula>
    </cfRule>
    <cfRule type="expression" dxfId="4369" priority="4385">
      <formula>AND(OR($D20="GD&amp;T",$D20="MAX"),$G20="")</formula>
    </cfRule>
    <cfRule type="containsBlanks" dxfId="4368" priority="4386">
      <formula>LEN(TRIM(G20))=0</formula>
    </cfRule>
  </conditionalFormatting>
  <conditionalFormatting sqref="F20">
    <cfRule type="expression" dxfId="4367" priority="4381">
      <formula>AND($D20="MIN",$F20&lt;&gt;"")</formula>
    </cfRule>
    <cfRule type="expression" dxfId="4366" priority="4382">
      <formula>AND($D20="MIN",$F20="")</formula>
    </cfRule>
    <cfRule type="containsBlanks" dxfId="4365" priority="4383">
      <formula>LEN(TRIM(F20))=0</formula>
    </cfRule>
  </conditionalFormatting>
  <conditionalFormatting sqref="G20">
    <cfRule type="expression" dxfId="4364" priority="4378">
      <formula>AND(OR($D20="GD&amp;T",$D20="MAX"),$G20&lt;&gt;"")</formula>
    </cfRule>
    <cfRule type="expression" dxfId="4363" priority="4379">
      <formula>AND(OR($D20="GD&amp;T",$D20="MAX"),$G20="")</formula>
    </cfRule>
    <cfRule type="containsBlanks" dxfId="4362" priority="4380">
      <formula>LEN(TRIM(G20))=0</formula>
    </cfRule>
  </conditionalFormatting>
  <conditionalFormatting sqref="F20">
    <cfRule type="expression" dxfId="4361" priority="4375">
      <formula>AND($D20="MIN",$F20&lt;&gt;"")</formula>
    </cfRule>
    <cfRule type="expression" dxfId="4360" priority="4376">
      <formula>AND($D20="MIN",$F20="")</formula>
    </cfRule>
    <cfRule type="containsBlanks" dxfId="4359" priority="4377">
      <formula>LEN(TRIM(F20))=0</formula>
    </cfRule>
  </conditionalFormatting>
  <conditionalFormatting sqref="G20">
    <cfRule type="expression" dxfId="4358" priority="4372">
      <formula>AND(OR($D20="GD&amp;T",$D20="MAX"),$G20&lt;&gt;"")</formula>
    </cfRule>
    <cfRule type="expression" dxfId="4357" priority="4373">
      <formula>AND(OR($D20="GD&amp;T",$D20="MAX"),$G20="")</formula>
    </cfRule>
    <cfRule type="containsBlanks" dxfId="4356" priority="4374">
      <formula>LEN(TRIM(G20))=0</formula>
    </cfRule>
  </conditionalFormatting>
  <conditionalFormatting sqref="F20">
    <cfRule type="expression" dxfId="4355" priority="4369">
      <formula>AND($D20="MIN",$F20&lt;&gt;"")</formula>
    </cfRule>
    <cfRule type="expression" dxfId="4354" priority="4370">
      <formula>AND($D20="MIN",$F20="")</formula>
    </cfRule>
    <cfRule type="containsBlanks" dxfId="4353" priority="4371">
      <formula>LEN(TRIM(F20))=0</formula>
    </cfRule>
  </conditionalFormatting>
  <conditionalFormatting sqref="G20">
    <cfRule type="expression" dxfId="4352" priority="4366">
      <formula>AND(OR($D20="GD&amp;T",$D20="MAX"),$G20&lt;&gt;"")</formula>
    </cfRule>
    <cfRule type="expression" dxfId="4351" priority="4367">
      <formula>AND(OR($D20="GD&amp;T",$D20="MAX"),$G20="")</formula>
    </cfRule>
    <cfRule type="containsBlanks" dxfId="4350" priority="4368">
      <formula>LEN(TRIM(G20))=0</formula>
    </cfRule>
  </conditionalFormatting>
  <conditionalFormatting sqref="F20">
    <cfRule type="expression" dxfId="4349" priority="4363">
      <formula>AND($D20="MIN",$F20&lt;&gt;"")</formula>
    </cfRule>
    <cfRule type="expression" dxfId="4348" priority="4364">
      <formula>AND($D20="MIN",$F20="")</formula>
    </cfRule>
    <cfRule type="containsBlanks" dxfId="4347" priority="4365">
      <formula>LEN(TRIM(F20))=0</formula>
    </cfRule>
  </conditionalFormatting>
  <conditionalFormatting sqref="G20">
    <cfRule type="expression" dxfId="4346" priority="4360">
      <formula>AND(OR($D20="GD&amp;T",$D20="MAX"),$G20&lt;&gt;"")</formula>
    </cfRule>
    <cfRule type="expression" dxfId="4345" priority="4361">
      <formula>AND(OR($D20="GD&amp;T",$D20="MAX"),$G20="")</formula>
    </cfRule>
    <cfRule type="containsBlanks" dxfId="4344" priority="4362">
      <formula>LEN(TRIM(G20))=0</formula>
    </cfRule>
  </conditionalFormatting>
  <conditionalFormatting sqref="F20">
    <cfRule type="expression" dxfId="4343" priority="4357">
      <formula>AND($D20="MIN",$F20&lt;&gt;"")</formula>
    </cfRule>
    <cfRule type="expression" dxfId="4342" priority="4358">
      <formula>AND($D20="MIN",$F20="")</formula>
    </cfRule>
    <cfRule type="containsBlanks" dxfId="4341" priority="4359">
      <formula>LEN(TRIM(F20))=0</formula>
    </cfRule>
  </conditionalFormatting>
  <conditionalFormatting sqref="G20">
    <cfRule type="expression" dxfId="4340" priority="4354">
      <formula>AND(OR($D20="GD&amp;T",$D20="MAX"),$G20&lt;&gt;"")</formula>
    </cfRule>
    <cfRule type="expression" dxfId="4339" priority="4355">
      <formula>AND(OR($D20="GD&amp;T",$D20="MAX"),$G20="")</formula>
    </cfRule>
    <cfRule type="containsBlanks" dxfId="4338" priority="4356">
      <formula>LEN(TRIM(G20))=0</formula>
    </cfRule>
  </conditionalFormatting>
  <conditionalFormatting sqref="F20">
    <cfRule type="expression" dxfId="4337" priority="4351">
      <formula>AND($D20="MIN",$F20&lt;&gt;"")</formula>
    </cfRule>
    <cfRule type="expression" dxfId="4336" priority="4352">
      <formula>AND($D20="MIN",$F20="")</formula>
    </cfRule>
    <cfRule type="containsBlanks" dxfId="4335" priority="4353">
      <formula>LEN(TRIM(F20))=0</formula>
    </cfRule>
  </conditionalFormatting>
  <conditionalFormatting sqref="G20">
    <cfRule type="expression" dxfId="4334" priority="4348">
      <formula>AND(OR($D20="GD&amp;T",$D20="MAX"),$G20&lt;&gt;"")</formula>
    </cfRule>
    <cfRule type="expression" dxfId="4333" priority="4349">
      <formula>AND(OR($D20="GD&amp;T",$D20="MAX"),$G20="")</formula>
    </cfRule>
    <cfRule type="containsBlanks" dxfId="4332" priority="4350">
      <formula>LEN(TRIM(G20))=0</formula>
    </cfRule>
  </conditionalFormatting>
  <conditionalFormatting sqref="F20">
    <cfRule type="expression" dxfId="4331" priority="4345">
      <formula>AND($D20="MIN",$F20&lt;&gt;"")</formula>
    </cfRule>
    <cfRule type="expression" dxfId="4330" priority="4346">
      <formula>AND($D20="MIN",$F20="")</formula>
    </cfRule>
    <cfRule type="containsBlanks" dxfId="4329" priority="4347">
      <formula>LEN(TRIM(F20))=0</formula>
    </cfRule>
  </conditionalFormatting>
  <conditionalFormatting sqref="G20">
    <cfRule type="expression" dxfId="4328" priority="4342">
      <formula>AND(OR($D20="GD&amp;T",$D20="MAX"),$G20&lt;&gt;"")</formula>
    </cfRule>
    <cfRule type="expression" dxfId="4327" priority="4343">
      <formula>AND(OR($D20="GD&amp;T",$D20="MAX"),$G20="")</formula>
    </cfRule>
    <cfRule type="containsBlanks" dxfId="4326" priority="4344">
      <formula>LEN(TRIM(G20))=0</formula>
    </cfRule>
  </conditionalFormatting>
  <conditionalFormatting sqref="F20">
    <cfRule type="expression" dxfId="4325" priority="4339">
      <formula>AND($D20="MIN",$F20&lt;&gt;"")</formula>
    </cfRule>
    <cfRule type="expression" dxfId="4324" priority="4340">
      <formula>AND($D20="MIN",$F20="")</formula>
    </cfRule>
    <cfRule type="containsBlanks" dxfId="4323" priority="4341">
      <formula>LEN(TRIM(F20))=0</formula>
    </cfRule>
  </conditionalFormatting>
  <conditionalFormatting sqref="G20">
    <cfRule type="expression" dxfId="4322" priority="4336">
      <formula>AND(OR($D20="GD&amp;T",$D20="MAX"),$G20&lt;&gt;"")</formula>
    </cfRule>
    <cfRule type="expression" dxfId="4321" priority="4337">
      <formula>AND(OR($D20="GD&amp;T",$D20="MAX"),$G20="")</formula>
    </cfRule>
    <cfRule type="containsBlanks" dxfId="4320" priority="4338">
      <formula>LEN(TRIM(G20))=0</formula>
    </cfRule>
  </conditionalFormatting>
  <conditionalFormatting sqref="F21">
    <cfRule type="expression" dxfId="4319" priority="4333">
      <formula>AND($D21="MIN",$F21&lt;&gt;"")</formula>
    </cfRule>
    <cfRule type="expression" dxfId="4318" priority="4334">
      <formula>AND($D21="MIN",$F21="")</formula>
    </cfRule>
    <cfRule type="containsBlanks" dxfId="4317" priority="4335">
      <formula>LEN(TRIM(F21))=0</formula>
    </cfRule>
  </conditionalFormatting>
  <conditionalFormatting sqref="G21">
    <cfRule type="expression" dxfId="4316" priority="4330">
      <formula>AND(OR($D21="GD&amp;T",$D21="MAX"),$G21&lt;&gt;"")</formula>
    </cfRule>
    <cfRule type="expression" dxfId="4315" priority="4331">
      <formula>AND(OR($D21="GD&amp;T",$D21="MAX"),$G21="")</formula>
    </cfRule>
    <cfRule type="containsBlanks" dxfId="4314" priority="4332">
      <formula>LEN(TRIM(G21))=0</formula>
    </cfRule>
  </conditionalFormatting>
  <conditionalFormatting sqref="F21">
    <cfRule type="expression" dxfId="4313" priority="4327">
      <formula>AND($D21="MIN",$F21&lt;&gt;"")</formula>
    </cfRule>
    <cfRule type="expression" dxfId="4312" priority="4328">
      <formula>AND($D21="MIN",$F21="")</formula>
    </cfRule>
    <cfRule type="containsBlanks" dxfId="4311" priority="4329">
      <formula>LEN(TRIM(F21))=0</formula>
    </cfRule>
  </conditionalFormatting>
  <conditionalFormatting sqref="G21">
    <cfRule type="expression" dxfId="4310" priority="4324">
      <formula>AND(OR($D21="GD&amp;T",$D21="MAX"),$G21&lt;&gt;"")</formula>
    </cfRule>
    <cfRule type="expression" dxfId="4309" priority="4325">
      <formula>AND(OR($D21="GD&amp;T",$D21="MAX"),$G21="")</formula>
    </cfRule>
    <cfRule type="containsBlanks" dxfId="4308" priority="4326">
      <formula>LEN(TRIM(G21))=0</formula>
    </cfRule>
  </conditionalFormatting>
  <conditionalFormatting sqref="F21">
    <cfRule type="expression" dxfId="4307" priority="4321">
      <formula>AND($D21="MIN",$F21&lt;&gt;"")</formula>
    </cfRule>
    <cfRule type="expression" dxfId="4306" priority="4322">
      <formula>AND($D21="MIN",$F21="")</formula>
    </cfRule>
    <cfRule type="containsBlanks" dxfId="4305" priority="4323">
      <formula>LEN(TRIM(F21))=0</formula>
    </cfRule>
  </conditionalFormatting>
  <conditionalFormatting sqref="G21">
    <cfRule type="expression" dxfId="4304" priority="4318">
      <formula>AND(OR($D21="GD&amp;T",$D21="MAX"),$G21&lt;&gt;"")</formula>
    </cfRule>
    <cfRule type="expression" dxfId="4303" priority="4319">
      <formula>AND(OR($D21="GD&amp;T",$D21="MAX"),$G21="")</formula>
    </cfRule>
    <cfRule type="containsBlanks" dxfId="4302" priority="4320">
      <formula>LEN(TRIM(G21))=0</formula>
    </cfRule>
  </conditionalFormatting>
  <conditionalFormatting sqref="F21">
    <cfRule type="expression" dxfId="4301" priority="4315">
      <formula>AND($D21="MIN",$F21&lt;&gt;"")</formula>
    </cfRule>
    <cfRule type="expression" dxfId="4300" priority="4316">
      <formula>AND($D21="MIN",$F21="")</formula>
    </cfRule>
    <cfRule type="containsBlanks" dxfId="4299" priority="4317">
      <formula>LEN(TRIM(F21))=0</formula>
    </cfRule>
  </conditionalFormatting>
  <conditionalFormatting sqref="G21">
    <cfRule type="expression" dxfId="4298" priority="4312">
      <formula>AND(OR($D21="GD&amp;T",$D21="MAX"),$G21&lt;&gt;"")</formula>
    </cfRule>
    <cfRule type="expression" dxfId="4297" priority="4313">
      <formula>AND(OR($D21="GD&amp;T",$D21="MAX"),$G21="")</formula>
    </cfRule>
    <cfRule type="containsBlanks" dxfId="4296" priority="4314">
      <formula>LEN(TRIM(G21))=0</formula>
    </cfRule>
  </conditionalFormatting>
  <conditionalFormatting sqref="G21">
    <cfRule type="expression" dxfId="4295" priority="4309">
      <formula>AND(OR($D21="GD&amp;T",$D21="MAX"),$G21&lt;&gt;"")</formula>
    </cfRule>
    <cfRule type="expression" dxfId="4294" priority="4310">
      <formula>AND(OR($D21="GD&amp;T",$D21="MAX"),$G21="")</formula>
    </cfRule>
    <cfRule type="containsBlanks" dxfId="4293" priority="4311">
      <formula>LEN(TRIM(G21))=0</formula>
    </cfRule>
  </conditionalFormatting>
  <conditionalFormatting sqref="G21">
    <cfRule type="expression" dxfId="4292" priority="4306">
      <formula>AND(OR($D21="GD&amp;T",$D21="MAX"),$G21&lt;&gt;"")</formula>
    </cfRule>
    <cfRule type="expression" dxfId="4291" priority="4307">
      <formula>AND(OR($D21="GD&amp;T",$D21="MAX"),$G21="")</formula>
    </cfRule>
    <cfRule type="containsBlanks" dxfId="4290" priority="4308">
      <formula>LEN(TRIM(G21))=0</formula>
    </cfRule>
  </conditionalFormatting>
  <conditionalFormatting sqref="G21">
    <cfRule type="expression" dxfId="4289" priority="4303">
      <formula>AND(OR($D21="GD&amp;T",$D21="MAX"),$G21&lt;&gt;"")</formula>
    </cfRule>
    <cfRule type="expression" dxfId="4288" priority="4304">
      <formula>AND(OR($D21="GD&amp;T",$D21="MAX"),$G21="")</formula>
    </cfRule>
    <cfRule type="containsBlanks" dxfId="4287" priority="4305">
      <formula>LEN(TRIM(G21))=0</formula>
    </cfRule>
  </conditionalFormatting>
  <conditionalFormatting sqref="G21">
    <cfRule type="expression" dxfId="4286" priority="4300">
      <formula>AND(OR($D21="GD&amp;T",$D21="MAX"),$G21&lt;&gt;"")</formula>
    </cfRule>
    <cfRule type="expression" dxfId="4285" priority="4301">
      <formula>AND(OR($D21="GD&amp;T",$D21="MAX"),$G21="")</formula>
    </cfRule>
    <cfRule type="containsBlanks" dxfId="4284" priority="4302">
      <formula>LEN(TRIM(G21))=0</formula>
    </cfRule>
  </conditionalFormatting>
  <conditionalFormatting sqref="G21">
    <cfRule type="expression" dxfId="4283" priority="4297">
      <formula>AND(OR($D21="GD&amp;T",$D21="MAX"),$G21&lt;&gt;"")</formula>
    </cfRule>
    <cfRule type="expression" dxfId="4282" priority="4298">
      <formula>AND(OR($D21="GD&amp;T",$D21="MAX"),$G21="")</formula>
    </cfRule>
    <cfRule type="containsBlanks" dxfId="4281" priority="4299">
      <formula>LEN(TRIM(G21))=0</formula>
    </cfRule>
  </conditionalFormatting>
  <conditionalFormatting sqref="F21">
    <cfRule type="expression" dxfId="4280" priority="4294">
      <formula>AND($D21="MIN",$F21&lt;&gt;"")</formula>
    </cfRule>
    <cfRule type="expression" dxfId="4279" priority="4295">
      <formula>AND($D21="MIN",$F21="")</formula>
    </cfRule>
    <cfRule type="containsBlanks" dxfId="4278" priority="4296">
      <formula>LEN(TRIM(F21))=0</formula>
    </cfRule>
  </conditionalFormatting>
  <conditionalFormatting sqref="F21">
    <cfRule type="expression" dxfId="4277" priority="4291">
      <formula>AND($D21="MIN",$F21&lt;&gt;"")</formula>
    </cfRule>
    <cfRule type="expression" dxfId="4276" priority="4292">
      <formula>AND($D21="MIN",$F21="")</formula>
    </cfRule>
    <cfRule type="containsBlanks" dxfId="4275" priority="4293">
      <formula>LEN(TRIM(F21))=0</formula>
    </cfRule>
  </conditionalFormatting>
  <conditionalFormatting sqref="F21">
    <cfRule type="expression" dxfId="4274" priority="4288">
      <formula>AND($D21="MIN",$F21&lt;&gt;"")</formula>
    </cfRule>
    <cfRule type="expression" dxfId="4273" priority="4289">
      <formula>AND($D21="MIN",$F21="")</formula>
    </cfRule>
    <cfRule type="containsBlanks" dxfId="4272" priority="4290">
      <formula>LEN(TRIM(F21))=0</formula>
    </cfRule>
  </conditionalFormatting>
  <conditionalFormatting sqref="F21">
    <cfRule type="expression" dxfId="4271" priority="4285">
      <formula>AND($D21="MIN",$F21&lt;&gt;"")</formula>
    </cfRule>
    <cfRule type="expression" dxfId="4270" priority="4286">
      <formula>AND($D21="MIN",$F21="")</formula>
    </cfRule>
    <cfRule type="containsBlanks" dxfId="4269" priority="4287">
      <formula>LEN(TRIM(F21))=0</formula>
    </cfRule>
  </conditionalFormatting>
  <conditionalFormatting sqref="F21">
    <cfRule type="expression" dxfId="4268" priority="4282">
      <formula>AND($D21="MIN",$F21&lt;&gt;"")</formula>
    </cfRule>
    <cfRule type="expression" dxfId="4267" priority="4283">
      <formula>AND($D21="MIN",$F21="")</formula>
    </cfRule>
    <cfRule type="containsBlanks" dxfId="4266" priority="4284">
      <formula>LEN(TRIM(F21))=0</formula>
    </cfRule>
  </conditionalFormatting>
  <conditionalFormatting sqref="F21">
    <cfRule type="expression" dxfId="4265" priority="4279">
      <formula>AND($D21="MIN",$F21&lt;&gt;"")</formula>
    </cfRule>
    <cfRule type="expression" dxfId="4264" priority="4280">
      <formula>AND($D21="MIN",$F21="")</formula>
    </cfRule>
    <cfRule type="containsBlanks" dxfId="4263" priority="4281">
      <formula>LEN(TRIM(F21))=0</formula>
    </cfRule>
  </conditionalFormatting>
  <conditionalFormatting sqref="G21">
    <cfRule type="expression" dxfId="4262" priority="4276">
      <formula>AND(OR($D21="GD&amp;T",$D21="MAX"),$G21&lt;&gt;"")</formula>
    </cfRule>
    <cfRule type="expression" dxfId="4261" priority="4277">
      <formula>AND(OR($D21="GD&amp;T",$D21="MAX"),$G21="")</formula>
    </cfRule>
    <cfRule type="containsBlanks" dxfId="4260" priority="4278">
      <formula>LEN(TRIM(G21))=0</formula>
    </cfRule>
  </conditionalFormatting>
  <conditionalFormatting sqref="F21">
    <cfRule type="expression" dxfId="4259" priority="4273">
      <formula>AND($D21="MIN",$F21&lt;&gt;"")</formula>
    </cfRule>
    <cfRule type="expression" dxfId="4258" priority="4274">
      <formula>AND($D21="MIN",$F21="")</formula>
    </cfRule>
    <cfRule type="containsBlanks" dxfId="4257" priority="4275">
      <formula>LEN(TRIM(F21))=0</formula>
    </cfRule>
  </conditionalFormatting>
  <conditionalFormatting sqref="G21">
    <cfRule type="expression" dxfId="4256" priority="4270">
      <formula>AND(OR($D21="GD&amp;T",$D21="MAX"),$G21&lt;&gt;"")</formula>
    </cfRule>
    <cfRule type="expression" dxfId="4255" priority="4271">
      <formula>AND(OR($D21="GD&amp;T",$D21="MAX"),$G21="")</formula>
    </cfRule>
    <cfRule type="containsBlanks" dxfId="4254" priority="4272">
      <formula>LEN(TRIM(G21))=0</formula>
    </cfRule>
  </conditionalFormatting>
  <conditionalFormatting sqref="F21">
    <cfRule type="expression" dxfId="4253" priority="4267">
      <formula>AND($D21="MIN",$F21&lt;&gt;"")</formula>
    </cfRule>
    <cfRule type="expression" dxfId="4252" priority="4268">
      <formula>AND($D21="MIN",$F21="")</formula>
    </cfRule>
    <cfRule type="containsBlanks" dxfId="4251" priority="4269">
      <formula>LEN(TRIM(F21))=0</formula>
    </cfRule>
  </conditionalFormatting>
  <conditionalFormatting sqref="G21">
    <cfRule type="expression" dxfId="4250" priority="4264">
      <formula>AND(OR($D21="GD&amp;T",$D21="MAX"),$G21&lt;&gt;"")</formula>
    </cfRule>
    <cfRule type="expression" dxfId="4249" priority="4265">
      <formula>AND(OR($D21="GD&amp;T",$D21="MAX"),$G21="")</formula>
    </cfRule>
    <cfRule type="containsBlanks" dxfId="4248" priority="4266">
      <formula>LEN(TRIM(G21))=0</formula>
    </cfRule>
  </conditionalFormatting>
  <conditionalFormatting sqref="F21">
    <cfRule type="expression" dxfId="4247" priority="4261">
      <formula>AND($D21="MIN",$F21&lt;&gt;"")</formula>
    </cfRule>
    <cfRule type="expression" dxfId="4246" priority="4262">
      <formula>AND($D21="MIN",$F21="")</formula>
    </cfRule>
    <cfRule type="containsBlanks" dxfId="4245" priority="4263">
      <formula>LEN(TRIM(F21))=0</formula>
    </cfRule>
  </conditionalFormatting>
  <conditionalFormatting sqref="G21">
    <cfRule type="expression" dxfId="4244" priority="4258">
      <formula>AND(OR($D21="GD&amp;T",$D21="MAX"),$G21&lt;&gt;"")</formula>
    </cfRule>
    <cfRule type="expression" dxfId="4243" priority="4259">
      <formula>AND(OR($D21="GD&amp;T",$D21="MAX"),$G21="")</formula>
    </cfRule>
    <cfRule type="containsBlanks" dxfId="4242" priority="4260">
      <formula>LEN(TRIM(G21))=0</formula>
    </cfRule>
  </conditionalFormatting>
  <conditionalFormatting sqref="F21">
    <cfRule type="expression" dxfId="4241" priority="4255">
      <formula>AND($D21="MIN",$F21&lt;&gt;"")</formula>
    </cfRule>
    <cfRule type="expression" dxfId="4240" priority="4256">
      <formula>AND($D21="MIN",$F21="")</formula>
    </cfRule>
    <cfRule type="containsBlanks" dxfId="4239" priority="4257">
      <formula>LEN(TRIM(F21))=0</formula>
    </cfRule>
  </conditionalFormatting>
  <conditionalFormatting sqref="G21">
    <cfRule type="expression" dxfId="4238" priority="4252">
      <formula>AND(OR($D21="GD&amp;T",$D21="MAX"),$G21&lt;&gt;"")</formula>
    </cfRule>
    <cfRule type="expression" dxfId="4237" priority="4253">
      <formula>AND(OR($D21="GD&amp;T",$D21="MAX"),$G21="")</formula>
    </cfRule>
    <cfRule type="containsBlanks" dxfId="4236" priority="4254">
      <formula>LEN(TRIM(G21))=0</formula>
    </cfRule>
  </conditionalFormatting>
  <conditionalFormatting sqref="F21">
    <cfRule type="expression" dxfId="4235" priority="4249">
      <formula>AND($D21="MIN",$F21&lt;&gt;"")</formula>
    </cfRule>
    <cfRule type="expression" dxfId="4234" priority="4250">
      <formula>AND($D21="MIN",$F21="")</formula>
    </cfRule>
    <cfRule type="containsBlanks" dxfId="4233" priority="4251">
      <formula>LEN(TRIM(F21))=0</formula>
    </cfRule>
  </conditionalFormatting>
  <conditionalFormatting sqref="G21">
    <cfRule type="expression" dxfId="4232" priority="4246">
      <formula>AND(OR($D21="GD&amp;T",$D21="MAX"),$G21&lt;&gt;"")</formula>
    </cfRule>
    <cfRule type="expression" dxfId="4231" priority="4247">
      <formula>AND(OR($D21="GD&amp;T",$D21="MAX"),$G21="")</formula>
    </cfRule>
    <cfRule type="containsBlanks" dxfId="4230" priority="4248">
      <formula>LEN(TRIM(G21))=0</formula>
    </cfRule>
  </conditionalFormatting>
  <conditionalFormatting sqref="F21">
    <cfRule type="expression" dxfId="4229" priority="4243">
      <formula>AND($D21="MIN",$F21&lt;&gt;"")</formula>
    </cfRule>
    <cfRule type="expression" dxfId="4228" priority="4244">
      <formula>AND($D21="MIN",$F21="")</formula>
    </cfRule>
    <cfRule type="containsBlanks" dxfId="4227" priority="4245">
      <formula>LEN(TRIM(F21))=0</formula>
    </cfRule>
  </conditionalFormatting>
  <conditionalFormatting sqref="G21">
    <cfRule type="expression" dxfId="4226" priority="4240">
      <formula>AND(OR($D21="GD&amp;T",$D21="MAX"),$G21&lt;&gt;"")</formula>
    </cfRule>
    <cfRule type="expression" dxfId="4225" priority="4241">
      <formula>AND(OR($D21="GD&amp;T",$D21="MAX"),$G21="")</formula>
    </cfRule>
    <cfRule type="containsBlanks" dxfId="4224" priority="4242">
      <formula>LEN(TRIM(G21))=0</formula>
    </cfRule>
  </conditionalFormatting>
  <conditionalFormatting sqref="F21">
    <cfRule type="expression" dxfId="4223" priority="4237">
      <formula>AND($D21="MIN",$F21&lt;&gt;"")</formula>
    </cfRule>
    <cfRule type="expression" dxfId="4222" priority="4238">
      <formula>AND($D21="MIN",$F21="")</formula>
    </cfRule>
    <cfRule type="containsBlanks" dxfId="4221" priority="4239">
      <formula>LEN(TRIM(F21))=0</formula>
    </cfRule>
  </conditionalFormatting>
  <conditionalFormatting sqref="G21">
    <cfRule type="expression" dxfId="4220" priority="4234">
      <formula>AND(OR($D21="GD&amp;T",$D21="MAX"),$G21&lt;&gt;"")</formula>
    </cfRule>
    <cfRule type="expression" dxfId="4219" priority="4235">
      <formula>AND(OR($D21="GD&amp;T",$D21="MAX"),$G21="")</formula>
    </cfRule>
    <cfRule type="containsBlanks" dxfId="4218" priority="4236">
      <formula>LEN(TRIM(G21))=0</formula>
    </cfRule>
  </conditionalFormatting>
  <conditionalFormatting sqref="F21">
    <cfRule type="expression" dxfId="4217" priority="4231">
      <formula>AND($D21="MIN",$F21&lt;&gt;"")</formula>
    </cfRule>
    <cfRule type="expression" dxfId="4216" priority="4232">
      <formula>AND($D21="MIN",$F21="")</formula>
    </cfRule>
    <cfRule type="containsBlanks" dxfId="4215" priority="4233">
      <formula>LEN(TRIM(F21))=0</formula>
    </cfRule>
  </conditionalFormatting>
  <conditionalFormatting sqref="G21">
    <cfRule type="expression" dxfId="4214" priority="4228">
      <formula>AND(OR($D21="GD&amp;T",$D21="MAX"),$G21&lt;&gt;"")</formula>
    </cfRule>
    <cfRule type="expression" dxfId="4213" priority="4229">
      <formula>AND(OR($D21="GD&amp;T",$D21="MAX"),$G21="")</formula>
    </cfRule>
    <cfRule type="containsBlanks" dxfId="4212" priority="4230">
      <formula>LEN(TRIM(G21))=0</formula>
    </cfRule>
  </conditionalFormatting>
  <conditionalFormatting sqref="F21">
    <cfRule type="expression" dxfId="4211" priority="4225">
      <formula>AND($D21="MIN",$F21&lt;&gt;"")</formula>
    </cfRule>
    <cfRule type="expression" dxfId="4210" priority="4226">
      <formula>AND($D21="MIN",$F21="")</formula>
    </cfRule>
    <cfRule type="containsBlanks" dxfId="4209" priority="4227">
      <formula>LEN(TRIM(F21))=0</formula>
    </cfRule>
  </conditionalFormatting>
  <conditionalFormatting sqref="G21">
    <cfRule type="expression" dxfId="4208" priority="4222">
      <formula>AND(OR($D21="GD&amp;T",$D21="MAX"),$G21&lt;&gt;"")</formula>
    </cfRule>
    <cfRule type="expression" dxfId="4207" priority="4223">
      <formula>AND(OR($D21="GD&amp;T",$D21="MAX"),$G21="")</formula>
    </cfRule>
    <cfRule type="containsBlanks" dxfId="4206" priority="4224">
      <formula>LEN(TRIM(G21))=0</formula>
    </cfRule>
  </conditionalFormatting>
  <conditionalFormatting sqref="F21">
    <cfRule type="expression" dxfId="4205" priority="4219">
      <formula>AND($D21="MIN",$F21&lt;&gt;"")</formula>
    </cfRule>
    <cfRule type="expression" dxfId="4204" priority="4220">
      <formula>AND($D21="MIN",$F21="")</formula>
    </cfRule>
    <cfRule type="containsBlanks" dxfId="4203" priority="4221">
      <formula>LEN(TRIM(F21))=0</formula>
    </cfRule>
  </conditionalFormatting>
  <conditionalFormatting sqref="G21">
    <cfRule type="expression" dxfId="4202" priority="4216">
      <formula>AND(OR($D21="GD&amp;T",$D21="MAX"),$G21&lt;&gt;"")</formula>
    </cfRule>
    <cfRule type="expression" dxfId="4201" priority="4217">
      <formula>AND(OR($D21="GD&amp;T",$D21="MAX"),$G21="")</formula>
    </cfRule>
    <cfRule type="containsBlanks" dxfId="4200" priority="4218">
      <formula>LEN(TRIM(G21))=0</formula>
    </cfRule>
  </conditionalFormatting>
  <conditionalFormatting sqref="F21">
    <cfRule type="expression" dxfId="4199" priority="4213">
      <formula>AND($D21="MIN",$F21&lt;&gt;"")</formula>
    </cfRule>
    <cfRule type="expression" dxfId="4198" priority="4214">
      <formula>AND($D21="MIN",$F21="")</formula>
    </cfRule>
    <cfRule type="containsBlanks" dxfId="4197" priority="4215">
      <formula>LEN(TRIM(F21))=0</formula>
    </cfRule>
  </conditionalFormatting>
  <conditionalFormatting sqref="G21">
    <cfRule type="expression" dxfId="4196" priority="4210">
      <formula>AND(OR($D21="GD&amp;T",$D21="MAX"),$G21&lt;&gt;"")</formula>
    </cfRule>
    <cfRule type="expression" dxfId="4195" priority="4211">
      <formula>AND(OR($D21="GD&amp;T",$D21="MAX"),$G21="")</formula>
    </cfRule>
    <cfRule type="containsBlanks" dxfId="4194" priority="4212">
      <formula>LEN(TRIM(G21))=0</formula>
    </cfRule>
  </conditionalFormatting>
  <conditionalFormatting sqref="F21">
    <cfRule type="expression" dxfId="4193" priority="4207">
      <formula>AND($D21="MIN",$F21&lt;&gt;"")</formula>
    </cfRule>
    <cfRule type="expression" dxfId="4192" priority="4208">
      <formula>AND($D21="MIN",$F21="")</formula>
    </cfRule>
    <cfRule type="containsBlanks" dxfId="4191" priority="4209">
      <formula>LEN(TRIM(F21))=0</formula>
    </cfRule>
  </conditionalFormatting>
  <conditionalFormatting sqref="G21">
    <cfRule type="expression" dxfId="4190" priority="4204">
      <formula>AND(OR($D21="GD&amp;T",$D21="MAX"),$G21&lt;&gt;"")</formula>
    </cfRule>
    <cfRule type="expression" dxfId="4189" priority="4205">
      <formula>AND(OR($D21="GD&amp;T",$D21="MAX"),$G21="")</formula>
    </cfRule>
    <cfRule type="containsBlanks" dxfId="4188" priority="4206">
      <formula>LEN(TRIM(G21))=0</formula>
    </cfRule>
  </conditionalFormatting>
  <conditionalFormatting sqref="F22">
    <cfRule type="expression" dxfId="4187" priority="4201">
      <formula>AND($D22="MIN",$F22&lt;&gt;"")</formula>
    </cfRule>
    <cfRule type="expression" dxfId="4186" priority="4202">
      <formula>AND($D22="MIN",$F22="")</formula>
    </cfRule>
    <cfRule type="containsBlanks" dxfId="4185" priority="4203">
      <formula>LEN(TRIM(F22))=0</formula>
    </cfRule>
  </conditionalFormatting>
  <conditionalFormatting sqref="G22">
    <cfRule type="expression" dxfId="4184" priority="4198">
      <formula>AND(OR($D22="GD&amp;T",$D22="MAX"),$G22&lt;&gt;"")</formula>
    </cfRule>
    <cfRule type="expression" dxfId="4183" priority="4199">
      <formula>AND(OR($D22="GD&amp;T",$D22="MAX"),$G22="")</formula>
    </cfRule>
    <cfRule type="containsBlanks" dxfId="4182" priority="4200">
      <formula>LEN(TRIM(G22))=0</formula>
    </cfRule>
  </conditionalFormatting>
  <conditionalFormatting sqref="F22">
    <cfRule type="expression" dxfId="4181" priority="4195">
      <formula>AND($D22="MIN",$F22&lt;&gt;"")</formula>
    </cfRule>
    <cfRule type="expression" dxfId="4180" priority="4196">
      <formula>AND($D22="MIN",$F22="")</formula>
    </cfRule>
    <cfRule type="containsBlanks" dxfId="4179" priority="4197">
      <formula>LEN(TRIM(F22))=0</formula>
    </cfRule>
  </conditionalFormatting>
  <conditionalFormatting sqref="G22">
    <cfRule type="expression" dxfId="4178" priority="4192">
      <formula>AND(OR($D22="GD&amp;T",$D22="MAX"),$G22&lt;&gt;"")</formula>
    </cfRule>
    <cfRule type="expression" dxfId="4177" priority="4193">
      <formula>AND(OR($D22="GD&amp;T",$D22="MAX"),$G22="")</formula>
    </cfRule>
    <cfRule type="containsBlanks" dxfId="4176" priority="4194">
      <formula>LEN(TRIM(G22))=0</formula>
    </cfRule>
  </conditionalFormatting>
  <conditionalFormatting sqref="F22">
    <cfRule type="expression" dxfId="4175" priority="4189">
      <formula>AND($D22="MIN",$F22&lt;&gt;"")</formula>
    </cfRule>
    <cfRule type="expression" dxfId="4174" priority="4190">
      <formula>AND($D22="MIN",$F22="")</formula>
    </cfRule>
    <cfRule type="containsBlanks" dxfId="4173" priority="4191">
      <formula>LEN(TRIM(F22))=0</formula>
    </cfRule>
  </conditionalFormatting>
  <conditionalFormatting sqref="G22">
    <cfRule type="expression" dxfId="4172" priority="4186">
      <formula>AND(OR($D22="GD&amp;T",$D22="MAX"),$G22&lt;&gt;"")</formula>
    </cfRule>
    <cfRule type="expression" dxfId="4171" priority="4187">
      <formula>AND(OR($D22="GD&amp;T",$D22="MAX"),$G22="")</formula>
    </cfRule>
    <cfRule type="containsBlanks" dxfId="4170" priority="4188">
      <formula>LEN(TRIM(G22))=0</formula>
    </cfRule>
  </conditionalFormatting>
  <conditionalFormatting sqref="F22">
    <cfRule type="expression" dxfId="4169" priority="4183">
      <formula>AND($D22="MIN",$F22&lt;&gt;"")</formula>
    </cfRule>
    <cfRule type="expression" dxfId="4168" priority="4184">
      <formula>AND($D22="MIN",$F22="")</formula>
    </cfRule>
    <cfRule type="containsBlanks" dxfId="4167" priority="4185">
      <formula>LEN(TRIM(F22))=0</formula>
    </cfRule>
  </conditionalFormatting>
  <conditionalFormatting sqref="G22">
    <cfRule type="expression" dxfId="4166" priority="4180">
      <formula>AND(OR($D22="GD&amp;T",$D22="MAX"),$G22&lt;&gt;"")</formula>
    </cfRule>
    <cfRule type="expression" dxfId="4165" priority="4181">
      <formula>AND(OR($D22="GD&amp;T",$D22="MAX"),$G22="")</formula>
    </cfRule>
    <cfRule type="containsBlanks" dxfId="4164" priority="4182">
      <formula>LEN(TRIM(G22))=0</formula>
    </cfRule>
  </conditionalFormatting>
  <conditionalFormatting sqref="F22">
    <cfRule type="expression" dxfId="4163" priority="4177">
      <formula>AND($D22="MIN",$F22&lt;&gt;"")</formula>
    </cfRule>
    <cfRule type="expression" dxfId="4162" priority="4178">
      <formula>AND($D22="MIN",$F22="")</formula>
    </cfRule>
    <cfRule type="containsBlanks" dxfId="4161" priority="4179">
      <formula>LEN(TRIM(F22))=0</formula>
    </cfRule>
  </conditionalFormatting>
  <conditionalFormatting sqref="G22">
    <cfRule type="expression" dxfId="4160" priority="4174">
      <formula>AND(OR($D22="GD&amp;T",$D22="MAX"),$G22&lt;&gt;"")</formula>
    </cfRule>
    <cfRule type="expression" dxfId="4159" priority="4175">
      <formula>AND(OR($D22="GD&amp;T",$D22="MAX"),$G22="")</formula>
    </cfRule>
    <cfRule type="containsBlanks" dxfId="4158" priority="4176">
      <formula>LEN(TRIM(G22))=0</formula>
    </cfRule>
  </conditionalFormatting>
  <conditionalFormatting sqref="F22">
    <cfRule type="expression" dxfId="4157" priority="4171">
      <formula>AND($D22="MIN",$F22&lt;&gt;"")</formula>
    </cfRule>
    <cfRule type="expression" dxfId="4156" priority="4172">
      <formula>AND($D22="MIN",$F22="")</formula>
    </cfRule>
    <cfRule type="containsBlanks" dxfId="4155" priority="4173">
      <formula>LEN(TRIM(F22))=0</formula>
    </cfRule>
  </conditionalFormatting>
  <conditionalFormatting sqref="G22">
    <cfRule type="expression" dxfId="4154" priority="4168">
      <formula>AND(OR($D22="GD&amp;T",$D22="MAX"),$G22&lt;&gt;"")</formula>
    </cfRule>
    <cfRule type="expression" dxfId="4153" priority="4169">
      <formula>AND(OR($D22="GD&amp;T",$D22="MAX"),$G22="")</formula>
    </cfRule>
    <cfRule type="containsBlanks" dxfId="4152" priority="4170">
      <formula>LEN(TRIM(G22))=0</formula>
    </cfRule>
  </conditionalFormatting>
  <conditionalFormatting sqref="F22">
    <cfRule type="expression" dxfId="4151" priority="4165">
      <formula>AND($D22="MIN",$F22&lt;&gt;"")</formula>
    </cfRule>
    <cfRule type="expression" dxfId="4150" priority="4166">
      <formula>AND($D22="MIN",$F22="")</formula>
    </cfRule>
    <cfRule type="containsBlanks" dxfId="4149" priority="4167">
      <formula>LEN(TRIM(F22))=0</formula>
    </cfRule>
  </conditionalFormatting>
  <conditionalFormatting sqref="G22">
    <cfRule type="expression" dxfId="4148" priority="4162">
      <formula>AND(OR($D22="GD&amp;T",$D22="MAX"),$G22&lt;&gt;"")</formula>
    </cfRule>
    <cfRule type="expression" dxfId="4147" priority="4163">
      <formula>AND(OR($D22="GD&amp;T",$D22="MAX"),$G22="")</formula>
    </cfRule>
    <cfRule type="containsBlanks" dxfId="4146" priority="4164">
      <formula>LEN(TRIM(G22))=0</formula>
    </cfRule>
  </conditionalFormatting>
  <conditionalFormatting sqref="F22">
    <cfRule type="expression" dxfId="4145" priority="4159">
      <formula>AND($D22="MIN",$F22&lt;&gt;"")</formula>
    </cfRule>
    <cfRule type="expression" dxfId="4144" priority="4160">
      <formula>AND($D22="MIN",$F22="")</formula>
    </cfRule>
    <cfRule type="containsBlanks" dxfId="4143" priority="4161">
      <formula>LEN(TRIM(F22))=0</formula>
    </cfRule>
  </conditionalFormatting>
  <conditionalFormatting sqref="G22">
    <cfRule type="expression" dxfId="4142" priority="4156">
      <formula>AND(OR($D22="GD&amp;T",$D22="MAX"),$G22&lt;&gt;"")</formula>
    </cfRule>
    <cfRule type="expression" dxfId="4141" priority="4157">
      <formula>AND(OR($D22="GD&amp;T",$D22="MAX"),$G22="")</formula>
    </cfRule>
    <cfRule type="containsBlanks" dxfId="4140" priority="4158">
      <formula>LEN(TRIM(G22))=0</formula>
    </cfRule>
  </conditionalFormatting>
  <conditionalFormatting sqref="F22">
    <cfRule type="expression" dxfId="4139" priority="4153">
      <formula>AND($D22="MIN",$F22&lt;&gt;"")</formula>
    </cfRule>
    <cfRule type="expression" dxfId="4138" priority="4154">
      <formula>AND($D22="MIN",$F22="")</formula>
    </cfRule>
    <cfRule type="containsBlanks" dxfId="4137" priority="4155">
      <formula>LEN(TRIM(F22))=0</formula>
    </cfRule>
  </conditionalFormatting>
  <conditionalFormatting sqref="F22">
    <cfRule type="expression" dxfId="4136" priority="4150">
      <formula>AND($D22="MIN",$F22&lt;&gt;"")</formula>
    </cfRule>
    <cfRule type="expression" dxfId="4135" priority="4151">
      <formula>AND($D22="MIN",$F22="")</formula>
    </cfRule>
    <cfRule type="containsBlanks" dxfId="4134" priority="4152">
      <formula>LEN(TRIM(F22))=0</formula>
    </cfRule>
  </conditionalFormatting>
  <conditionalFormatting sqref="F22">
    <cfRule type="expression" dxfId="4133" priority="4147">
      <formula>AND($D22="MIN",$F22&lt;&gt;"")</formula>
    </cfRule>
    <cfRule type="expression" dxfId="4132" priority="4148">
      <formula>AND($D22="MIN",$F22="")</formula>
    </cfRule>
    <cfRule type="containsBlanks" dxfId="4131" priority="4149">
      <formula>LEN(TRIM(F22))=0</formula>
    </cfRule>
  </conditionalFormatting>
  <conditionalFormatting sqref="F22">
    <cfRule type="expression" dxfId="4130" priority="4144">
      <formula>AND($D22="MIN",$F22&lt;&gt;"")</formula>
    </cfRule>
    <cfRule type="expression" dxfId="4129" priority="4145">
      <formula>AND($D22="MIN",$F22="")</formula>
    </cfRule>
    <cfRule type="containsBlanks" dxfId="4128" priority="4146">
      <formula>LEN(TRIM(F22))=0</formula>
    </cfRule>
  </conditionalFormatting>
  <conditionalFormatting sqref="F22">
    <cfRule type="expression" dxfId="4127" priority="4141">
      <formula>AND($D22="MIN",$F22&lt;&gt;"")</formula>
    </cfRule>
    <cfRule type="expression" dxfId="4126" priority="4142">
      <formula>AND($D22="MIN",$F22="")</formula>
    </cfRule>
    <cfRule type="containsBlanks" dxfId="4125" priority="4143">
      <formula>LEN(TRIM(F22))=0</formula>
    </cfRule>
  </conditionalFormatting>
  <conditionalFormatting sqref="F22">
    <cfRule type="expression" dxfId="4124" priority="4138">
      <formula>AND($D22="MIN",$F22&lt;&gt;"")</formula>
    </cfRule>
    <cfRule type="expression" dxfId="4123" priority="4139">
      <formula>AND($D22="MIN",$F22="")</formula>
    </cfRule>
    <cfRule type="containsBlanks" dxfId="4122" priority="4140">
      <formula>LEN(TRIM(F22))=0</formula>
    </cfRule>
  </conditionalFormatting>
  <conditionalFormatting sqref="G22">
    <cfRule type="expression" dxfId="4121" priority="4135">
      <formula>AND(OR($D22="GD&amp;T",$D22="MAX"),$G22&lt;&gt;"")</formula>
    </cfRule>
    <cfRule type="expression" dxfId="4120" priority="4136">
      <formula>AND(OR($D22="GD&amp;T",$D22="MAX"),$G22="")</formula>
    </cfRule>
    <cfRule type="containsBlanks" dxfId="4119" priority="4137">
      <formula>LEN(TRIM(G22))=0</formula>
    </cfRule>
  </conditionalFormatting>
  <conditionalFormatting sqref="F22">
    <cfRule type="expression" dxfId="4118" priority="4132">
      <formula>AND($D22="MIN",$F22&lt;&gt;"")</formula>
    </cfRule>
    <cfRule type="expression" dxfId="4117" priority="4133">
      <formula>AND($D22="MIN",$F22="")</formula>
    </cfRule>
    <cfRule type="containsBlanks" dxfId="4116" priority="4134">
      <formula>LEN(TRIM(F22))=0</formula>
    </cfRule>
  </conditionalFormatting>
  <conditionalFormatting sqref="G22">
    <cfRule type="expression" dxfId="4115" priority="4129">
      <formula>AND(OR($D22="GD&amp;T",$D22="MAX"),$G22&lt;&gt;"")</formula>
    </cfRule>
    <cfRule type="expression" dxfId="4114" priority="4130">
      <formula>AND(OR($D22="GD&amp;T",$D22="MAX"),$G22="")</formula>
    </cfRule>
    <cfRule type="containsBlanks" dxfId="4113" priority="4131">
      <formula>LEN(TRIM(G22))=0</formula>
    </cfRule>
  </conditionalFormatting>
  <conditionalFormatting sqref="F22">
    <cfRule type="expression" dxfId="4112" priority="4126">
      <formula>AND($D22="MIN",$F22&lt;&gt;"")</formula>
    </cfRule>
    <cfRule type="expression" dxfId="4111" priority="4127">
      <formula>AND($D22="MIN",$F22="")</formula>
    </cfRule>
    <cfRule type="containsBlanks" dxfId="4110" priority="4128">
      <formula>LEN(TRIM(F22))=0</formula>
    </cfRule>
  </conditionalFormatting>
  <conditionalFormatting sqref="G22">
    <cfRule type="expression" dxfId="4109" priority="4123">
      <formula>AND(OR($D22="GD&amp;T",$D22="MAX"),$G22&lt;&gt;"")</formula>
    </cfRule>
    <cfRule type="expression" dxfId="4108" priority="4124">
      <formula>AND(OR($D22="GD&amp;T",$D22="MAX"),$G22="")</formula>
    </cfRule>
    <cfRule type="containsBlanks" dxfId="4107" priority="4125">
      <formula>LEN(TRIM(G22))=0</formula>
    </cfRule>
  </conditionalFormatting>
  <conditionalFormatting sqref="F22">
    <cfRule type="expression" dxfId="4106" priority="4120">
      <formula>AND($D22="MIN",$F22&lt;&gt;"")</formula>
    </cfRule>
    <cfRule type="expression" dxfId="4105" priority="4121">
      <formula>AND($D22="MIN",$F22="")</formula>
    </cfRule>
    <cfRule type="containsBlanks" dxfId="4104" priority="4122">
      <formula>LEN(TRIM(F22))=0</formula>
    </cfRule>
  </conditionalFormatting>
  <conditionalFormatting sqref="G22">
    <cfRule type="expression" dxfId="4103" priority="4117">
      <formula>AND(OR($D22="GD&amp;T",$D22="MAX"),$G22&lt;&gt;"")</formula>
    </cfRule>
    <cfRule type="expression" dxfId="4102" priority="4118">
      <formula>AND(OR($D22="GD&amp;T",$D22="MAX"),$G22="")</formula>
    </cfRule>
    <cfRule type="containsBlanks" dxfId="4101" priority="4119">
      <formula>LEN(TRIM(G22))=0</formula>
    </cfRule>
  </conditionalFormatting>
  <conditionalFormatting sqref="G22">
    <cfRule type="expression" dxfId="4100" priority="4114">
      <formula>AND(OR($D22="GD&amp;T",$D22="MAX"),$G22&lt;&gt;"")</formula>
    </cfRule>
    <cfRule type="expression" dxfId="4099" priority="4115">
      <formula>AND(OR($D22="GD&amp;T",$D22="MAX"),$G22="")</formula>
    </cfRule>
    <cfRule type="containsBlanks" dxfId="4098" priority="4116">
      <formula>LEN(TRIM(G22))=0</formula>
    </cfRule>
  </conditionalFormatting>
  <conditionalFormatting sqref="G22">
    <cfRule type="expression" dxfId="4097" priority="4111">
      <formula>AND(OR($D22="GD&amp;T",$D22="MAX"),$G22&lt;&gt;"")</formula>
    </cfRule>
    <cfRule type="expression" dxfId="4096" priority="4112">
      <formula>AND(OR($D22="GD&amp;T",$D22="MAX"),$G22="")</formula>
    </cfRule>
    <cfRule type="containsBlanks" dxfId="4095" priority="4113">
      <formula>LEN(TRIM(G22))=0</formula>
    </cfRule>
  </conditionalFormatting>
  <conditionalFormatting sqref="G22">
    <cfRule type="expression" dxfId="4094" priority="4108">
      <formula>AND(OR($D22="GD&amp;T",$D22="MAX"),$G22&lt;&gt;"")</formula>
    </cfRule>
    <cfRule type="expression" dxfId="4093" priority="4109">
      <formula>AND(OR($D22="GD&amp;T",$D22="MAX"),$G22="")</formula>
    </cfRule>
    <cfRule type="containsBlanks" dxfId="4092" priority="4110">
      <formula>LEN(TRIM(G22))=0</formula>
    </cfRule>
  </conditionalFormatting>
  <conditionalFormatting sqref="G22">
    <cfRule type="expression" dxfId="4091" priority="4105">
      <formula>AND(OR($D22="GD&amp;T",$D22="MAX"),$G22&lt;&gt;"")</formula>
    </cfRule>
    <cfRule type="expression" dxfId="4090" priority="4106">
      <formula>AND(OR($D22="GD&amp;T",$D22="MAX"),$G22="")</formula>
    </cfRule>
    <cfRule type="containsBlanks" dxfId="4089" priority="4107">
      <formula>LEN(TRIM(G22))=0</formula>
    </cfRule>
  </conditionalFormatting>
  <conditionalFormatting sqref="G22">
    <cfRule type="expression" dxfId="4088" priority="4102">
      <formula>AND(OR($D22="GD&amp;T",$D22="MAX"),$G22&lt;&gt;"")</formula>
    </cfRule>
    <cfRule type="expression" dxfId="4087" priority="4103">
      <formula>AND(OR($D22="GD&amp;T",$D22="MAX"),$G22="")</formula>
    </cfRule>
    <cfRule type="containsBlanks" dxfId="4086" priority="4104">
      <formula>LEN(TRIM(G22))=0</formula>
    </cfRule>
  </conditionalFormatting>
  <conditionalFormatting sqref="F22">
    <cfRule type="expression" dxfId="4085" priority="4099">
      <formula>AND($D22="MIN",$F22&lt;&gt;"")</formula>
    </cfRule>
    <cfRule type="expression" dxfId="4084" priority="4100">
      <formula>AND($D22="MIN",$F22="")</formula>
    </cfRule>
    <cfRule type="containsBlanks" dxfId="4083" priority="4101">
      <formula>LEN(TRIM(F22))=0</formula>
    </cfRule>
  </conditionalFormatting>
  <conditionalFormatting sqref="F22">
    <cfRule type="expression" dxfId="4082" priority="4096">
      <formula>AND($D22="MIN",$F22&lt;&gt;"")</formula>
    </cfRule>
    <cfRule type="expression" dxfId="4081" priority="4097">
      <formula>AND($D22="MIN",$F22="")</formula>
    </cfRule>
    <cfRule type="containsBlanks" dxfId="4080" priority="4098">
      <formula>LEN(TRIM(F22))=0</formula>
    </cfRule>
  </conditionalFormatting>
  <conditionalFormatting sqref="F22">
    <cfRule type="expression" dxfId="4079" priority="4093">
      <formula>AND($D22="MIN",$F22&lt;&gt;"")</formula>
    </cfRule>
    <cfRule type="expression" dxfId="4078" priority="4094">
      <formula>AND($D22="MIN",$F22="")</formula>
    </cfRule>
    <cfRule type="containsBlanks" dxfId="4077" priority="4095">
      <formula>LEN(TRIM(F22))=0</formula>
    </cfRule>
  </conditionalFormatting>
  <conditionalFormatting sqref="F22">
    <cfRule type="expression" dxfId="4076" priority="4090">
      <formula>AND($D22="MIN",$F22&lt;&gt;"")</formula>
    </cfRule>
    <cfRule type="expression" dxfId="4075" priority="4091">
      <formula>AND($D22="MIN",$F22="")</formula>
    </cfRule>
    <cfRule type="containsBlanks" dxfId="4074" priority="4092">
      <formula>LEN(TRIM(F22))=0</formula>
    </cfRule>
  </conditionalFormatting>
  <conditionalFormatting sqref="F22">
    <cfRule type="expression" dxfId="4073" priority="4087">
      <formula>AND($D22="MIN",$F22&lt;&gt;"")</formula>
    </cfRule>
    <cfRule type="expression" dxfId="4072" priority="4088">
      <formula>AND($D22="MIN",$F22="")</formula>
    </cfRule>
    <cfRule type="containsBlanks" dxfId="4071" priority="4089">
      <formula>LEN(TRIM(F22))=0</formula>
    </cfRule>
  </conditionalFormatting>
  <conditionalFormatting sqref="F22">
    <cfRule type="expression" dxfId="4070" priority="4084">
      <formula>AND($D22="MIN",$F22&lt;&gt;"")</formula>
    </cfRule>
    <cfRule type="expression" dxfId="4069" priority="4085">
      <formula>AND($D22="MIN",$F22="")</formula>
    </cfRule>
    <cfRule type="containsBlanks" dxfId="4068" priority="4086">
      <formula>LEN(TRIM(F22))=0</formula>
    </cfRule>
  </conditionalFormatting>
  <conditionalFormatting sqref="G22">
    <cfRule type="expression" dxfId="4067" priority="4081">
      <formula>AND(OR($D22="GD&amp;T",$D22="MAX"),$G22&lt;&gt;"")</formula>
    </cfRule>
    <cfRule type="expression" dxfId="4066" priority="4082">
      <formula>AND(OR($D22="GD&amp;T",$D22="MAX"),$G22="")</formula>
    </cfRule>
    <cfRule type="containsBlanks" dxfId="4065" priority="4083">
      <formula>LEN(TRIM(G22))=0</formula>
    </cfRule>
  </conditionalFormatting>
  <conditionalFormatting sqref="F22">
    <cfRule type="expression" dxfId="4064" priority="4078">
      <formula>AND($D22="MIN",$F22&lt;&gt;"")</formula>
    </cfRule>
    <cfRule type="expression" dxfId="4063" priority="4079">
      <formula>AND($D22="MIN",$F22="")</formula>
    </cfRule>
    <cfRule type="containsBlanks" dxfId="4062" priority="4080">
      <formula>LEN(TRIM(F22))=0</formula>
    </cfRule>
  </conditionalFormatting>
  <conditionalFormatting sqref="G22">
    <cfRule type="expression" dxfId="4061" priority="4075">
      <formula>AND(OR($D22="GD&amp;T",$D22="MAX"),$G22&lt;&gt;"")</formula>
    </cfRule>
    <cfRule type="expression" dxfId="4060" priority="4076">
      <formula>AND(OR($D22="GD&amp;T",$D22="MAX"),$G22="")</formula>
    </cfRule>
    <cfRule type="containsBlanks" dxfId="4059" priority="4077">
      <formula>LEN(TRIM(G22))=0</formula>
    </cfRule>
  </conditionalFormatting>
  <conditionalFormatting sqref="F22">
    <cfRule type="expression" dxfId="4058" priority="4072">
      <formula>AND($D22="MIN",$F22&lt;&gt;"")</formula>
    </cfRule>
    <cfRule type="expression" dxfId="4057" priority="4073">
      <formula>AND($D22="MIN",$F22="")</formula>
    </cfRule>
    <cfRule type="containsBlanks" dxfId="4056" priority="4074">
      <formula>LEN(TRIM(F22))=0</formula>
    </cfRule>
  </conditionalFormatting>
  <conditionalFormatting sqref="G22">
    <cfRule type="expression" dxfId="4055" priority="4069">
      <formula>AND(OR($D22="GD&amp;T",$D22="MAX"),$G22&lt;&gt;"")</formula>
    </cfRule>
    <cfRule type="expression" dxfId="4054" priority="4070">
      <formula>AND(OR($D22="GD&amp;T",$D22="MAX"),$G22="")</formula>
    </cfRule>
    <cfRule type="containsBlanks" dxfId="4053" priority="4071">
      <formula>LEN(TRIM(G22))=0</formula>
    </cfRule>
  </conditionalFormatting>
  <conditionalFormatting sqref="F22">
    <cfRule type="expression" dxfId="4052" priority="4066">
      <formula>AND($D22="MIN",$F22&lt;&gt;"")</formula>
    </cfRule>
    <cfRule type="expression" dxfId="4051" priority="4067">
      <formula>AND($D22="MIN",$F22="")</formula>
    </cfRule>
    <cfRule type="containsBlanks" dxfId="4050" priority="4068">
      <formula>LEN(TRIM(F22))=0</formula>
    </cfRule>
  </conditionalFormatting>
  <conditionalFormatting sqref="G22">
    <cfRule type="expression" dxfId="4049" priority="4063">
      <formula>AND(OR($D22="GD&amp;T",$D22="MAX"),$G22&lt;&gt;"")</formula>
    </cfRule>
    <cfRule type="expression" dxfId="4048" priority="4064">
      <formula>AND(OR($D22="GD&amp;T",$D22="MAX"),$G22="")</formula>
    </cfRule>
    <cfRule type="containsBlanks" dxfId="4047" priority="4065">
      <formula>LEN(TRIM(G22))=0</formula>
    </cfRule>
  </conditionalFormatting>
  <conditionalFormatting sqref="F22">
    <cfRule type="expression" dxfId="4046" priority="4060">
      <formula>AND($D22="MIN",$F22&lt;&gt;"")</formula>
    </cfRule>
    <cfRule type="expression" dxfId="4045" priority="4061">
      <formula>AND($D22="MIN",$F22="")</formula>
    </cfRule>
    <cfRule type="containsBlanks" dxfId="4044" priority="4062">
      <formula>LEN(TRIM(F22))=0</formula>
    </cfRule>
  </conditionalFormatting>
  <conditionalFormatting sqref="G22">
    <cfRule type="expression" dxfId="4043" priority="4057">
      <formula>AND(OR($D22="GD&amp;T",$D22="MAX"),$G22&lt;&gt;"")</formula>
    </cfRule>
    <cfRule type="expression" dxfId="4042" priority="4058">
      <formula>AND(OR($D22="GD&amp;T",$D22="MAX"),$G22="")</formula>
    </cfRule>
    <cfRule type="containsBlanks" dxfId="4041" priority="4059">
      <formula>LEN(TRIM(G22))=0</formula>
    </cfRule>
  </conditionalFormatting>
  <conditionalFormatting sqref="F22">
    <cfRule type="expression" dxfId="4040" priority="4054">
      <formula>AND($D22="MIN",$F22&lt;&gt;"")</formula>
    </cfRule>
    <cfRule type="expression" dxfId="4039" priority="4055">
      <formula>AND($D22="MIN",$F22="")</formula>
    </cfRule>
    <cfRule type="containsBlanks" dxfId="4038" priority="4056">
      <formula>LEN(TRIM(F22))=0</formula>
    </cfRule>
  </conditionalFormatting>
  <conditionalFormatting sqref="G22">
    <cfRule type="expression" dxfId="4037" priority="4051">
      <formula>AND(OR($D22="GD&amp;T",$D22="MAX"),$G22&lt;&gt;"")</formula>
    </cfRule>
    <cfRule type="expression" dxfId="4036" priority="4052">
      <formula>AND(OR($D22="GD&amp;T",$D22="MAX"),$G22="")</formula>
    </cfRule>
    <cfRule type="containsBlanks" dxfId="4035" priority="4053">
      <formula>LEN(TRIM(G22))=0</formula>
    </cfRule>
  </conditionalFormatting>
  <conditionalFormatting sqref="F22">
    <cfRule type="expression" dxfId="4034" priority="4048">
      <formula>AND($D22="MIN",$F22&lt;&gt;"")</formula>
    </cfRule>
    <cfRule type="expression" dxfId="4033" priority="4049">
      <formula>AND($D22="MIN",$F22="")</formula>
    </cfRule>
    <cfRule type="containsBlanks" dxfId="4032" priority="4050">
      <formula>LEN(TRIM(F22))=0</formula>
    </cfRule>
  </conditionalFormatting>
  <conditionalFormatting sqref="G22">
    <cfRule type="expression" dxfId="4031" priority="4045">
      <formula>AND(OR($D22="GD&amp;T",$D22="MAX"),$G22&lt;&gt;"")</formula>
    </cfRule>
    <cfRule type="expression" dxfId="4030" priority="4046">
      <formula>AND(OR($D22="GD&amp;T",$D22="MAX"),$G22="")</formula>
    </cfRule>
    <cfRule type="containsBlanks" dxfId="4029" priority="4047">
      <formula>LEN(TRIM(G22))=0</formula>
    </cfRule>
  </conditionalFormatting>
  <conditionalFormatting sqref="F22">
    <cfRule type="expression" dxfId="4028" priority="4042">
      <formula>AND($D22="MIN",$F22&lt;&gt;"")</formula>
    </cfRule>
    <cfRule type="expression" dxfId="4027" priority="4043">
      <formula>AND($D22="MIN",$F22="")</formula>
    </cfRule>
    <cfRule type="containsBlanks" dxfId="4026" priority="4044">
      <formula>LEN(TRIM(F22))=0</formula>
    </cfRule>
  </conditionalFormatting>
  <conditionalFormatting sqref="G22">
    <cfRule type="expression" dxfId="4025" priority="4039">
      <formula>AND(OR($D22="GD&amp;T",$D22="MAX"),$G22&lt;&gt;"")</formula>
    </cfRule>
    <cfRule type="expression" dxfId="4024" priority="4040">
      <formula>AND(OR($D22="GD&amp;T",$D22="MAX"),$G22="")</formula>
    </cfRule>
    <cfRule type="containsBlanks" dxfId="4023" priority="4041">
      <formula>LEN(TRIM(G22))=0</formula>
    </cfRule>
  </conditionalFormatting>
  <conditionalFormatting sqref="F22">
    <cfRule type="expression" dxfId="4022" priority="4036">
      <formula>AND($D22="MIN",$F22&lt;&gt;"")</formula>
    </cfRule>
    <cfRule type="expression" dxfId="4021" priority="4037">
      <formula>AND($D22="MIN",$F22="")</formula>
    </cfRule>
    <cfRule type="containsBlanks" dxfId="4020" priority="4038">
      <formula>LEN(TRIM(F22))=0</formula>
    </cfRule>
  </conditionalFormatting>
  <conditionalFormatting sqref="G22">
    <cfRule type="expression" dxfId="4019" priority="4033">
      <formula>AND(OR($D22="GD&amp;T",$D22="MAX"),$G22&lt;&gt;"")</formula>
    </cfRule>
    <cfRule type="expression" dxfId="4018" priority="4034">
      <formula>AND(OR($D22="GD&amp;T",$D22="MAX"),$G22="")</formula>
    </cfRule>
    <cfRule type="containsBlanks" dxfId="4017" priority="4035">
      <formula>LEN(TRIM(G22))=0</formula>
    </cfRule>
  </conditionalFormatting>
  <conditionalFormatting sqref="F22">
    <cfRule type="expression" dxfId="4016" priority="4030">
      <formula>AND($D22="MIN",$F22&lt;&gt;"")</formula>
    </cfRule>
    <cfRule type="expression" dxfId="4015" priority="4031">
      <formula>AND($D22="MIN",$F22="")</formula>
    </cfRule>
    <cfRule type="containsBlanks" dxfId="4014" priority="4032">
      <formula>LEN(TRIM(F22))=0</formula>
    </cfRule>
  </conditionalFormatting>
  <conditionalFormatting sqref="G22">
    <cfRule type="expression" dxfId="4013" priority="4027">
      <formula>AND(OR($D22="GD&amp;T",$D22="MAX"),$G22&lt;&gt;"")</formula>
    </cfRule>
    <cfRule type="expression" dxfId="4012" priority="4028">
      <formula>AND(OR($D22="GD&amp;T",$D22="MAX"),$G22="")</formula>
    </cfRule>
    <cfRule type="containsBlanks" dxfId="4011" priority="4029">
      <formula>LEN(TRIM(G22))=0</formula>
    </cfRule>
  </conditionalFormatting>
  <conditionalFormatting sqref="F22">
    <cfRule type="expression" dxfId="4010" priority="4024">
      <formula>AND($D22="MIN",$F22&lt;&gt;"")</formula>
    </cfRule>
    <cfRule type="expression" dxfId="4009" priority="4025">
      <formula>AND($D22="MIN",$F22="")</formula>
    </cfRule>
    <cfRule type="containsBlanks" dxfId="4008" priority="4026">
      <formula>LEN(TRIM(F22))=0</formula>
    </cfRule>
  </conditionalFormatting>
  <conditionalFormatting sqref="G22">
    <cfRule type="expression" dxfId="4007" priority="4021">
      <formula>AND(OR($D22="GD&amp;T",$D22="MAX"),$G22&lt;&gt;"")</formula>
    </cfRule>
    <cfRule type="expression" dxfId="4006" priority="4022">
      <formula>AND(OR($D22="GD&amp;T",$D22="MAX"),$G22="")</formula>
    </cfRule>
    <cfRule type="containsBlanks" dxfId="4005" priority="4023">
      <formula>LEN(TRIM(G22))=0</formula>
    </cfRule>
  </conditionalFormatting>
  <conditionalFormatting sqref="F22">
    <cfRule type="expression" dxfId="4004" priority="4018">
      <formula>AND($D22="MIN",$F22&lt;&gt;"")</formula>
    </cfRule>
    <cfRule type="expression" dxfId="4003" priority="4019">
      <formula>AND($D22="MIN",$F22="")</formula>
    </cfRule>
    <cfRule type="containsBlanks" dxfId="4002" priority="4020">
      <formula>LEN(TRIM(F22))=0</formula>
    </cfRule>
  </conditionalFormatting>
  <conditionalFormatting sqref="G22">
    <cfRule type="expression" dxfId="4001" priority="4015">
      <formula>AND(OR($D22="GD&amp;T",$D22="MAX"),$G22&lt;&gt;"")</formula>
    </cfRule>
    <cfRule type="expression" dxfId="4000" priority="4016">
      <formula>AND(OR($D22="GD&amp;T",$D22="MAX"),$G22="")</formula>
    </cfRule>
    <cfRule type="containsBlanks" dxfId="3999" priority="4017">
      <formula>LEN(TRIM(G22))=0</formula>
    </cfRule>
  </conditionalFormatting>
  <conditionalFormatting sqref="F22">
    <cfRule type="expression" dxfId="3998" priority="4012">
      <formula>AND($D22="MIN",$F22&lt;&gt;"")</formula>
    </cfRule>
    <cfRule type="expression" dxfId="3997" priority="4013">
      <formula>AND($D22="MIN",$F22="")</formula>
    </cfRule>
    <cfRule type="containsBlanks" dxfId="3996" priority="4014">
      <formula>LEN(TRIM(F22))=0</formula>
    </cfRule>
  </conditionalFormatting>
  <conditionalFormatting sqref="G22">
    <cfRule type="expression" dxfId="3995" priority="4009">
      <formula>AND(OR($D22="GD&amp;T",$D22="MAX"),$G22&lt;&gt;"")</formula>
    </cfRule>
    <cfRule type="expression" dxfId="3994" priority="4010">
      <formula>AND(OR($D22="GD&amp;T",$D22="MAX"),$G22="")</formula>
    </cfRule>
    <cfRule type="containsBlanks" dxfId="3993" priority="4011">
      <formula>LEN(TRIM(G22))=0</formula>
    </cfRule>
  </conditionalFormatting>
  <conditionalFormatting sqref="F24">
    <cfRule type="expression" dxfId="3992" priority="4006">
      <formula>AND($D24="MIN",$F24&lt;&gt;"")</formula>
    </cfRule>
    <cfRule type="expression" dxfId="3991" priority="4007">
      <formula>AND($D24="MIN",$F24="")</formula>
    </cfRule>
    <cfRule type="containsBlanks" dxfId="3990" priority="4008">
      <formula>LEN(TRIM(F24))=0</formula>
    </cfRule>
  </conditionalFormatting>
  <conditionalFormatting sqref="G24">
    <cfRule type="expression" dxfId="3989" priority="4003">
      <formula>AND(OR($D24="GD&amp;T",$D24="MAX"),$G24&lt;&gt;"")</formula>
    </cfRule>
    <cfRule type="expression" dxfId="3988" priority="4004">
      <formula>AND(OR($D24="GD&amp;T",$D24="MAX"),$G24="")</formula>
    </cfRule>
    <cfRule type="containsBlanks" dxfId="3987" priority="4005">
      <formula>LEN(TRIM(G24))=0</formula>
    </cfRule>
  </conditionalFormatting>
  <conditionalFormatting sqref="F24">
    <cfRule type="expression" dxfId="3986" priority="4000">
      <formula>AND($D24="MIN",$F24&lt;&gt;"")</formula>
    </cfRule>
    <cfRule type="expression" dxfId="3985" priority="4001">
      <formula>AND($D24="MIN",$F24="")</formula>
    </cfRule>
    <cfRule type="containsBlanks" dxfId="3984" priority="4002">
      <formula>LEN(TRIM(F24))=0</formula>
    </cfRule>
  </conditionalFormatting>
  <conditionalFormatting sqref="G24">
    <cfRule type="expression" dxfId="3983" priority="3997">
      <formula>AND(OR($D24="GD&amp;T",$D24="MAX"),$G24&lt;&gt;"")</formula>
    </cfRule>
    <cfRule type="expression" dxfId="3982" priority="3998">
      <formula>AND(OR($D24="GD&amp;T",$D24="MAX"),$G24="")</formula>
    </cfRule>
    <cfRule type="containsBlanks" dxfId="3981" priority="3999">
      <formula>LEN(TRIM(G24))=0</formula>
    </cfRule>
  </conditionalFormatting>
  <conditionalFormatting sqref="F24">
    <cfRule type="expression" dxfId="3980" priority="3994">
      <formula>AND($D24="MIN",$F24&lt;&gt;"")</formula>
    </cfRule>
    <cfRule type="expression" dxfId="3979" priority="3995">
      <formula>AND($D24="MIN",$F24="")</formula>
    </cfRule>
    <cfRule type="containsBlanks" dxfId="3978" priority="3996">
      <formula>LEN(TRIM(F24))=0</formula>
    </cfRule>
  </conditionalFormatting>
  <conditionalFormatting sqref="G24">
    <cfRule type="expression" dxfId="3977" priority="3991">
      <formula>AND(OR($D24="GD&amp;T",$D24="MAX"),$G24&lt;&gt;"")</formula>
    </cfRule>
    <cfRule type="expression" dxfId="3976" priority="3992">
      <formula>AND(OR($D24="GD&amp;T",$D24="MAX"),$G24="")</formula>
    </cfRule>
    <cfRule type="containsBlanks" dxfId="3975" priority="3993">
      <formula>LEN(TRIM(G24))=0</formula>
    </cfRule>
  </conditionalFormatting>
  <conditionalFormatting sqref="F24">
    <cfRule type="expression" dxfId="3974" priority="3988">
      <formula>AND($D24="MIN",$F24&lt;&gt;"")</formula>
    </cfRule>
    <cfRule type="expression" dxfId="3973" priority="3989">
      <formula>AND($D24="MIN",$F24="")</formula>
    </cfRule>
    <cfRule type="containsBlanks" dxfId="3972" priority="3990">
      <formula>LEN(TRIM(F24))=0</formula>
    </cfRule>
  </conditionalFormatting>
  <conditionalFormatting sqref="G24">
    <cfRule type="expression" dxfId="3971" priority="3985">
      <formula>AND(OR($D24="GD&amp;T",$D24="MAX"),$G24&lt;&gt;"")</formula>
    </cfRule>
    <cfRule type="expression" dxfId="3970" priority="3986">
      <formula>AND(OR($D24="GD&amp;T",$D24="MAX"),$G24="")</formula>
    </cfRule>
    <cfRule type="containsBlanks" dxfId="3969" priority="3987">
      <formula>LEN(TRIM(G24))=0</formula>
    </cfRule>
  </conditionalFormatting>
  <conditionalFormatting sqref="F24">
    <cfRule type="expression" dxfId="3968" priority="3982">
      <formula>AND($D24="MIN",$F24&lt;&gt;"")</formula>
    </cfRule>
    <cfRule type="expression" dxfId="3967" priority="3983">
      <formula>AND($D24="MIN",$F24="")</formula>
    </cfRule>
    <cfRule type="containsBlanks" dxfId="3966" priority="3984">
      <formula>LEN(TRIM(F24))=0</formula>
    </cfRule>
  </conditionalFormatting>
  <conditionalFormatting sqref="G24">
    <cfRule type="expression" dxfId="3965" priority="3979">
      <formula>AND(OR($D24="GD&amp;T",$D24="MAX"),$G24&lt;&gt;"")</formula>
    </cfRule>
    <cfRule type="expression" dxfId="3964" priority="3980">
      <formula>AND(OR($D24="GD&amp;T",$D24="MAX"),$G24="")</formula>
    </cfRule>
    <cfRule type="containsBlanks" dxfId="3963" priority="3981">
      <formula>LEN(TRIM(G24))=0</formula>
    </cfRule>
  </conditionalFormatting>
  <conditionalFormatting sqref="F24">
    <cfRule type="expression" dxfId="3962" priority="3976">
      <formula>AND($D24="MIN",$F24&lt;&gt;"")</formula>
    </cfRule>
    <cfRule type="expression" dxfId="3961" priority="3977">
      <formula>AND($D24="MIN",$F24="")</formula>
    </cfRule>
    <cfRule type="containsBlanks" dxfId="3960" priority="3978">
      <formula>LEN(TRIM(F24))=0</formula>
    </cfRule>
  </conditionalFormatting>
  <conditionalFormatting sqref="G24">
    <cfRule type="expression" dxfId="3959" priority="3973">
      <formula>AND(OR($D24="GD&amp;T",$D24="MAX"),$G24&lt;&gt;"")</formula>
    </cfRule>
    <cfRule type="expression" dxfId="3958" priority="3974">
      <formula>AND(OR($D24="GD&amp;T",$D24="MAX"),$G24="")</formula>
    </cfRule>
    <cfRule type="containsBlanks" dxfId="3957" priority="3975">
      <formula>LEN(TRIM(G24))=0</formula>
    </cfRule>
  </conditionalFormatting>
  <conditionalFormatting sqref="F24">
    <cfRule type="expression" dxfId="3956" priority="3970">
      <formula>AND($D24="MIN",$F24&lt;&gt;"")</formula>
    </cfRule>
    <cfRule type="expression" dxfId="3955" priority="3971">
      <formula>AND($D24="MIN",$F24="")</formula>
    </cfRule>
    <cfRule type="containsBlanks" dxfId="3954" priority="3972">
      <formula>LEN(TRIM(F24))=0</formula>
    </cfRule>
  </conditionalFormatting>
  <conditionalFormatting sqref="G24">
    <cfRule type="expression" dxfId="3953" priority="3967">
      <formula>AND(OR($D24="GD&amp;T",$D24="MAX"),$G24&lt;&gt;"")</formula>
    </cfRule>
    <cfRule type="expression" dxfId="3952" priority="3968">
      <formula>AND(OR($D24="GD&amp;T",$D24="MAX"),$G24="")</formula>
    </cfRule>
    <cfRule type="containsBlanks" dxfId="3951" priority="3969">
      <formula>LEN(TRIM(G24))=0</formula>
    </cfRule>
  </conditionalFormatting>
  <conditionalFormatting sqref="F24">
    <cfRule type="expression" dxfId="3950" priority="3964">
      <formula>AND($D24="MIN",$F24&lt;&gt;"")</formula>
    </cfRule>
    <cfRule type="expression" dxfId="3949" priority="3965">
      <formula>AND($D24="MIN",$F24="")</formula>
    </cfRule>
    <cfRule type="containsBlanks" dxfId="3948" priority="3966">
      <formula>LEN(TRIM(F24))=0</formula>
    </cfRule>
  </conditionalFormatting>
  <conditionalFormatting sqref="G24">
    <cfRule type="expression" dxfId="3947" priority="3961">
      <formula>AND(OR($D24="GD&amp;T",$D24="MAX"),$G24&lt;&gt;"")</formula>
    </cfRule>
    <cfRule type="expression" dxfId="3946" priority="3962">
      <formula>AND(OR($D24="GD&amp;T",$D24="MAX"),$G24="")</formula>
    </cfRule>
    <cfRule type="containsBlanks" dxfId="3945" priority="3963">
      <formula>LEN(TRIM(G24))=0</formula>
    </cfRule>
  </conditionalFormatting>
  <conditionalFormatting sqref="F24">
    <cfRule type="expression" dxfId="3944" priority="3958">
      <formula>AND($D24="MIN",$F24&lt;&gt;"")</formula>
    </cfRule>
    <cfRule type="expression" dxfId="3943" priority="3959">
      <formula>AND($D24="MIN",$F24="")</formula>
    </cfRule>
    <cfRule type="containsBlanks" dxfId="3942" priority="3960">
      <formula>LEN(TRIM(F24))=0</formula>
    </cfRule>
  </conditionalFormatting>
  <conditionalFormatting sqref="F24">
    <cfRule type="expression" dxfId="3941" priority="3955">
      <formula>AND($D24="MIN",$F24&lt;&gt;"")</formula>
    </cfRule>
    <cfRule type="expression" dxfId="3940" priority="3956">
      <formula>AND($D24="MIN",$F24="")</formula>
    </cfRule>
    <cfRule type="containsBlanks" dxfId="3939" priority="3957">
      <formula>LEN(TRIM(F24))=0</formula>
    </cfRule>
  </conditionalFormatting>
  <conditionalFormatting sqref="F24">
    <cfRule type="expression" dxfId="3938" priority="3952">
      <formula>AND($D24="MIN",$F24&lt;&gt;"")</formula>
    </cfRule>
    <cfRule type="expression" dxfId="3937" priority="3953">
      <formula>AND($D24="MIN",$F24="")</formula>
    </cfRule>
    <cfRule type="containsBlanks" dxfId="3936" priority="3954">
      <formula>LEN(TRIM(F24))=0</formula>
    </cfRule>
  </conditionalFormatting>
  <conditionalFormatting sqref="F24">
    <cfRule type="expression" dxfId="3935" priority="3949">
      <formula>AND($D24="MIN",$F24&lt;&gt;"")</formula>
    </cfRule>
    <cfRule type="expression" dxfId="3934" priority="3950">
      <formula>AND($D24="MIN",$F24="")</formula>
    </cfRule>
    <cfRule type="containsBlanks" dxfId="3933" priority="3951">
      <formula>LEN(TRIM(F24))=0</formula>
    </cfRule>
  </conditionalFormatting>
  <conditionalFormatting sqref="F24">
    <cfRule type="expression" dxfId="3932" priority="3946">
      <formula>AND($D24="MIN",$F24&lt;&gt;"")</formula>
    </cfRule>
    <cfRule type="expression" dxfId="3931" priority="3947">
      <formula>AND($D24="MIN",$F24="")</formula>
    </cfRule>
    <cfRule type="containsBlanks" dxfId="3930" priority="3948">
      <formula>LEN(TRIM(F24))=0</formula>
    </cfRule>
  </conditionalFormatting>
  <conditionalFormatting sqref="F25">
    <cfRule type="expression" dxfId="3929" priority="3943">
      <formula>AND($D25="MIN",$F25&lt;&gt;"")</formula>
    </cfRule>
    <cfRule type="expression" dxfId="3928" priority="3944">
      <formula>AND($D25="MIN",$F25="")</formula>
    </cfRule>
    <cfRule type="containsBlanks" dxfId="3927" priority="3945">
      <formula>LEN(TRIM(F25))=0</formula>
    </cfRule>
  </conditionalFormatting>
  <conditionalFormatting sqref="G25">
    <cfRule type="expression" dxfId="3926" priority="3940">
      <formula>AND(OR($D25="GD&amp;T",$D25="MAX"),$G25&lt;&gt;"")</formula>
    </cfRule>
    <cfRule type="expression" dxfId="3925" priority="3941">
      <formula>AND(OR($D25="GD&amp;T",$D25="MAX"),$G25="")</formula>
    </cfRule>
    <cfRule type="containsBlanks" dxfId="3924" priority="3942">
      <formula>LEN(TRIM(G25))=0</formula>
    </cfRule>
  </conditionalFormatting>
  <conditionalFormatting sqref="F25">
    <cfRule type="expression" dxfId="3923" priority="3937">
      <formula>AND($D25="MIN",$F25&lt;&gt;"")</formula>
    </cfRule>
    <cfRule type="expression" dxfId="3922" priority="3938">
      <formula>AND($D25="MIN",$F25="")</formula>
    </cfRule>
    <cfRule type="containsBlanks" dxfId="3921" priority="3939">
      <formula>LEN(TRIM(F25))=0</formula>
    </cfRule>
  </conditionalFormatting>
  <conditionalFormatting sqref="G25">
    <cfRule type="expression" dxfId="3920" priority="3934">
      <formula>AND(OR($D25="GD&amp;T",$D25="MAX"),$G25&lt;&gt;"")</formula>
    </cfRule>
    <cfRule type="expression" dxfId="3919" priority="3935">
      <formula>AND(OR($D25="GD&amp;T",$D25="MAX"),$G25="")</formula>
    </cfRule>
    <cfRule type="containsBlanks" dxfId="3918" priority="3936">
      <formula>LEN(TRIM(G25))=0</formula>
    </cfRule>
  </conditionalFormatting>
  <conditionalFormatting sqref="F25">
    <cfRule type="expression" dxfId="3917" priority="3931">
      <formula>AND($D25="MIN",$F25&lt;&gt;"")</formula>
    </cfRule>
    <cfRule type="expression" dxfId="3916" priority="3932">
      <formula>AND($D25="MIN",$F25="")</formula>
    </cfRule>
    <cfRule type="containsBlanks" dxfId="3915" priority="3933">
      <formula>LEN(TRIM(F25))=0</formula>
    </cfRule>
  </conditionalFormatting>
  <conditionalFormatting sqref="G25">
    <cfRule type="expression" dxfId="3914" priority="3928">
      <formula>AND(OR($D25="GD&amp;T",$D25="MAX"),$G25&lt;&gt;"")</formula>
    </cfRule>
    <cfRule type="expression" dxfId="3913" priority="3929">
      <formula>AND(OR($D25="GD&amp;T",$D25="MAX"),$G25="")</formula>
    </cfRule>
    <cfRule type="containsBlanks" dxfId="3912" priority="3930">
      <formula>LEN(TRIM(G25))=0</formula>
    </cfRule>
  </conditionalFormatting>
  <conditionalFormatting sqref="F25">
    <cfRule type="expression" dxfId="3911" priority="3925">
      <formula>AND($D25="MIN",$F25&lt;&gt;"")</formula>
    </cfRule>
    <cfRule type="expression" dxfId="3910" priority="3926">
      <formula>AND($D25="MIN",$F25="")</formula>
    </cfRule>
    <cfRule type="containsBlanks" dxfId="3909" priority="3927">
      <formula>LEN(TRIM(F25))=0</formula>
    </cfRule>
  </conditionalFormatting>
  <conditionalFormatting sqref="G25">
    <cfRule type="expression" dxfId="3908" priority="3922">
      <formula>AND(OR($D25="GD&amp;T",$D25="MAX"),$G25&lt;&gt;"")</formula>
    </cfRule>
    <cfRule type="expression" dxfId="3907" priority="3923">
      <formula>AND(OR($D25="GD&amp;T",$D25="MAX"),$G25="")</formula>
    </cfRule>
    <cfRule type="containsBlanks" dxfId="3906" priority="3924">
      <formula>LEN(TRIM(G25))=0</formula>
    </cfRule>
  </conditionalFormatting>
  <conditionalFormatting sqref="G25">
    <cfRule type="expression" dxfId="3905" priority="3919">
      <formula>AND(OR($D25="GD&amp;T",$D25="MAX"),$G25&lt;&gt;"")</formula>
    </cfRule>
    <cfRule type="expression" dxfId="3904" priority="3920">
      <formula>AND(OR($D25="GD&amp;T",$D25="MAX"),$G25="")</formula>
    </cfRule>
    <cfRule type="containsBlanks" dxfId="3903" priority="3921">
      <formula>LEN(TRIM(G25))=0</formula>
    </cfRule>
  </conditionalFormatting>
  <conditionalFormatting sqref="G25">
    <cfRule type="expression" dxfId="3902" priority="3916">
      <formula>AND(OR($D25="GD&amp;T",$D25="MAX"),$G25&lt;&gt;"")</formula>
    </cfRule>
    <cfRule type="expression" dxfId="3901" priority="3917">
      <formula>AND(OR($D25="GD&amp;T",$D25="MAX"),$G25="")</formula>
    </cfRule>
    <cfRule type="containsBlanks" dxfId="3900" priority="3918">
      <formula>LEN(TRIM(G25))=0</formula>
    </cfRule>
  </conditionalFormatting>
  <conditionalFormatting sqref="G25">
    <cfRule type="expression" dxfId="3899" priority="3913">
      <formula>AND(OR($D25="GD&amp;T",$D25="MAX"),$G25&lt;&gt;"")</formula>
    </cfRule>
    <cfRule type="expression" dxfId="3898" priority="3914">
      <formula>AND(OR($D25="GD&amp;T",$D25="MAX"),$G25="")</formula>
    </cfRule>
    <cfRule type="containsBlanks" dxfId="3897" priority="3915">
      <formula>LEN(TRIM(G25))=0</formula>
    </cfRule>
  </conditionalFormatting>
  <conditionalFormatting sqref="G25">
    <cfRule type="expression" dxfId="3896" priority="3910">
      <formula>AND(OR($D25="GD&amp;T",$D25="MAX"),$G25&lt;&gt;"")</formula>
    </cfRule>
    <cfRule type="expression" dxfId="3895" priority="3911">
      <formula>AND(OR($D25="GD&amp;T",$D25="MAX"),$G25="")</formula>
    </cfRule>
    <cfRule type="containsBlanks" dxfId="3894" priority="3912">
      <formula>LEN(TRIM(G25))=0</formula>
    </cfRule>
  </conditionalFormatting>
  <conditionalFormatting sqref="G25">
    <cfRule type="expression" dxfId="3893" priority="3907">
      <formula>AND(OR($D25="GD&amp;T",$D25="MAX"),$G25&lt;&gt;"")</formula>
    </cfRule>
    <cfRule type="expression" dxfId="3892" priority="3908">
      <formula>AND(OR($D25="GD&amp;T",$D25="MAX"),$G25="")</formula>
    </cfRule>
    <cfRule type="containsBlanks" dxfId="3891" priority="3909">
      <formula>LEN(TRIM(G25))=0</formula>
    </cfRule>
  </conditionalFormatting>
  <conditionalFormatting sqref="F25">
    <cfRule type="expression" dxfId="3890" priority="3904">
      <formula>AND($D25="MIN",$F25&lt;&gt;"")</formula>
    </cfRule>
    <cfRule type="expression" dxfId="3889" priority="3905">
      <formula>AND($D25="MIN",$F25="")</formula>
    </cfRule>
    <cfRule type="containsBlanks" dxfId="3888" priority="3906">
      <formula>LEN(TRIM(F25))=0</formula>
    </cfRule>
  </conditionalFormatting>
  <conditionalFormatting sqref="F25">
    <cfRule type="expression" dxfId="3887" priority="3901">
      <formula>AND($D25="MIN",$F25&lt;&gt;"")</formula>
    </cfRule>
    <cfRule type="expression" dxfId="3886" priority="3902">
      <formula>AND($D25="MIN",$F25="")</formula>
    </cfRule>
    <cfRule type="containsBlanks" dxfId="3885" priority="3903">
      <formula>LEN(TRIM(F25))=0</formula>
    </cfRule>
  </conditionalFormatting>
  <conditionalFormatting sqref="F25">
    <cfRule type="expression" dxfId="3884" priority="3898">
      <formula>AND($D25="MIN",$F25&lt;&gt;"")</formula>
    </cfRule>
    <cfRule type="expression" dxfId="3883" priority="3899">
      <formula>AND($D25="MIN",$F25="")</formula>
    </cfRule>
    <cfRule type="containsBlanks" dxfId="3882" priority="3900">
      <formula>LEN(TRIM(F25))=0</formula>
    </cfRule>
  </conditionalFormatting>
  <conditionalFormatting sqref="F25">
    <cfRule type="expression" dxfId="3881" priority="3895">
      <formula>AND($D25="MIN",$F25&lt;&gt;"")</formula>
    </cfRule>
    <cfRule type="expression" dxfId="3880" priority="3896">
      <formula>AND($D25="MIN",$F25="")</formula>
    </cfRule>
    <cfRule type="containsBlanks" dxfId="3879" priority="3897">
      <formula>LEN(TRIM(F25))=0</formula>
    </cfRule>
  </conditionalFormatting>
  <conditionalFormatting sqref="F25">
    <cfRule type="expression" dxfId="3878" priority="3892">
      <formula>AND($D25="MIN",$F25&lt;&gt;"")</formula>
    </cfRule>
    <cfRule type="expression" dxfId="3877" priority="3893">
      <formula>AND($D25="MIN",$F25="")</formula>
    </cfRule>
    <cfRule type="containsBlanks" dxfId="3876" priority="3894">
      <formula>LEN(TRIM(F25))=0</formula>
    </cfRule>
  </conditionalFormatting>
  <conditionalFormatting sqref="F25">
    <cfRule type="expression" dxfId="3875" priority="3889">
      <formula>AND($D25="MIN",$F25&lt;&gt;"")</formula>
    </cfRule>
    <cfRule type="expression" dxfId="3874" priority="3890">
      <formula>AND($D25="MIN",$F25="")</formula>
    </cfRule>
    <cfRule type="containsBlanks" dxfId="3873" priority="3891">
      <formula>LEN(TRIM(F25))=0</formula>
    </cfRule>
  </conditionalFormatting>
  <conditionalFormatting sqref="G25">
    <cfRule type="expression" dxfId="3872" priority="3886">
      <formula>AND(OR($D25="GD&amp;T",$D25="MAX"),$G25&lt;&gt;"")</formula>
    </cfRule>
    <cfRule type="expression" dxfId="3871" priority="3887">
      <formula>AND(OR($D25="GD&amp;T",$D25="MAX"),$G25="")</formula>
    </cfRule>
    <cfRule type="containsBlanks" dxfId="3870" priority="3888">
      <formula>LEN(TRIM(G25))=0</formula>
    </cfRule>
  </conditionalFormatting>
  <conditionalFormatting sqref="F25">
    <cfRule type="expression" dxfId="3869" priority="3883">
      <formula>AND($D25="MIN",$F25&lt;&gt;"")</formula>
    </cfRule>
    <cfRule type="expression" dxfId="3868" priority="3884">
      <formula>AND($D25="MIN",$F25="")</formula>
    </cfRule>
    <cfRule type="containsBlanks" dxfId="3867" priority="3885">
      <formula>LEN(TRIM(F25))=0</formula>
    </cfRule>
  </conditionalFormatting>
  <conditionalFormatting sqref="G25">
    <cfRule type="expression" dxfId="3866" priority="3880">
      <formula>AND(OR($D25="GD&amp;T",$D25="MAX"),$G25&lt;&gt;"")</formula>
    </cfRule>
    <cfRule type="expression" dxfId="3865" priority="3881">
      <formula>AND(OR($D25="GD&amp;T",$D25="MAX"),$G25="")</formula>
    </cfRule>
    <cfRule type="containsBlanks" dxfId="3864" priority="3882">
      <formula>LEN(TRIM(G25))=0</formula>
    </cfRule>
  </conditionalFormatting>
  <conditionalFormatting sqref="F25">
    <cfRule type="expression" dxfId="3863" priority="3877">
      <formula>AND($D25="MIN",$F25&lt;&gt;"")</formula>
    </cfRule>
    <cfRule type="expression" dxfId="3862" priority="3878">
      <formula>AND($D25="MIN",$F25="")</formula>
    </cfRule>
    <cfRule type="containsBlanks" dxfId="3861" priority="3879">
      <formula>LEN(TRIM(F25))=0</formula>
    </cfRule>
  </conditionalFormatting>
  <conditionalFormatting sqref="G25">
    <cfRule type="expression" dxfId="3860" priority="3874">
      <formula>AND(OR($D25="GD&amp;T",$D25="MAX"),$G25&lt;&gt;"")</formula>
    </cfRule>
    <cfRule type="expression" dxfId="3859" priority="3875">
      <formula>AND(OR($D25="GD&amp;T",$D25="MAX"),$G25="")</formula>
    </cfRule>
    <cfRule type="containsBlanks" dxfId="3858" priority="3876">
      <formula>LEN(TRIM(G25))=0</formula>
    </cfRule>
  </conditionalFormatting>
  <conditionalFormatting sqref="F25">
    <cfRule type="expression" dxfId="3857" priority="3871">
      <formula>AND($D25="MIN",$F25&lt;&gt;"")</formula>
    </cfRule>
    <cfRule type="expression" dxfId="3856" priority="3872">
      <formula>AND($D25="MIN",$F25="")</formula>
    </cfRule>
    <cfRule type="containsBlanks" dxfId="3855" priority="3873">
      <formula>LEN(TRIM(F25))=0</formula>
    </cfRule>
  </conditionalFormatting>
  <conditionalFormatting sqref="G25">
    <cfRule type="expression" dxfId="3854" priority="3868">
      <formula>AND(OR($D25="GD&amp;T",$D25="MAX"),$G25&lt;&gt;"")</formula>
    </cfRule>
    <cfRule type="expression" dxfId="3853" priority="3869">
      <formula>AND(OR($D25="GD&amp;T",$D25="MAX"),$G25="")</formula>
    </cfRule>
    <cfRule type="containsBlanks" dxfId="3852" priority="3870">
      <formula>LEN(TRIM(G25))=0</formula>
    </cfRule>
  </conditionalFormatting>
  <conditionalFormatting sqref="F25">
    <cfRule type="expression" dxfId="3851" priority="3865">
      <formula>AND($D25="MIN",$F25&lt;&gt;"")</formula>
    </cfRule>
    <cfRule type="expression" dxfId="3850" priority="3866">
      <formula>AND($D25="MIN",$F25="")</formula>
    </cfRule>
    <cfRule type="containsBlanks" dxfId="3849" priority="3867">
      <formula>LEN(TRIM(F25))=0</formula>
    </cfRule>
  </conditionalFormatting>
  <conditionalFormatting sqref="G25">
    <cfRule type="expression" dxfId="3848" priority="3862">
      <formula>AND(OR($D25="GD&amp;T",$D25="MAX"),$G25&lt;&gt;"")</formula>
    </cfRule>
    <cfRule type="expression" dxfId="3847" priority="3863">
      <formula>AND(OR($D25="GD&amp;T",$D25="MAX"),$G25="")</formula>
    </cfRule>
    <cfRule type="containsBlanks" dxfId="3846" priority="3864">
      <formula>LEN(TRIM(G25))=0</formula>
    </cfRule>
  </conditionalFormatting>
  <conditionalFormatting sqref="F25">
    <cfRule type="expression" dxfId="3845" priority="3859">
      <formula>AND($D25="MIN",$F25&lt;&gt;"")</formula>
    </cfRule>
    <cfRule type="expression" dxfId="3844" priority="3860">
      <formula>AND($D25="MIN",$F25="")</formula>
    </cfRule>
    <cfRule type="containsBlanks" dxfId="3843" priority="3861">
      <formula>LEN(TRIM(F25))=0</formula>
    </cfRule>
  </conditionalFormatting>
  <conditionalFormatting sqref="G25">
    <cfRule type="expression" dxfId="3842" priority="3856">
      <formula>AND(OR($D25="GD&amp;T",$D25="MAX"),$G25&lt;&gt;"")</formula>
    </cfRule>
    <cfRule type="expression" dxfId="3841" priority="3857">
      <formula>AND(OR($D25="GD&amp;T",$D25="MAX"),$G25="")</formula>
    </cfRule>
    <cfRule type="containsBlanks" dxfId="3840" priority="3858">
      <formula>LEN(TRIM(G25))=0</formula>
    </cfRule>
  </conditionalFormatting>
  <conditionalFormatting sqref="F25">
    <cfRule type="expression" dxfId="3839" priority="3853">
      <formula>AND($D25="MIN",$F25&lt;&gt;"")</formula>
    </cfRule>
    <cfRule type="expression" dxfId="3838" priority="3854">
      <formula>AND($D25="MIN",$F25="")</formula>
    </cfRule>
    <cfRule type="containsBlanks" dxfId="3837" priority="3855">
      <formula>LEN(TRIM(F25))=0</formula>
    </cfRule>
  </conditionalFormatting>
  <conditionalFormatting sqref="G25">
    <cfRule type="expression" dxfId="3836" priority="3850">
      <formula>AND(OR($D25="GD&amp;T",$D25="MAX"),$G25&lt;&gt;"")</formula>
    </cfRule>
    <cfRule type="expression" dxfId="3835" priority="3851">
      <formula>AND(OR($D25="GD&amp;T",$D25="MAX"),$G25="")</formula>
    </cfRule>
    <cfRule type="containsBlanks" dxfId="3834" priority="3852">
      <formula>LEN(TRIM(G25))=0</formula>
    </cfRule>
  </conditionalFormatting>
  <conditionalFormatting sqref="F25">
    <cfRule type="expression" dxfId="3833" priority="3847">
      <formula>AND($D25="MIN",$F25&lt;&gt;"")</formula>
    </cfRule>
    <cfRule type="expression" dxfId="3832" priority="3848">
      <formula>AND($D25="MIN",$F25="")</formula>
    </cfRule>
    <cfRule type="containsBlanks" dxfId="3831" priority="3849">
      <formula>LEN(TRIM(F25))=0</formula>
    </cfRule>
  </conditionalFormatting>
  <conditionalFormatting sqref="G25">
    <cfRule type="expression" dxfId="3830" priority="3844">
      <formula>AND(OR($D25="GD&amp;T",$D25="MAX"),$G25&lt;&gt;"")</formula>
    </cfRule>
    <cfRule type="expression" dxfId="3829" priority="3845">
      <formula>AND(OR($D25="GD&amp;T",$D25="MAX"),$G25="")</formula>
    </cfRule>
    <cfRule type="containsBlanks" dxfId="3828" priority="3846">
      <formula>LEN(TRIM(G25))=0</formula>
    </cfRule>
  </conditionalFormatting>
  <conditionalFormatting sqref="F25">
    <cfRule type="expression" dxfId="3827" priority="3841">
      <formula>AND($D25="MIN",$F25&lt;&gt;"")</formula>
    </cfRule>
    <cfRule type="expression" dxfId="3826" priority="3842">
      <formula>AND($D25="MIN",$F25="")</formula>
    </cfRule>
    <cfRule type="containsBlanks" dxfId="3825" priority="3843">
      <formula>LEN(TRIM(F25))=0</formula>
    </cfRule>
  </conditionalFormatting>
  <conditionalFormatting sqref="F25">
    <cfRule type="expression" dxfId="3824" priority="3838">
      <formula>AND($D25="MIN",$F25&lt;&gt;"")</formula>
    </cfRule>
    <cfRule type="expression" dxfId="3823" priority="3839">
      <formula>AND($D25="MIN",$F25="")</formula>
    </cfRule>
    <cfRule type="containsBlanks" dxfId="3822" priority="3840">
      <formula>LEN(TRIM(F25))=0</formula>
    </cfRule>
  </conditionalFormatting>
  <conditionalFormatting sqref="F25">
    <cfRule type="expression" dxfId="3821" priority="3835">
      <formula>AND($D25="MIN",$F25&lt;&gt;"")</formula>
    </cfRule>
    <cfRule type="expression" dxfId="3820" priority="3836">
      <formula>AND($D25="MIN",$F25="")</formula>
    </cfRule>
    <cfRule type="containsBlanks" dxfId="3819" priority="3837">
      <formula>LEN(TRIM(F25))=0</formula>
    </cfRule>
  </conditionalFormatting>
  <conditionalFormatting sqref="F25">
    <cfRule type="expression" dxfId="3818" priority="3832">
      <formula>AND($D25="MIN",$F25&lt;&gt;"")</formula>
    </cfRule>
    <cfRule type="expression" dxfId="3817" priority="3833">
      <formula>AND($D25="MIN",$F25="")</formula>
    </cfRule>
    <cfRule type="containsBlanks" dxfId="3816" priority="3834">
      <formula>LEN(TRIM(F25))=0</formula>
    </cfRule>
  </conditionalFormatting>
  <conditionalFormatting sqref="F25">
    <cfRule type="expression" dxfId="3815" priority="3829">
      <formula>AND($D25="MIN",$F25&lt;&gt;"")</formula>
    </cfRule>
    <cfRule type="expression" dxfId="3814" priority="3830">
      <formula>AND($D25="MIN",$F25="")</formula>
    </cfRule>
    <cfRule type="containsBlanks" dxfId="3813" priority="3831">
      <formula>LEN(TRIM(F25))=0</formula>
    </cfRule>
  </conditionalFormatting>
  <conditionalFormatting sqref="E26">
    <cfRule type="expression" dxfId="3812" priority="3826">
      <formula>AND($D26&lt;&gt;"Tolerance",$E26&lt;&gt;"")</formula>
    </cfRule>
    <cfRule type="expression" dxfId="3811" priority="3827">
      <formula>AND(OR($D26="GD&amp;T",$D26="MAX",$D26="MIN"),$E26="")</formula>
    </cfRule>
    <cfRule type="containsBlanks" dxfId="3810" priority="3828">
      <formula>LEN(TRIM(E26))=0</formula>
    </cfRule>
  </conditionalFormatting>
  <conditionalFormatting sqref="F26">
    <cfRule type="expression" dxfId="3809" priority="3823">
      <formula>AND($D26="MIN",$F26&lt;&gt;"")</formula>
    </cfRule>
    <cfRule type="expression" dxfId="3808" priority="3824">
      <formula>AND($D26="MIN",$F26="")</formula>
    </cfRule>
    <cfRule type="containsBlanks" dxfId="3807" priority="3825">
      <formula>LEN(TRIM(F26))=0</formula>
    </cfRule>
  </conditionalFormatting>
  <conditionalFormatting sqref="G26">
    <cfRule type="expression" dxfId="3806" priority="3820">
      <formula>AND(OR($D26="GD&amp;T",$D26="MAX"),$G26&lt;&gt;"")</formula>
    </cfRule>
    <cfRule type="expression" dxfId="3805" priority="3821">
      <formula>AND(OR($D26="GD&amp;T",$D26="MAX"),$G26="")</formula>
    </cfRule>
    <cfRule type="containsBlanks" dxfId="3804" priority="3822">
      <formula>LEN(TRIM(G26))=0</formula>
    </cfRule>
  </conditionalFormatting>
  <conditionalFormatting sqref="F26">
    <cfRule type="expression" dxfId="3803" priority="3817">
      <formula>AND($D26="MIN",$F26&lt;&gt;"")</formula>
    </cfRule>
    <cfRule type="expression" dxfId="3802" priority="3818">
      <formula>AND($D26="MIN",$F26="")</formula>
    </cfRule>
    <cfRule type="containsBlanks" dxfId="3801" priority="3819">
      <formula>LEN(TRIM(F26))=0</formula>
    </cfRule>
  </conditionalFormatting>
  <conditionalFormatting sqref="G26">
    <cfRule type="expression" dxfId="3800" priority="3814">
      <formula>AND(OR($D26="GD&amp;T",$D26="MAX"),$G26&lt;&gt;"")</formula>
    </cfRule>
    <cfRule type="expression" dxfId="3799" priority="3815">
      <formula>AND(OR($D26="GD&amp;T",$D26="MAX"),$G26="")</formula>
    </cfRule>
    <cfRule type="containsBlanks" dxfId="3798" priority="3816">
      <formula>LEN(TRIM(G26))=0</formula>
    </cfRule>
  </conditionalFormatting>
  <conditionalFormatting sqref="F26">
    <cfRule type="expression" dxfId="3797" priority="3811">
      <formula>AND($D26="MIN",$F26&lt;&gt;"")</formula>
    </cfRule>
    <cfRule type="expression" dxfId="3796" priority="3812">
      <formula>AND($D26="MIN",$F26="")</formula>
    </cfRule>
    <cfRule type="containsBlanks" dxfId="3795" priority="3813">
      <formula>LEN(TRIM(F26))=0</formula>
    </cfRule>
  </conditionalFormatting>
  <conditionalFormatting sqref="G26">
    <cfRule type="expression" dxfId="3794" priority="3808">
      <formula>AND(OR($D26="GD&amp;T",$D26="MAX"),$G26&lt;&gt;"")</formula>
    </cfRule>
    <cfRule type="expression" dxfId="3793" priority="3809">
      <formula>AND(OR($D26="GD&amp;T",$D26="MAX"),$G26="")</formula>
    </cfRule>
    <cfRule type="containsBlanks" dxfId="3792" priority="3810">
      <formula>LEN(TRIM(G26))=0</formula>
    </cfRule>
  </conditionalFormatting>
  <conditionalFormatting sqref="F26">
    <cfRule type="expression" dxfId="3791" priority="3805">
      <formula>AND($D26="MIN",$F26&lt;&gt;"")</formula>
    </cfRule>
    <cfRule type="expression" dxfId="3790" priority="3806">
      <formula>AND($D26="MIN",$F26="")</formula>
    </cfRule>
    <cfRule type="containsBlanks" dxfId="3789" priority="3807">
      <formula>LEN(TRIM(F26))=0</formula>
    </cfRule>
  </conditionalFormatting>
  <conditionalFormatting sqref="G26">
    <cfRule type="expression" dxfId="3788" priority="3802">
      <formula>AND(OR($D26="GD&amp;T",$D26="MAX"),$G26&lt;&gt;"")</formula>
    </cfRule>
    <cfRule type="expression" dxfId="3787" priority="3803">
      <formula>AND(OR($D26="GD&amp;T",$D26="MAX"),$G26="")</formula>
    </cfRule>
    <cfRule type="containsBlanks" dxfId="3786" priority="3804">
      <formula>LEN(TRIM(G26))=0</formula>
    </cfRule>
  </conditionalFormatting>
  <conditionalFormatting sqref="F26">
    <cfRule type="expression" dxfId="3785" priority="3799">
      <formula>AND($D26="MIN",$F26&lt;&gt;"")</formula>
    </cfRule>
    <cfRule type="expression" dxfId="3784" priority="3800">
      <formula>AND($D26="MIN",$F26="")</formula>
    </cfRule>
    <cfRule type="containsBlanks" dxfId="3783" priority="3801">
      <formula>LEN(TRIM(F26))=0</formula>
    </cfRule>
  </conditionalFormatting>
  <conditionalFormatting sqref="G26">
    <cfRule type="expression" dxfId="3782" priority="3796">
      <formula>AND(OR($D26="GD&amp;T",$D26="MAX"),$G26&lt;&gt;"")</formula>
    </cfRule>
    <cfRule type="expression" dxfId="3781" priority="3797">
      <formula>AND(OR($D26="GD&amp;T",$D26="MAX"),$G26="")</formula>
    </cfRule>
    <cfRule type="containsBlanks" dxfId="3780" priority="3798">
      <formula>LEN(TRIM(G26))=0</formula>
    </cfRule>
  </conditionalFormatting>
  <conditionalFormatting sqref="F26">
    <cfRule type="expression" dxfId="3779" priority="3793">
      <formula>AND($D26="MIN",$F26&lt;&gt;"")</formula>
    </cfRule>
    <cfRule type="expression" dxfId="3778" priority="3794">
      <formula>AND($D26="MIN",$F26="")</formula>
    </cfRule>
    <cfRule type="containsBlanks" dxfId="3777" priority="3795">
      <formula>LEN(TRIM(F26))=0</formula>
    </cfRule>
  </conditionalFormatting>
  <conditionalFormatting sqref="G26">
    <cfRule type="expression" dxfId="3776" priority="3790">
      <formula>AND(OR($D26="GD&amp;T",$D26="MAX"),$G26&lt;&gt;"")</formula>
    </cfRule>
    <cfRule type="expression" dxfId="3775" priority="3791">
      <formula>AND(OR($D26="GD&amp;T",$D26="MAX"),$G26="")</formula>
    </cfRule>
    <cfRule type="containsBlanks" dxfId="3774" priority="3792">
      <formula>LEN(TRIM(G26))=0</formula>
    </cfRule>
  </conditionalFormatting>
  <conditionalFormatting sqref="F26">
    <cfRule type="expression" dxfId="3773" priority="3787">
      <formula>AND($D26="MIN",$F26&lt;&gt;"")</formula>
    </cfRule>
    <cfRule type="expression" dxfId="3772" priority="3788">
      <formula>AND($D26="MIN",$F26="")</formula>
    </cfRule>
    <cfRule type="containsBlanks" dxfId="3771" priority="3789">
      <formula>LEN(TRIM(F26))=0</formula>
    </cfRule>
  </conditionalFormatting>
  <conditionalFormatting sqref="G26">
    <cfRule type="expression" dxfId="3770" priority="3784">
      <formula>AND(OR($D26="GD&amp;T",$D26="MAX"),$G26&lt;&gt;"")</formula>
    </cfRule>
    <cfRule type="expression" dxfId="3769" priority="3785">
      <formula>AND(OR($D26="GD&amp;T",$D26="MAX"),$G26="")</formula>
    </cfRule>
    <cfRule type="containsBlanks" dxfId="3768" priority="3786">
      <formula>LEN(TRIM(G26))=0</formula>
    </cfRule>
  </conditionalFormatting>
  <conditionalFormatting sqref="F26">
    <cfRule type="expression" dxfId="3767" priority="3781">
      <formula>AND($D26="MIN",$F26&lt;&gt;"")</formula>
    </cfRule>
    <cfRule type="expression" dxfId="3766" priority="3782">
      <formula>AND($D26="MIN",$F26="")</formula>
    </cfRule>
    <cfRule type="containsBlanks" dxfId="3765" priority="3783">
      <formula>LEN(TRIM(F26))=0</formula>
    </cfRule>
  </conditionalFormatting>
  <conditionalFormatting sqref="G26">
    <cfRule type="expression" dxfId="3764" priority="3778">
      <formula>AND(OR($D26="GD&amp;T",$D26="MAX"),$G26&lt;&gt;"")</formula>
    </cfRule>
    <cfRule type="expression" dxfId="3763" priority="3779">
      <formula>AND(OR($D26="GD&amp;T",$D26="MAX"),$G26="")</formula>
    </cfRule>
    <cfRule type="containsBlanks" dxfId="3762" priority="3780">
      <formula>LEN(TRIM(G26))=0</formula>
    </cfRule>
  </conditionalFormatting>
  <conditionalFormatting sqref="F26">
    <cfRule type="expression" dxfId="3761" priority="3775">
      <formula>AND($D26="MIN",$F26&lt;&gt;"")</formula>
    </cfRule>
    <cfRule type="expression" dxfId="3760" priority="3776">
      <formula>AND($D26="MIN",$F26="")</formula>
    </cfRule>
    <cfRule type="containsBlanks" dxfId="3759" priority="3777">
      <formula>LEN(TRIM(F26))=0</formula>
    </cfRule>
  </conditionalFormatting>
  <conditionalFormatting sqref="F26">
    <cfRule type="expression" dxfId="3758" priority="3772">
      <formula>AND($D26="MIN",$F26&lt;&gt;"")</formula>
    </cfRule>
    <cfRule type="expression" dxfId="3757" priority="3773">
      <formula>AND($D26="MIN",$F26="")</formula>
    </cfRule>
    <cfRule type="containsBlanks" dxfId="3756" priority="3774">
      <formula>LEN(TRIM(F26))=0</formula>
    </cfRule>
  </conditionalFormatting>
  <conditionalFormatting sqref="F26">
    <cfRule type="expression" dxfId="3755" priority="3769">
      <formula>AND($D26="MIN",$F26&lt;&gt;"")</formula>
    </cfRule>
    <cfRule type="expression" dxfId="3754" priority="3770">
      <formula>AND($D26="MIN",$F26="")</formula>
    </cfRule>
    <cfRule type="containsBlanks" dxfId="3753" priority="3771">
      <formula>LEN(TRIM(F26))=0</formula>
    </cfRule>
  </conditionalFormatting>
  <conditionalFormatting sqref="F26">
    <cfRule type="expression" dxfId="3752" priority="3766">
      <formula>AND($D26="MIN",$F26&lt;&gt;"")</formula>
    </cfRule>
    <cfRule type="expression" dxfId="3751" priority="3767">
      <formula>AND($D26="MIN",$F26="")</formula>
    </cfRule>
    <cfRule type="containsBlanks" dxfId="3750" priority="3768">
      <formula>LEN(TRIM(F26))=0</formula>
    </cfRule>
  </conditionalFormatting>
  <conditionalFormatting sqref="F26">
    <cfRule type="expression" dxfId="3749" priority="3763">
      <formula>AND($D26="MIN",$F26&lt;&gt;"")</formula>
    </cfRule>
    <cfRule type="expression" dxfId="3748" priority="3764">
      <formula>AND($D26="MIN",$F26="")</formula>
    </cfRule>
    <cfRule type="containsBlanks" dxfId="3747" priority="3765">
      <formula>LEN(TRIM(F26))=0</formula>
    </cfRule>
  </conditionalFormatting>
  <conditionalFormatting sqref="F26">
    <cfRule type="expression" dxfId="3746" priority="3760">
      <formula>AND($D26="MIN",$F26&lt;&gt;"")</formula>
    </cfRule>
    <cfRule type="expression" dxfId="3745" priority="3761">
      <formula>AND($D26="MIN",$F26="")</formula>
    </cfRule>
    <cfRule type="containsBlanks" dxfId="3744" priority="3762">
      <formula>LEN(TRIM(F26))=0</formula>
    </cfRule>
  </conditionalFormatting>
  <conditionalFormatting sqref="G26">
    <cfRule type="expression" dxfId="3743" priority="3757">
      <formula>AND(OR($D26="GD&amp;T",$D26="MAX"),$G26&lt;&gt;"")</formula>
    </cfRule>
    <cfRule type="expression" dxfId="3742" priority="3758">
      <formula>AND(OR($D26="GD&amp;T",$D26="MAX"),$G26="")</formula>
    </cfRule>
    <cfRule type="containsBlanks" dxfId="3741" priority="3759">
      <formula>LEN(TRIM(G26))=0</formula>
    </cfRule>
  </conditionalFormatting>
  <conditionalFormatting sqref="F26">
    <cfRule type="expression" dxfId="3740" priority="3754">
      <formula>AND($D26="MIN",$F26&lt;&gt;"")</formula>
    </cfRule>
    <cfRule type="expression" dxfId="3739" priority="3755">
      <formula>AND($D26="MIN",$F26="")</formula>
    </cfRule>
    <cfRule type="containsBlanks" dxfId="3738" priority="3756">
      <formula>LEN(TRIM(F26))=0</formula>
    </cfRule>
  </conditionalFormatting>
  <conditionalFormatting sqref="G26">
    <cfRule type="expression" dxfId="3737" priority="3751">
      <formula>AND(OR($D26="GD&amp;T",$D26="MAX"),$G26&lt;&gt;"")</formula>
    </cfRule>
    <cfRule type="expression" dxfId="3736" priority="3752">
      <formula>AND(OR($D26="GD&amp;T",$D26="MAX"),$G26="")</formula>
    </cfRule>
    <cfRule type="containsBlanks" dxfId="3735" priority="3753">
      <formula>LEN(TRIM(G26))=0</formula>
    </cfRule>
  </conditionalFormatting>
  <conditionalFormatting sqref="F26">
    <cfRule type="expression" dxfId="3734" priority="3748">
      <formula>AND($D26="MIN",$F26&lt;&gt;"")</formula>
    </cfRule>
    <cfRule type="expression" dxfId="3733" priority="3749">
      <formula>AND($D26="MIN",$F26="")</formula>
    </cfRule>
    <cfRule type="containsBlanks" dxfId="3732" priority="3750">
      <formula>LEN(TRIM(F26))=0</formula>
    </cfRule>
  </conditionalFormatting>
  <conditionalFormatting sqref="G26">
    <cfRule type="expression" dxfId="3731" priority="3745">
      <formula>AND(OR($D26="GD&amp;T",$D26="MAX"),$G26&lt;&gt;"")</formula>
    </cfRule>
    <cfRule type="expression" dxfId="3730" priority="3746">
      <formula>AND(OR($D26="GD&amp;T",$D26="MAX"),$G26="")</formula>
    </cfRule>
    <cfRule type="containsBlanks" dxfId="3729" priority="3747">
      <formula>LEN(TRIM(G26))=0</formula>
    </cfRule>
  </conditionalFormatting>
  <conditionalFormatting sqref="F26">
    <cfRule type="expression" dxfId="3728" priority="3742">
      <formula>AND($D26="MIN",$F26&lt;&gt;"")</formula>
    </cfRule>
    <cfRule type="expression" dxfId="3727" priority="3743">
      <formula>AND($D26="MIN",$F26="")</formula>
    </cfRule>
    <cfRule type="containsBlanks" dxfId="3726" priority="3744">
      <formula>LEN(TRIM(F26))=0</formula>
    </cfRule>
  </conditionalFormatting>
  <conditionalFormatting sqref="G26">
    <cfRule type="expression" dxfId="3725" priority="3739">
      <formula>AND(OR($D26="GD&amp;T",$D26="MAX"),$G26&lt;&gt;"")</formula>
    </cfRule>
    <cfRule type="expression" dxfId="3724" priority="3740">
      <formula>AND(OR($D26="GD&amp;T",$D26="MAX"),$G26="")</formula>
    </cfRule>
    <cfRule type="containsBlanks" dxfId="3723" priority="3741">
      <formula>LEN(TRIM(G26))=0</formula>
    </cfRule>
  </conditionalFormatting>
  <conditionalFormatting sqref="G26">
    <cfRule type="expression" dxfId="3722" priority="3736">
      <formula>AND(OR($D26="GD&amp;T",$D26="MAX"),$G26&lt;&gt;"")</formula>
    </cfRule>
    <cfRule type="expression" dxfId="3721" priority="3737">
      <formula>AND(OR($D26="GD&amp;T",$D26="MAX"),$G26="")</formula>
    </cfRule>
    <cfRule type="containsBlanks" dxfId="3720" priority="3738">
      <formula>LEN(TRIM(G26))=0</formula>
    </cfRule>
  </conditionalFormatting>
  <conditionalFormatting sqref="G26">
    <cfRule type="expression" dxfId="3719" priority="3733">
      <formula>AND(OR($D26="GD&amp;T",$D26="MAX"),$G26&lt;&gt;"")</formula>
    </cfRule>
    <cfRule type="expression" dxfId="3718" priority="3734">
      <formula>AND(OR($D26="GD&amp;T",$D26="MAX"),$G26="")</formula>
    </cfRule>
    <cfRule type="containsBlanks" dxfId="3717" priority="3735">
      <formula>LEN(TRIM(G26))=0</formula>
    </cfRule>
  </conditionalFormatting>
  <conditionalFormatting sqref="G26">
    <cfRule type="expression" dxfId="3716" priority="3730">
      <formula>AND(OR($D26="GD&amp;T",$D26="MAX"),$G26&lt;&gt;"")</formula>
    </cfRule>
    <cfRule type="expression" dxfId="3715" priority="3731">
      <formula>AND(OR($D26="GD&amp;T",$D26="MAX"),$G26="")</formula>
    </cfRule>
    <cfRule type="containsBlanks" dxfId="3714" priority="3732">
      <formula>LEN(TRIM(G26))=0</formula>
    </cfRule>
  </conditionalFormatting>
  <conditionalFormatting sqref="G26">
    <cfRule type="expression" dxfId="3713" priority="3727">
      <formula>AND(OR($D26="GD&amp;T",$D26="MAX"),$G26&lt;&gt;"")</formula>
    </cfRule>
    <cfRule type="expression" dxfId="3712" priority="3728">
      <formula>AND(OR($D26="GD&amp;T",$D26="MAX"),$G26="")</formula>
    </cfRule>
    <cfRule type="containsBlanks" dxfId="3711" priority="3729">
      <formula>LEN(TRIM(G26))=0</formula>
    </cfRule>
  </conditionalFormatting>
  <conditionalFormatting sqref="G26">
    <cfRule type="expression" dxfId="3710" priority="3724">
      <formula>AND(OR($D26="GD&amp;T",$D26="MAX"),$G26&lt;&gt;"")</formula>
    </cfRule>
    <cfRule type="expression" dxfId="3709" priority="3725">
      <formula>AND(OR($D26="GD&amp;T",$D26="MAX"),$G26="")</formula>
    </cfRule>
    <cfRule type="containsBlanks" dxfId="3708" priority="3726">
      <formula>LEN(TRIM(G26))=0</formula>
    </cfRule>
  </conditionalFormatting>
  <conditionalFormatting sqref="F26">
    <cfRule type="expression" dxfId="3707" priority="3721">
      <formula>AND($D26="MIN",$F26&lt;&gt;"")</formula>
    </cfRule>
    <cfRule type="expression" dxfId="3706" priority="3722">
      <formula>AND($D26="MIN",$F26="")</formula>
    </cfRule>
    <cfRule type="containsBlanks" dxfId="3705" priority="3723">
      <formula>LEN(TRIM(F26))=0</formula>
    </cfRule>
  </conditionalFormatting>
  <conditionalFormatting sqref="F26">
    <cfRule type="expression" dxfId="3704" priority="3718">
      <formula>AND($D26="MIN",$F26&lt;&gt;"")</formula>
    </cfRule>
    <cfRule type="expression" dxfId="3703" priority="3719">
      <formula>AND($D26="MIN",$F26="")</formula>
    </cfRule>
    <cfRule type="containsBlanks" dxfId="3702" priority="3720">
      <formula>LEN(TRIM(F26))=0</formula>
    </cfRule>
  </conditionalFormatting>
  <conditionalFormatting sqref="F26">
    <cfRule type="expression" dxfId="3701" priority="3715">
      <formula>AND($D26="MIN",$F26&lt;&gt;"")</formula>
    </cfRule>
    <cfRule type="expression" dxfId="3700" priority="3716">
      <formula>AND($D26="MIN",$F26="")</formula>
    </cfRule>
    <cfRule type="containsBlanks" dxfId="3699" priority="3717">
      <formula>LEN(TRIM(F26))=0</formula>
    </cfRule>
  </conditionalFormatting>
  <conditionalFormatting sqref="F26">
    <cfRule type="expression" dxfId="3698" priority="3712">
      <formula>AND($D26="MIN",$F26&lt;&gt;"")</formula>
    </cfRule>
    <cfRule type="expression" dxfId="3697" priority="3713">
      <formula>AND($D26="MIN",$F26="")</formula>
    </cfRule>
    <cfRule type="containsBlanks" dxfId="3696" priority="3714">
      <formula>LEN(TRIM(F26))=0</formula>
    </cfRule>
  </conditionalFormatting>
  <conditionalFormatting sqref="F26">
    <cfRule type="expression" dxfId="3695" priority="3709">
      <formula>AND($D26="MIN",$F26&lt;&gt;"")</formula>
    </cfRule>
    <cfRule type="expression" dxfId="3694" priority="3710">
      <formula>AND($D26="MIN",$F26="")</formula>
    </cfRule>
    <cfRule type="containsBlanks" dxfId="3693" priority="3711">
      <formula>LEN(TRIM(F26))=0</formula>
    </cfRule>
  </conditionalFormatting>
  <conditionalFormatting sqref="F26">
    <cfRule type="expression" dxfId="3692" priority="3706">
      <formula>AND($D26="MIN",$F26&lt;&gt;"")</formula>
    </cfRule>
    <cfRule type="expression" dxfId="3691" priority="3707">
      <formula>AND($D26="MIN",$F26="")</formula>
    </cfRule>
    <cfRule type="containsBlanks" dxfId="3690" priority="3708">
      <formula>LEN(TRIM(F26))=0</formula>
    </cfRule>
  </conditionalFormatting>
  <conditionalFormatting sqref="G26">
    <cfRule type="expression" dxfId="3689" priority="3703">
      <formula>AND(OR($D26="GD&amp;T",$D26="MAX"),$G26&lt;&gt;"")</formula>
    </cfRule>
    <cfRule type="expression" dxfId="3688" priority="3704">
      <formula>AND(OR($D26="GD&amp;T",$D26="MAX"),$G26="")</formula>
    </cfRule>
    <cfRule type="containsBlanks" dxfId="3687" priority="3705">
      <formula>LEN(TRIM(G26))=0</formula>
    </cfRule>
  </conditionalFormatting>
  <conditionalFormatting sqref="F26">
    <cfRule type="expression" dxfId="3686" priority="3700">
      <formula>AND($D26="MIN",$F26&lt;&gt;"")</formula>
    </cfRule>
    <cfRule type="expression" dxfId="3685" priority="3701">
      <formula>AND($D26="MIN",$F26="")</formula>
    </cfRule>
    <cfRule type="containsBlanks" dxfId="3684" priority="3702">
      <formula>LEN(TRIM(F26))=0</formula>
    </cfRule>
  </conditionalFormatting>
  <conditionalFormatting sqref="G26">
    <cfRule type="expression" dxfId="3683" priority="3697">
      <formula>AND(OR($D26="GD&amp;T",$D26="MAX"),$G26&lt;&gt;"")</formula>
    </cfRule>
    <cfRule type="expression" dxfId="3682" priority="3698">
      <formula>AND(OR($D26="GD&amp;T",$D26="MAX"),$G26="")</formula>
    </cfRule>
    <cfRule type="containsBlanks" dxfId="3681" priority="3699">
      <formula>LEN(TRIM(G26))=0</formula>
    </cfRule>
  </conditionalFormatting>
  <conditionalFormatting sqref="F26">
    <cfRule type="expression" dxfId="3680" priority="3694">
      <formula>AND($D26="MIN",$F26&lt;&gt;"")</formula>
    </cfRule>
    <cfRule type="expression" dxfId="3679" priority="3695">
      <formula>AND($D26="MIN",$F26="")</formula>
    </cfRule>
    <cfRule type="containsBlanks" dxfId="3678" priority="3696">
      <formula>LEN(TRIM(F26))=0</formula>
    </cfRule>
  </conditionalFormatting>
  <conditionalFormatting sqref="G26">
    <cfRule type="expression" dxfId="3677" priority="3691">
      <formula>AND(OR($D26="GD&amp;T",$D26="MAX"),$G26&lt;&gt;"")</formula>
    </cfRule>
    <cfRule type="expression" dxfId="3676" priority="3692">
      <formula>AND(OR($D26="GD&amp;T",$D26="MAX"),$G26="")</formula>
    </cfRule>
    <cfRule type="containsBlanks" dxfId="3675" priority="3693">
      <formula>LEN(TRIM(G26))=0</formula>
    </cfRule>
  </conditionalFormatting>
  <conditionalFormatting sqref="F26">
    <cfRule type="expression" dxfId="3674" priority="3688">
      <formula>AND($D26="MIN",$F26&lt;&gt;"")</formula>
    </cfRule>
    <cfRule type="expression" dxfId="3673" priority="3689">
      <formula>AND($D26="MIN",$F26="")</formula>
    </cfRule>
    <cfRule type="containsBlanks" dxfId="3672" priority="3690">
      <formula>LEN(TRIM(F26))=0</formula>
    </cfRule>
  </conditionalFormatting>
  <conditionalFormatting sqref="G26">
    <cfRule type="expression" dxfId="3671" priority="3685">
      <formula>AND(OR($D26="GD&amp;T",$D26="MAX"),$G26&lt;&gt;"")</formula>
    </cfRule>
    <cfRule type="expression" dxfId="3670" priority="3686">
      <formula>AND(OR($D26="GD&amp;T",$D26="MAX"),$G26="")</formula>
    </cfRule>
    <cfRule type="containsBlanks" dxfId="3669" priority="3687">
      <formula>LEN(TRIM(G26))=0</formula>
    </cfRule>
  </conditionalFormatting>
  <conditionalFormatting sqref="F26">
    <cfRule type="expression" dxfId="3668" priority="3682">
      <formula>AND($D26="MIN",$F26&lt;&gt;"")</formula>
    </cfRule>
    <cfRule type="expression" dxfId="3667" priority="3683">
      <formula>AND($D26="MIN",$F26="")</formula>
    </cfRule>
    <cfRule type="containsBlanks" dxfId="3666" priority="3684">
      <formula>LEN(TRIM(F26))=0</formula>
    </cfRule>
  </conditionalFormatting>
  <conditionalFormatting sqref="G26">
    <cfRule type="expression" dxfId="3665" priority="3679">
      <formula>AND(OR($D26="GD&amp;T",$D26="MAX"),$G26&lt;&gt;"")</formula>
    </cfRule>
    <cfRule type="expression" dxfId="3664" priority="3680">
      <formula>AND(OR($D26="GD&amp;T",$D26="MAX"),$G26="")</formula>
    </cfRule>
    <cfRule type="containsBlanks" dxfId="3663" priority="3681">
      <formula>LEN(TRIM(G26))=0</formula>
    </cfRule>
  </conditionalFormatting>
  <conditionalFormatting sqref="F26">
    <cfRule type="expression" dxfId="3662" priority="3676">
      <formula>AND($D26="MIN",$F26&lt;&gt;"")</formula>
    </cfRule>
    <cfRule type="expression" dxfId="3661" priority="3677">
      <formula>AND($D26="MIN",$F26="")</formula>
    </cfRule>
    <cfRule type="containsBlanks" dxfId="3660" priority="3678">
      <formula>LEN(TRIM(F26))=0</formula>
    </cfRule>
  </conditionalFormatting>
  <conditionalFormatting sqref="G26">
    <cfRule type="expression" dxfId="3659" priority="3673">
      <formula>AND(OR($D26="GD&amp;T",$D26="MAX"),$G26&lt;&gt;"")</formula>
    </cfRule>
    <cfRule type="expression" dxfId="3658" priority="3674">
      <formula>AND(OR($D26="GD&amp;T",$D26="MAX"),$G26="")</formula>
    </cfRule>
    <cfRule type="containsBlanks" dxfId="3657" priority="3675">
      <formula>LEN(TRIM(G26))=0</formula>
    </cfRule>
  </conditionalFormatting>
  <conditionalFormatting sqref="F26">
    <cfRule type="expression" dxfId="3656" priority="3670">
      <formula>AND($D26="MIN",$F26&lt;&gt;"")</formula>
    </cfRule>
    <cfRule type="expression" dxfId="3655" priority="3671">
      <formula>AND($D26="MIN",$F26="")</formula>
    </cfRule>
    <cfRule type="containsBlanks" dxfId="3654" priority="3672">
      <formula>LEN(TRIM(F26))=0</formula>
    </cfRule>
  </conditionalFormatting>
  <conditionalFormatting sqref="G26">
    <cfRule type="expression" dxfId="3653" priority="3667">
      <formula>AND(OR($D26="GD&amp;T",$D26="MAX"),$G26&lt;&gt;"")</formula>
    </cfRule>
    <cfRule type="expression" dxfId="3652" priority="3668">
      <formula>AND(OR($D26="GD&amp;T",$D26="MAX"),$G26="")</formula>
    </cfRule>
    <cfRule type="containsBlanks" dxfId="3651" priority="3669">
      <formula>LEN(TRIM(G26))=0</formula>
    </cfRule>
  </conditionalFormatting>
  <conditionalFormatting sqref="F26">
    <cfRule type="expression" dxfId="3650" priority="3664">
      <formula>AND($D26="MIN",$F26&lt;&gt;"")</formula>
    </cfRule>
    <cfRule type="expression" dxfId="3649" priority="3665">
      <formula>AND($D26="MIN",$F26="")</formula>
    </cfRule>
    <cfRule type="containsBlanks" dxfId="3648" priority="3666">
      <formula>LEN(TRIM(F26))=0</formula>
    </cfRule>
  </conditionalFormatting>
  <conditionalFormatting sqref="G26">
    <cfRule type="expression" dxfId="3647" priority="3661">
      <formula>AND(OR($D26="GD&amp;T",$D26="MAX"),$G26&lt;&gt;"")</formula>
    </cfRule>
    <cfRule type="expression" dxfId="3646" priority="3662">
      <formula>AND(OR($D26="GD&amp;T",$D26="MAX"),$G26="")</formula>
    </cfRule>
    <cfRule type="containsBlanks" dxfId="3645" priority="3663">
      <formula>LEN(TRIM(G26))=0</formula>
    </cfRule>
  </conditionalFormatting>
  <conditionalFormatting sqref="F26">
    <cfRule type="expression" dxfId="3644" priority="3658">
      <formula>AND($D26="MIN",$F26&lt;&gt;"")</formula>
    </cfRule>
    <cfRule type="expression" dxfId="3643" priority="3659">
      <formula>AND($D26="MIN",$F26="")</formula>
    </cfRule>
    <cfRule type="containsBlanks" dxfId="3642" priority="3660">
      <formula>LEN(TRIM(F26))=0</formula>
    </cfRule>
  </conditionalFormatting>
  <conditionalFormatting sqref="F26">
    <cfRule type="expression" dxfId="3641" priority="3655">
      <formula>AND($D26="MIN",$F26&lt;&gt;"")</formula>
    </cfRule>
    <cfRule type="expression" dxfId="3640" priority="3656">
      <formula>AND($D26="MIN",$F26="")</formula>
    </cfRule>
    <cfRule type="containsBlanks" dxfId="3639" priority="3657">
      <formula>LEN(TRIM(F26))=0</formula>
    </cfRule>
  </conditionalFormatting>
  <conditionalFormatting sqref="F26">
    <cfRule type="expression" dxfId="3638" priority="3652">
      <formula>AND($D26="MIN",$F26&lt;&gt;"")</formula>
    </cfRule>
    <cfRule type="expression" dxfId="3637" priority="3653">
      <formula>AND($D26="MIN",$F26="")</formula>
    </cfRule>
    <cfRule type="containsBlanks" dxfId="3636" priority="3654">
      <formula>LEN(TRIM(F26))=0</formula>
    </cfRule>
  </conditionalFormatting>
  <conditionalFormatting sqref="F26">
    <cfRule type="expression" dxfId="3635" priority="3649">
      <formula>AND($D26="MIN",$F26&lt;&gt;"")</formula>
    </cfRule>
    <cfRule type="expression" dxfId="3634" priority="3650">
      <formula>AND($D26="MIN",$F26="")</formula>
    </cfRule>
    <cfRule type="containsBlanks" dxfId="3633" priority="3651">
      <formula>LEN(TRIM(F26))=0</formula>
    </cfRule>
  </conditionalFormatting>
  <conditionalFormatting sqref="F26">
    <cfRule type="expression" dxfId="3632" priority="3646">
      <formula>AND($D26="MIN",$F26&lt;&gt;"")</formula>
    </cfRule>
    <cfRule type="expression" dxfId="3631" priority="3647">
      <formula>AND($D26="MIN",$F26="")</formula>
    </cfRule>
    <cfRule type="containsBlanks" dxfId="3630" priority="3648">
      <formula>LEN(TRIM(F26))=0</formula>
    </cfRule>
  </conditionalFormatting>
  <conditionalFormatting sqref="F27">
    <cfRule type="expression" dxfId="3629" priority="3643">
      <formula>AND($D27="MIN",$F27&lt;&gt;"")</formula>
    </cfRule>
    <cfRule type="expression" dxfId="3628" priority="3644">
      <formula>AND($D27="MIN",$F27="")</formula>
    </cfRule>
    <cfRule type="containsBlanks" dxfId="3627" priority="3645">
      <formula>LEN(TRIM(F27))=0</formula>
    </cfRule>
  </conditionalFormatting>
  <conditionalFormatting sqref="G27">
    <cfRule type="expression" dxfId="3626" priority="3640">
      <formula>AND(OR($D27="GD&amp;T",$D27="MAX"),$G27&lt;&gt;"")</formula>
    </cfRule>
    <cfRule type="expression" dxfId="3625" priority="3641">
      <formula>AND(OR($D27="GD&amp;T",$D27="MAX"),$G27="")</formula>
    </cfRule>
    <cfRule type="containsBlanks" dxfId="3624" priority="3642">
      <formula>LEN(TRIM(G27))=0</formula>
    </cfRule>
  </conditionalFormatting>
  <conditionalFormatting sqref="F27">
    <cfRule type="expression" dxfId="3623" priority="3637">
      <formula>AND($D27="MIN",$F27&lt;&gt;"")</formula>
    </cfRule>
    <cfRule type="expression" dxfId="3622" priority="3638">
      <formula>AND($D27="MIN",$F27="")</formula>
    </cfRule>
    <cfRule type="containsBlanks" dxfId="3621" priority="3639">
      <formula>LEN(TRIM(F27))=0</formula>
    </cfRule>
  </conditionalFormatting>
  <conditionalFormatting sqref="G27">
    <cfRule type="expression" dxfId="3620" priority="3634">
      <formula>AND(OR($D27="GD&amp;T",$D27="MAX"),$G27&lt;&gt;"")</formula>
    </cfRule>
    <cfRule type="expression" dxfId="3619" priority="3635">
      <formula>AND(OR($D27="GD&amp;T",$D27="MAX"),$G27="")</formula>
    </cfRule>
    <cfRule type="containsBlanks" dxfId="3618" priority="3636">
      <formula>LEN(TRIM(G27))=0</formula>
    </cfRule>
  </conditionalFormatting>
  <conditionalFormatting sqref="F27">
    <cfRule type="expression" dxfId="3617" priority="3631">
      <formula>AND($D27="MIN",$F27&lt;&gt;"")</formula>
    </cfRule>
    <cfRule type="expression" dxfId="3616" priority="3632">
      <formula>AND($D27="MIN",$F27="")</formula>
    </cfRule>
    <cfRule type="containsBlanks" dxfId="3615" priority="3633">
      <formula>LEN(TRIM(F27))=0</formula>
    </cfRule>
  </conditionalFormatting>
  <conditionalFormatting sqref="G27">
    <cfRule type="expression" dxfId="3614" priority="3628">
      <formula>AND(OR($D27="GD&amp;T",$D27="MAX"),$G27&lt;&gt;"")</formula>
    </cfRule>
    <cfRule type="expression" dxfId="3613" priority="3629">
      <formula>AND(OR($D27="GD&amp;T",$D27="MAX"),$G27="")</formula>
    </cfRule>
    <cfRule type="containsBlanks" dxfId="3612" priority="3630">
      <formula>LEN(TRIM(G27))=0</formula>
    </cfRule>
  </conditionalFormatting>
  <conditionalFormatting sqref="F27">
    <cfRule type="expression" dxfId="3611" priority="3625">
      <formula>AND($D27="MIN",$F27&lt;&gt;"")</formula>
    </cfRule>
    <cfRule type="expression" dxfId="3610" priority="3626">
      <formula>AND($D27="MIN",$F27="")</formula>
    </cfRule>
    <cfRule type="containsBlanks" dxfId="3609" priority="3627">
      <formula>LEN(TRIM(F27))=0</formula>
    </cfRule>
  </conditionalFormatting>
  <conditionalFormatting sqref="G27">
    <cfRule type="expression" dxfId="3608" priority="3622">
      <formula>AND(OR($D27="GD&amp;T",$D27="MAX"),$G27&lt;&gt;"")</formula>
    </cfRule>
    <cfRule type="expression" dxfId="3607" priority="3623">
      <formula>AND(OR($D27="GD&amp;T",$D27="MAX"),$G27="")</formula>
    </cfRule>
    <cfRule type="containsBlanks" dxfId="3606" priority="3624">
      <formula>LEN(TRIM(G27))=0</formula>
    </cfRule>
  </conditionalFormatting>
  <conditionalFormatting sqref="G27">
    <cfRule type="expression" dxfId="3605" priority="3619">
      <formula>AND(OR($D27="GD&amp;T",$D27="MAX"),$G27&lt;&gt;"")</formula>
    </cfRule>
    <cfRule type="expression" dxfId="3604" priority="3620">
      <formula>AND(OR($D27="GD&amp;T",$D27="MAX"),$G27="")</formula>
    </cfRule>
    <cfRule type="containsBlanks" dxfId="3603" priority="3621">
      <formula>LEN(TRIM(G27))=0</formula>
    </cfRule>
  </conditionalFormatting>
  <conditionalFormatting sqref="G27">
    <cfRule type="expression" dxfId="3602" priority="3616">
      <formula>AND(OR($D27="GD&amp;T",$D27="MAX"),$G27&lt;&gt;"")</formula>
    </cfRule>
    <cfRule type="expression" dxfId="3601" priority="3617">
      <formula>AND(OR($D27="GD&amp;T",$D27="MAX"),$G27="")</formula>
    </cfRule>
    <cfRule type="containsBlanks" dxfId="3600" priority="3618">
      <formula>LEN(TRIM(G27))=0</formula>
    </cfRule>
  </conditionalFormatting>
  <conditionalFormatting sqref="G27">
    <cfRule type="expression" dxfId="3599" priority="3613">
      <formula>AND(OR($D27="GD&amp;T",$D27="MAX"),$G27&lt;&gt;"")</formula>
    </cfRule>
    <cfRule type="expression" dxfId="3598" priority="3614">
      <formula>AND(OR($D27="GD&amp;T",$D27="MAX"),$G27="")</formula>
    </cfRule>
    <cfRule type="containsBlanks" dxfId="3597" priority="3615">
      <formula>LEN(TRIM(G27))=0</formula>
    </cfRule>
  </conditionalFormatting>
  <conditionalFormatting sqref="G27">
    <cfRule type="expression" dxfId="3596" priority="3610">
      <formula>AND(OR($D27="GD&amp;T",$D27="MAX"),$G27&lt;&gt;"")</formula>
    </cfRule>
    <cfRule type="expression" dxfId="3595" priority="3611">
      <formula>AND(OR($D27="GD&amp;T",$D27="MAX"),$G27="")</formula>
    </cfRule>
    <cfRule type="containsBlanks" dxfId="3594" priority="3612">
      <formula>LEN(TRIM(G27))=0</formula>
    </cfRule>
  </conditionalFormatting>
  <conditionalFormatting sqref="G27">
    <cfRule type="expression" dxfId="3593" priority="3607">
      <formula>AND(OR($D27="GD&amp;T",$D27="MAX"),$G27&lt;&gt;"")</formula>
    </cfRule>
    <cfRule type="expression" dxfId="3592" priority="3608">
      <formula>AND(OR($D27="GD&amp;T",$D27="MAX"),$G27="")</formula>
    </cfRule>
    <cfRule type="containsBlanks" dxfId="3591" priority="3609">
      <formula>LEN(TRIM(G27))=0</formula>
    </cfRule>
  </conditionalFormatting>
  <conditionalFormatting sqref="F27">
    <cfRule type="expression" dxfId="3590" priority="3604">
      <formula>AND($D27="MIN",$F27&lt;&gt;"")</formula>
    </cfRule>
    <cfRule type="expression" dxfId="3589" priority="3605">
      <formula>AND($D27="MIN",$F27="")</formula>
    </cfRule>
    <cfRule type="containsBlanks" dxfId="3588" priority="3606">
      <formula>LEN(TRIM(F27))=0</formula>
    </cfRule>
  </conditionalFormatting>
  <conditionalFormatting sqref="F27">
    <cfRule type="expression" dxfId="3587" priority="3601">
      <formula>AND($D27="MIN",$F27&lt;&gt;"")</formula>
    </cfRule>
    <cfRule type="expression" dxfId="3586" priority="3602">
      <formula>AND($D27="MIN",$F27="")</formula>
    </cfRule>
    <cfRule type="containsBlanks" dxfId="3585" priority="3603">
      <formula>LEN(TRIM(F27))=0</formula>
    </cfRule>
  </conditionalFormatting>
  <conditionalFormatting sqref="F27">
    <cfRule type="expression" dxfId="3584" priority="3598">
      <formula>AND($D27="MIN",$F27&lt;&gt;"")</formula>
    </cfRule>
    <cfRule type="expression" dxfId="3583" priority="3599">
      <formula>AND($D27="MIN",$F27="")</formula>
    </cfRule>
    <cfRule type="containsBlanks" dxfId="3582" priority="3600">
      <formula>LEN(TRIM(F27))=0</formula>
    </cfRule>
  </conditionalFormatting>
  <conditionalFormatting sqref="F27">
    <cfRule type="expression" dxfId="3581" priority="3595">
      <formula>AND($D27="MIN",$F27&lt;&gt;"")</formula>
    </cfRule>
    <cfRule type="expression" dxfId="3580" priority="3596">
      <formula>AND($D27="MIN",$F27="")</formula>
    </cfRule>
    <cfRule type="containsBlanks" dxfId="3579" priority="3597">
      <formula>LEN(TRIM(F27))=0</formula>
    </cfRule>
  </conditionalFormatting>
  <conditionalFormatting sqref="F27">
    <cfRule type="expression" dxfId="3578" priority="3592">
      <formula>AND($D27="MIN",$F27&lt;&gt;"")</formula>
    </cfRule>
    <cfRule type="expression" dxfId="3577" priority="3593">
      <formula>AND($D27="MIN",$F27="")</formula>
    </cfRule>
    <cfRule type="containsBlanks" dxfId="3576" priority="3594">
      <formula>LEN(TRIM(F27))=0</formula>
    </cfRule>
  </conditionalFormatting>
  <conditionalFormatting sqref="F27">
    <cfRule type="expression" dxfId="3575" priority="3589">
      <formula>AND($D27="MIN",$F27&lt;&gt;"")</formula>
    </cfRule>
    <cfRule type="expression" dxfId="3574" priority="3590">
      <formula>AND($D27="MIN",$F27="")</formula>
    </cfRule>
    <cfRule type="containsBlanks" dxfId="3573" priority="3591">
      <formula>LEN(TRIM(F27))=0</formula>
    </cfRule>
  </conditionalFormatting>
  <conditionalFormatting sqref="G27">
    <cfRule type="expression" dxfId="3572" priority="3586">
      <formula>AND(OR($D27="GD&amp;T",$D27="MAX"),$G27&lt;&gt;"")</formula>
    </cfRule>
    <cfRule type="expression" dxfId="3571" priority="3587">
      <formula>AND(OR($D27="GD&amp;T",$D27="MAX"),$G27="")</formula>
    </cfRule>
    <cfRule type="containsBlanks" dxfId="3570" priority="3588">
      <formula>LEN(TRIM(G27))=0</formula>
    </cfRule>
  </conditionalFormatting>
  <conditionalFormatting sqref="F27">
    <cfRule type="expression" dxfId="3569" priority="3583">
      <formula>AND($D27="MIN",$F27&lt;&gt;"")</formula>
    </cfRule>
    <cfRule type="expression" dxfId="3568" priority="3584">
      <formula>AND($D27="MIN",$F27="")</formula>
    </cfRule>
    <cfRule type="containsBlanks" dxfId="3567" priority="3585">
      <formula>LEN(TRIM(F27))=0</formula>
    </cfRule>
  </conditionalFormatting>
  <conditionalFormatting sqref="G27">
    <cfRule type="expression" dxfId="3566" priority="3580">
      <formula>AND(OR($D27="GD&amp;T",$D27="MAX"),$G27&lt;&gt;"")</formula>
    </cfRule>
    <cfRule type="expression" dxfId="3565" priority="3581">
      <formula>AND(OR($D27="GD&amp;T",$D27="MAX"),$G27="")</formula>
    </cfRule>
    <cfRule type="containsBlanks" dxfId="3564" priority="3582">
      <formula>LEN(TRIM(G27))=0</formula>
    </cfRule>
  </conditionalFormatting>
  <conditionalFormatting sqref="F27">
    <cfRule type="expression" dxfId="3563" priority="3577">
      <formula>AND($D27="MIN",$F27&lt;&gt;"")</formula>
    </cfRule>
    <cfRule type="expression" dxfId="3562" priority="3578">
      <formula>AND($D27="MIN",$F27="")</formula>
    </cfRule>
    <cfRule type="containsBlanks" dxfId="3561" priority="3579">
      <formula>LEN(TRIM(F27))=0</formula>
    </cfRule>
  </conditionalFormatting>
  <conditionalFormatting sqref="G27">
    <cfRule type="expression" dxfId="3560" priority="3574">
      <formula>AND(OR($D27="GD&amp;T",$D27="MAX"),$G27&lt;&gt;"")</formula>
    </cfRule>
    <cfRule type="expression" dxfId="3559" priority="3575">
      <formula>AND(OR($D27="GD&amp;T",$D27="MAX"),$G27="")</formula>
    </cfRule>
    <cfRule type="containsBlanks" dxfId="3558" priority="3576">
      <formula>LEN(TRIM(G27))=0</formula>
    </cfRule>
  </conditionalFormatting>
  <conditionalFormatting sqref="F27">
    <cfRule type="expression" dxfId="3557" priority="3571">
      <formula>AND($D27="MIN",$F27&lt;&gt;"")</formula>
    </cfRule>
    <cfRule type="expression" dxfId="3556" priority="3572">
      <formula>AND($D27="MIN",$F27="")</formula>
    </cfRule>
    <cfRule type="containsBlanks" dxfId="3555" priority="3573">
      <formula>LEN(TRIM(F27))=0</formula>
    </cfRule>
  </conditionalFormatting>
  <conditionalFormatting sqref="G27">
    <cfRule type="expression" dxfId="3554" priority="3568">
      <formula>AND(OR($D27="GD&amp;T",$D27="MAX"),$G27&lt;&gt;"")</formula>
    </cfRule>
    <cfRule type="expression" dxfId="3553" priority="3569">
      <formula>AND(OR($D27="GD&amp;T",$D27="MAX"),$G27="")</formula>
    </cfRule>
    <cfRule type="containsBlanks" dxfId="3552" priority="3570">
      <formula>LEN(TRIM(G27))=0</formula>
    </cfRule>
  </conditionalFormatting>
  <conditionalFormatting sqref="F27">
    <cfRule type="expression" dxfId="3551" priority="3565">
      <formula>AND($D27="MIN",$F27&lt;&gt;"")</formula>
    </cfRule>
    <cfRule type="expression" dxfId="3550" priority="3566">
      <formula>AND($D27="MIN",$F27="")</formula>
    </cfRule>
    <cfRule type="containsBlanks" dxfId="3549" priority="3567">
      <formula>LEN(TRIM(F27))=0</formula>
    </cfRule>
  </conditionalFormatting>
  <conditionalFormatting sqref="G27">
    <cfRule type="expression" dxfId="3548" priority="3562">
      <formula>AND(OR($D27="GD&amp;T",$D27="MAX"),$G27&lt;&gt;"")</formula>
    </cfRule>
    <cfRule type="expression" dxfId="3547" priority="3563">
      <formula>AND(OR($D27="GD&amp;T",$D27="MAX"),$G27="")</formula>
    </cfRule>
    <cfRule type="containsBlanks" dxfId="3546" priority="3564">
      <formula>LEN(TRIM(G27))=0</formula>
    </cfRule>
  </conditionalFormatting>
  <conditionalFormatting sqref="F27">
    <cfRule type="expression" dxfId="3545" priority="3559">
      <formula>AND($D27="MIN",$F27&lt;&gt;"")</formula>
    </cfRule>
    <cfRule type="expression" dxfId="3544" priority="3560">
      <formula>AND($D27="MIN",$F27="")</formula>
    </cfRule>
    <cfRule type="containsBlanks" dxfId="3543" priority="3561">
      <formula>LEN(TRIM(F27))=0</formula>
    </cfRule>
  </conditionalFormatting>
  <conditionalFormatting sqref="G27">
    <cfRule type="expression" dxfId="3542" priority="3556">
      <formula>AND(OR($D27="GD&amp;T",$D27="MAX"),$G27&lt;&gt;"")</formula>
    </cfRule>
    <cfRule type="expression" dxfId="3541" priority="3557">
      <formula>AND(OR($D27="GD&amp;T",$D27="MAX"),$G27="")</formula>
    </cfRule>
    <cfRule type="containsBlanks" dxfId="3540" priority="3558">
      <formula>LEN(TRIM(G27))=0</formula>
    </cfRule>
  </conditionalFormatting>
  <conditionalFormatting sqref="F27">
    <cfRule type="expression" dxfId="3539" priority="3553">
      <formula>AND($D27="MIN",$F27&lt;&gt;"")</formula>
    </cfRule>
    <cfRule type="expression" dxfId="3538" priority="3554">
      <formula>AND($D27="MIN",$F27="")</formula>
    </cfRule>
    <cfRule type="containsBlanks" dxfId="3537" priority="3555">
      <formula>LEN(TRIM(F27))=0</formula>
    </cfRule>
  </conditionalFormatting>
  <conditionalFormatting sqref="G27">
    <cfRule type="expression" dxfId="3536" priority="3550">
      <formula>AND(OR($D27="GD&amp;T",$D27="MAX"),$G27&lt;&gt;"")</formula>
    </cfRule>
    <cfRule type="expression" dxfId="3535" priority="3551">
      <formula>AND(OR($D27="GD&amp;T",$D27="MAX"),$G27="")</formula>
    </cfRule>
    <cfRule type="containsBlanks" dxfId="3534" priority="3552">
      <formula>LEN(TRIM(G27))=0</formula>
    </cfRule>
  </conditionalFormatting>
  <conditionalFormatting sqref="F27">
    <cfRule type="expression" dxfId="3533" priority="3547">
      <formula>AND($D27="MIN",$F27&lt;&gt;"")</formula>
    </cfRule>
    <cfRule type="expression" dxfId="3532" priority="3548">
      <formula>AND($D27="MIN",$F27="")</formula>
    </cfRule>
    <cfRule type="containsBlanks" dxfId="3531" priority="3549">
      <formula>LEN(TRIM(F27))=0</formula>
    </cfRule>
  </conditionalFormatting>
  <conditionalFormatting sqref="G27">
    <cfRule type="expression" dxfId="3530" priority="3544">
      <formula>AND(OR($D27="GD&amp;T",$D27="MAX"),$G27&lt;&gt;"")</formula>
    </cfRule>
    <cfRule type="expression" dxfId="3529" priority="3545">
      <formula>AND(OR($D27="GD&amp;T",$D27="MAX"),$G27="")</formula>
    </cfRule>
    <cfRule type="containsBlanks" dxfId="3528" priority="3546">
      <formula>LEN(TRIM(G27))=0</formula>
    </cfRule>
  </conditionalFormatting>
  <conditionalFormatting sqref="F27">
    <cfRule type="expression" dxfId="3527" priority="3541">
      <formula>AND($D27="MIN",$F27&lt;&gt;"")</formula>
    </cfRule>
    <cfRule type="expression" dxfId="3526" priority="3542">
      <formula>AND($D27="MIN",$F27="")</formula>
    </cfRule>
    <cfRule type="containsBlanks" dxfId="3525" priority="3543">
      <formula>LEN(TRIM(F27))=0</formula>
    </cfRule>
  </conditionalFormatting>
  <conditionalFormatting sqref="F27">
    <cfRule type="expression" dxfId="3524" priority="3538">
      <formula>AND($D27="MIN",$F27&lt;&gt;"")</formula>
    </cfRule>
    <cfRule type="expression" dxfId="3523" priority="3539">
      <formula>AND($D27="MIN",$F27="")</formula>
    </cfRule>
    <cfRule type="containsBlanks" dxfId="3522" priority="3540">
      <formula>LEN(TRIM(F27))=0</formula>
    </cfRule>
  </conditionalFormatting>
  <conditionalFormatting sqref="F27">
    <cfRule type="expression" dxfId="3521" priority="3535">
      <formula>AND($D27="MIN",$F27&lt;&gt;"")</formula>
    </cfRule>
    <cfRule type="expression" dxfId="3520" priority="3536">
      <formula>AND($D27="MIN",$F27="")</formula>
    </cfRule>
    <cfRule type="containsBlanks" dxfId="3519" priority="3537">
      <formula>LEN(TRIM(F27))=0</formula>
    </cfRule>
  </conditionalFormatting>
  <conditionalFormatting sqref="F27">
    <cfRule type="expression" dxfId="3518" priority="3532">
      <formula>AND($D27="MIN",$F27&lt;&gt;"")</formula>
    </cfRule>
    <cfRule type="expression" dxfId="3517" priority="3533">
      <formula>AND($D27="MIN",$F27="")</formula>
    </cfRule>
    <cfRule type="containsBlanks" dxfId="3516" priority="3534">
      <formula>LEN(TRIM(F27))=0</formula>
    </cfRule>
  </conditionalFormatting>
  <conditionalFormatting sqref="F27">
    <cfRule type="expression" dxfId="3515" priority="3529">
      <formula>AND($D27="MIN",$F27&lt;&gt;"")</formula>
    </cfRule>
    <cfRule type="expression" dxfId="3514" priority="3530">
      <formula>AND($D27="MIN",$F27="")</formula>
    </cfRule>
    <cfRule type="containsBlanks" dxfId="3513" priority="3531">
      <formula>LEN(TRIM(F27))=0</formula>
    </cfRule>
  </conditionalFormatting>
  <conditionalFormatting sqref="F27">
    <cfRule type="expression" dxfId="3512" priority="3526">
      <formula>AND($D27="MIN",$F27&lt;&gt;"")</formula>
    </cfRule>
    <cfRule type="expression" dxfId="3511" priority="3527">
      <formula>AND($D27="MIN",$F27="")</formula>
    </cfRule>
    <cfRule type="containsBlanks" dxfId="3510" priority="3528">
      <formula>LEN(TRIM(F27))=0</formula>
    </cfRule>
  </conditionalFormatting>
  <conditionalFormatting sqref="G27">
    <cfRule type="expression" dxfId="3509" priority="3523">
      <formula>AND(OR($D27="GD&amp;T",$D27="MAX"),$G27&lt;&gt;"")</formula>
    </cfRule>
    <cfRule type="expression" dxfId="3508" priority="3524">
      <formula>AND(OR($D27="GD&amp;T",$D27="MAX"),$G27="")</formula>
    </cfRule>
    <cfRule type="containsBlanks" dxfId="3507" priority="3525">
      <formula>LEN(TRIM(G27))=0</formula>
    </cfRule>
  </conditionalFormatting>
  <conditionalFormatting sqref="F27">
    <cfRule type="expression" dxfId="3506" priority="3520">
      <formula>AND($D27="MIN",$F27&lt;&gt;"")</formula>
    </cfRule>
    <cfRule type="expression" dxfId="3505" priority="3521">
      <formula>AND($D27="MIN",$F27="")</formula>
    </cfRule>
    <cfRule type="containsBlanks" dxfId="3504" priority="3522">
      <formula>LEN(TRIM(F27))=0</formula>
    </cfRule>
  </conditionalFormatting>
  <conditionalFormatting sqref="G27">
    <cfRule type="expression" dxfId="3503" priority="3517">
      <formula>AND(OR($D27="GD&amp;T",$D27="MAX"),$G27&lt;&gt;"")</formula>
    </cfRule>
    <cfRule type="expression" dxfId="3502" priority="3518">
      <formula>AND(OR($D27="GD&amp;T",$D27="MAX"),$G27="")</formula>
    </cfRule>
    <cfRule type="containsBlanks" dxfId="3501" priority="3519">
      <formula>LEN(TRIM(G27))=0</formula>
    </cfRule>
  </conditionalFormatting>
  <conditionalFormatting sqref="F27">
    <cfRule type="expression" dxfId="3500" priority="3514">
      <formula>AND($D27="MIN",$F27&lt;&gt;"")</formula>
    </cfRule>
    <cfRule type="expression" dxfId="3499" priority="3515">
      <formula>AND($D27="MIN",$F27="")</formula>
    </cfRule>
    <cfRule type="containsBlanks" dxfId="3498" priority="3516">
      <formula>LEN(TRIM(F27))=0</formula>
    </cfRule>
  </conditionalFormatting>
  <conditionalFormatting sqref="G27">
    <cfRule type="expression" dxfId="3497" priority="3511">
      <formula>AND(OR($D27="GD&amp;T",$D27="MAX"),$G27&lt;&gt;"")</formula>
    </cfRule>
    <cfRule type="expression" dxfId="3496" priority="3512">
      <formula>AND(OR($D27="GD&amp;T",$D27="MAX"),$G27="")</formula>
    </cfRule>
    <cfRule type="containsBlanks" dxfId="3495" priority="3513">
      <formula>LEN(TRIM(G27))=0</formula>
    </cfRule>
  </conditionalFormatting>
  <conditionalFormatting sqref="F27">
    <cfRule type="expression" dxfId="3494" priority="3508">
      <formula>AND($D27="MIN",$F27&lt;&gt;"")</formula>
    </cfRule>
    <cfRule type="expression" dxfId="3493" priority="3509">
      <formula>AND($D27="MIN",$F27="")</formula>
    </cfRule>
    <cfRule type="containsBlanks" dxfId="3492" priority="3510">
      <formula>LEN(TRIM(F27))=0</formula>
    </cfRule>
  </conditionalFormatting>
  <conditionalFormatting sqref="G27">
    <cfRule type="expression" dxfId="3491" priority="3505">
      <formula>AND(OR($D27="GD&amp;T",$D27="MAX"),$G27&lt;&gt;"")</formula>
    </cfRule>
    <cfRule type="expression" dxfId="3490" priority="3506">
      <formula>AND(OR($D27="GD&amp;T",$D27="MAX"),$G27="")</formula>
    </cfRule>
    <cfRule type="containsBlanks" dxfId="3489" priority="3507">
      <formula>LEN(TRIM(G27))=0</formula>
    </cfRule>
  </conditionalFormatting>
  <conditionalFormatting sqref="G27">
    <cfRule type="expression" dxfId="3488" priority="3502">
      <formula>AND(OR($D27="GD&amp;T",$D27="MAX"),$G27&lt;&gt;"")</formula>
    </cfRule>
    <cfRule type="expression" dxfId="3487" priority="3503">
      <formula>AND(OR($D27="GD&amp;T",$D27="MAX"),$G27="")</formula>
    </cfRule>
    <cfRule type="containsBlanks" dxfId="3486" priority="3504">
      <formula>LEN(TRIM(G27))=0</formula>
    </cfRule>
  </conditionalFormatting>
  <conditionalFormatting sqref="G27">
    <cfRule type="expression" dxfId="3485" priority="3499">
      <formula>AND(OR($D27="GD&amp;T",$D27="MAX"),$G27&lt;&gt;"")</formula>
    </cfRule>
    <cfRule type="expression" dxfId="3484" priority="3500">
      <formula>AND(OR($D27="GD&amp;T",$D27="MAX"),$G27="")</formula>
    </cfRule>
    <cfRule type="containsBlanks" dxfId="3483" priority="3501">
      <formula>LEN(TRIM(G27))=0</formula>
    </cfRule>
  </conditionalFormatting>
  <conditionalFormatting sqref="G27">
    <cfRule type="expression" dxfId="3482" priority="3496">
      <formula>AND(OR($D27="GD&amp;T",$D27="MAX"),$G27&lt;&gt;"")</formula>
    </cfRule>
    <cfRule type="expression" dxfId="3481" priority="3497">
      <formula>AND(OR($D27="GD&amp;T",$D27="MAX"),$G27="")</formula>
    </cfRule>
    <cfRule type="containsBlanks" dxfId="3480" priority="3498">
      <formula>LEN(TRIM(G27))=0</formula>
    </cfRule>
  </conditionalFormatting>
  <conditionalFormatting sqref="G27">
    <cfRule type="expression" dxfId="3479" priority="3493">
      <formula>AND(OR($D27="GD&amp;T",$D27="MAX"),$G27&lt;&gt;"")</formula>
    </cfRule>
    <cfRule type="expression" dxfId="3478" priority="3494">
      <formula>AND(OR($D27="GD&amp;T",$D27="MAX"),$G27="")</formula>
    </cfRule>
    <cfRule type="containsBlanks" dxfId="3477" priority="3495">
      <formula>LEN(TRIM(G27))=0</formula>
    </cfRule>
  </conditionalFormatting>
  <conditionalFormatting sqref="G27">
    <cfRule type="expression" dxfId="3476" priority="3490">
      <formula>AND(OR($D27="GD&amp;T",$D27="MAX"),$G27&lt;&gt;"")</formula>
    </cfRule>
    <cfRule type="expression" dxfId="3475" priority="3491">
      <formula>AND(OR($D27="GD&amp;T",$D27="MAX"),$G27="")</formula>
    </cfRule>
    <cfRule type="containsBlanks" dxfId="3474" priority="3492">
      <formula>LEN(TRIM(G27))=0</formula>
    </cfRule>
  </conditionalFormatting>
  <conditionalFormatting sqref="F27">
    <cfRule type="expression" dxfId="3473" priority="3487">
      <formula>AND($D27="MIN",$F27&lt;&gt;"")</formula>
    </cfRule>
    <cfRule type="expression" dxfId="3472" priority="3488">
      <formula>AND($D27="MIN",$F27="")</formula>
    </cfRule>
    <cfRule type="containsBlanks" dxfId="3471" priority="3489">
      <formula>LEN(TRIM(F27))=0</formula>
    </cfRule>
  </conditionalFormatting>
  <conditionalFormatting sqref="F27">
    <cfRule type="expression" dxfId="3470" priority="3484">
      <formula>AND($D27="MIN",$F27&lt;&gt;"")</formula>
    </cfRule>
    <cfRule type="expression" dxfId="3469" priority="3485">
      <formula>AND($D27="MIN",$F27="")</formula>
    </cfRule>
    <cfRule type="containsBlanks" dxfId="3468" priority="3486">
      <formula>LEN(TRIM(F27))=0</formula>
    </cfRule>
  </conditionalFormatting>
  <conditionalFormatting sqref="F27">
    <cfRule type="expression" dxfId="3467" priority="3481">
      <formula>AND($D27="MIN",$F27&lt;&gt;"")</formula>
    </cfRule>
    <cfRule type="expression" dxfId="3466" priority="3482">
      <formula>AND($D27="MIN",$F27="")</formula>
    </cfRule>
    <cfRule type="containsBlanks" dxfId="3465" priority="3483">
      <formula>LEN(TRIM(F27))=0</formula>
    </cfRule>
  </conditionalFormatting>
  <conditionalFormatting sqref="F27">
    <cfRule type="expression" dxfId="3464" priority="3478">
      <formula>AND($D27="MIN",$F27&lt;&gt;"")</formula>
    </cfRule>
    <cfRule type="expression" dxfId="3463" priority="3479">
      <formula>AND($D27="MIN",$F27="")</formula>
    </cfRule>
    <cfRule type="containsBlanks" dxfId="3462" priority="3480">
      <formula>LEN(TRIM(F27))=0</formula>
    </cfRule>
  </conditionalFormatting>
  <conditionalFormatting sqref="F27">
    <cfRule type="expression" dxfId="3461" priority="3475">
      <formula>AND($D27="MIN",$F27&lt;&gt;"")</formula>
    </cfRule>
    <cfRule type="expression" dxfId="3460" priority="3476">
      <formula>AND($D27="MIN",$F27="")</formula>
    </cfRule>
    <cfRule type="containsBlanks" dxfId="3459" priority="3477">
      <formula>LEN(TRIM(F27))=0</formula>
    </cfRule>
  </conditionalFormatting>
  <conditionalFormatting sqref="F27">
    <cfRule type="expression" dxfId="3458" priority="3472">
      <formula>AND($D27="MIN",$F27&lt;&gt;"")</formula>
    </cfRule>
    <cfRule type="expression" dxfId="3457" priority="3473">
      <formula>AND($D27="MIN",$F27="")</formula>
    </cfRule>
    <cfRule type="containsBlanks" dxfId="3456" priority="3474">
      <formula>LEN(TRIM(F27))=0</formula>
    </cfRule>
  </conditionalFormatting>
  <conditionalFormatting sqref="G27">
    <cfRule type="expression" dxfId="3455" priority="3469">
      <formula>AND(OR($D27="GD&amp;T",$D27="MAX"),$G27&lt;&gt;"")</formula>
    </cfRule>
    <cfRule type="expression" dxfId="3454" priority="3470">
      <formula>AND(OR($D27="GD&amp;T",$D27="MAX"),$G27="")</formula>
    </cfRule>
    <cfRule type="containsBlanks" dxfId="3453" priority="3471">
      <formula>LEN(TRIM(G27))=0</formula>
    </cfRule>
  </conditionalFormatting>
  <conditionalFormatting sqref="F27">
    <cfRule type="expression" dxfId="3452" priority="3466">
      <formula>AND($D27="MIN",$F27&lt;&gt;"")</formula>
    </cfRule>
    <cfRule type="expression" dxfId="3451" priority="3467">
      <formula>AND($D27="MIN",$F27="")</formula>
    </cfRule>
    <cfRule type="containsBlanks" dxfId="3450" priority="3468">
      <formula>LEN(TRIM(F27))=0</formula>
    </cfRule>
  </conditionalFormatting>
  <conditionalFormatting sqref="G27">
    <cfRule type="expression" dxfId="3449" priority="3463">
      <formula>AND(OR($D27="GD&amp;T",$D27="MAX"),$G27&lt;&gt;"")</formula>
    </cfRule>
    <cfRule type="expression" dxfId="3448" priority="3464">
      <formula>AND(OR($D27="GD&amp;T",$D27="MAX"),$G27="")</formula>
    </cfRule>
    <cfRule type="containsBlanks" dxfId="3447" priority="3465">
      <formula>LEN(TRIM(G27))=0</formula>
    </cfRule>
  </conditionalFormatting>
  <conditionalFormatting sqref="F27">
    <cfRule type="expression" dxfId="3446" priority="3460">
      <formula>AND($D27="MIN",$F27&lt;&gt;"")</formula>
    </cfRule>
    <cfRule type="expression" dxfId="3445" priority="3461">
      <formula>AND($D27="MIN",$F27="")</formula>
    </cfRule>
    <cfRule type="containsBlanks" dxfId="3444" priority="3462">
      <formula>LEN(TRIM(F27))=0</formula>
    </cfRule>
  </conditionalFormatting>
  <conditionalFormatting sqref="G27">
    <cfRule type="expression" dxfId="3443" priority="3457">
      <formula>AND(OR($D27="GD&amp;T",$D27="MAX"),$G27&lt;&gt;"")</formula>
    </cfRule>
    <cfRule type="expression" dxfId="3442" priority="3458">
      <formula>AND(OR($D27="GD&amp;T",$D27="MAX"),$G27="")</formula>
    </cfRule>
    <cfRule type="containsBlanks" dxfId="3441" priority="3459">
      <formula>LEN(TRIM(G27))=0</formula>
    </cfRule>
  </conditionalFormatting>
  <conditionalFormatting sqref="F27">
    <cfRule type="expression" dxfId="3440" priority="3454">
      <formula>AND($D27="MIN",$F27&lt;&gt;"")</formula>
    </cfRule>
    <cfRule type="expression" dxfId="3439" priority="3455">
      <formula>AND($D27="MIN",$F27="")</formula>
    </cfRule>
    <cfRule type="containsBlanks" dxfId="3438" priority="3456">
      <formula>LEN(TRIM(F27))=0</formula>
    </cfRule>
  </conditionalFormatting>
  <conditionalFormatting sqref="G27">
    <cfRule type="expression" dxfId="3437" priority="3451">
      <formula>AND(OR($D27="GD&amp;T",$D27="MAX"),$G27&lt;&gt;"")</formula>
    </cfRule>
    <cfRule type="expression" dxfId="3436" priority="3452">
      <formula>AND(OR($D27="GD&amp;T",$D27="MAX"),$G27="")</formula>
    </cfRule>
    <cfRule type="containsBlanks" dxfId="3435" priority="3453">
      <formula>LEN(TRIM(G27))=0</formula>
    </cfRule>
  </conditionalFormatting>
  <conditionalFormatting sqref="F27">
    <cfRule type="expression" dxfId="3434" priority="3448">
      <formula>AND($D27="MIN",$F27&lt;&gt;"")</formula>
    </cfRule>
    <cfRule type="expression" dxfId="3433" priority="3449">
      <formula>AND($D27="MIN",$F27="")</formula>
    </cfRule>
    <cfRule type="containsBlanks" dxfId="3432" priority="3450">
      <formula>LEN(TRIM(F27))=0</formula>
    </cfRule>
  </conditionalFormatting>
  <conditionalFormatting sqref="G27">
    <cfRule type="expression" dxfId="3431" priority="3445">
      <formula>AND(OR($D27="GD&amp;T",$D27="MAX"),$G27&lt;&gt;"")</formula>
    </cfRule>
    <cfRule type="expression" dxfId="3430" priority="3446">
      <formula>AND(OR($D27="GD&amp;T",$D27="MAX"),$G27="")</formula>
    </cfRule>
    <cfRule type="containsBlanks" dxfId="3429" priority="3447">
      <formula>LEN(TRIM(G27))=0</formula>
    </cfRule>
  </conditionalFormatting>
  <conditionalFormatting sqref="F27">
    <cfRule type="expression" dxfId="3428" priority="3442">
      <formula>AND($D27="MIN",$F27&lt;&gt;"")</formula>
    </cfRule>
    <cfRule type="expression" dxfId="3427" priority="3443">
      <formula>AND($D27="MIN",$F27="")</formula>
    </cfRule>
    <cfRule type="containsBlanks" dxfId="3426" priority="3444">
      <formula>LEN(TRIM(F27))=0</formula>
    </cfRule>
  </conditionalFormatting>
  <conditionalFormatting sqref="G27">
    <cfRule type="expression" dxfId="3425" priority="3439">
      <formula>AND(OR($D27="GD&amp;T",$D27="MAX"),$G27&lt;&gt;"")</formula>
    </cfRule>
    <cfRule type="expression" dxfId="3424" priority="3440">
      <formula>AND(OR($D27="GD&amp;T",$D27="MAX"),$G27="")</formula>
    </cfRule>
    <cfRule type="containsBlanks" dxfId="3423" priority="3441">
      <formula>LEN(TRIM(G27))=0</formula>
    </cfRule>
  </conditionalFormatting>
  <conditionalFormatting sqref="F27">
    <cfRule type="expression" dxfId="3422" priority="3436">
      <formula>AND($D27="MIN",$F27&lt;&gt;"")</formula>
    </cfRule>
    <cfRule type="expression" dxfId="3421" priority="3437">
      <formula>AND($D27="MIN",$F27="")</formula>
    </cfRule>
    <cfRule type="containsBlanks" dxfId="3420" priority="3438">
      <formula>LEN(TRIM(F27))=0</formula>
    </cfRule>
  </conditionalFormatting>
  <conditionalFormatting sqref="G27">
    <cfRule type="expression" dxfId="3419" priority="3433">
      <formula>AND(OR($D27="GD&amp;T",$D27="MAX"),$G27&lt;&gt;"")</formula>
    </cfRule>
    <cfRule type="expression" dxfId="3418" priority="3434">
      <formula>AND(OR($D27="GD&amp;T",$D27="MAX"),$G27="")</formula>
    </cfRule>
    <cfRule type="containsBlanks" dxfId="3417" priority="3435">
      <formula>LEN(TRIM(G27))=0</formula>
    </cfRule>
  </conditionalFormatting>
  <conditionalFormatting sqref="F27">
    <cfRule type="expression" dxfId="3416" priority="3430">
      <formula>AND($D27="MIN",$F27&lt;&gt;"")</formula>
    </cfRule>
    <cfRule type="expression" dxfId="3415" priority="3431">
      <formula>AND($D27="MIN",$F27="")</formula>
    </cfRule>
    <cfRule type="containsBlanks" dxfId="3414" priority="3432">
      <formula>LEN(TRIM(F27))=0</formula>
    </cfRule>
  </conditionalFormatting>
  <conditionalFormatting sqref="G27">
    <cfRule type="expression" dxfId="3413" priority="3427">
      <formula>AND(OR($D27="GD&amp;T",$D27="MAX"),$G27&lt;&gt;"")</formula>
    </cfRule>
    <cfRule type="expression" dxfId="3412" priority="3428">
      <formula>AND(OR($D27="GD&amp;T",$D27="MAX"),$G27="")</formula>
    </cfRule>
    <cfRule type="containsBlanks" dxfId="3411" priority="3429">
      <formula>LEN(TRIM(G27))=0</formula>
    </cfRule>
  </conditionalFormatting>
  <conditionalFormatting sqref="F27">
    <cfRule type="expression" dxfId="3410" priority="3424">
      <formula>AND($D27="MIN",$F27&lt;&gt;"")</formula>
    </cfRule>
    <cfRule type="expression" dxfId="3409" priority="3425">
      <formula>AND($D27="MIN",$F27="")</formula>
    </cfRule>
    <cfRule type="containsBlanks" dxfId="3408" priority="3426">
      <formula>LEN(TRIM(F27))=0</formula>
    </cfRule>
  </conditionalFormatting>
  <conditionalFormatting sqref="F27">
    <cfRule type="expression" dxfId="3407" priority="3421">
      <formula>AND($D27="MIN",$F27&lt;&gt;"")</formula>
    </cfRule>
    <cfRule type="expression" dxfId="3406" priority="3422">
      <formula>AND($D27="MIN",$F27="")</formula>
    </cfRule>
    <cfRule type="containsBlanks" dxfId="3405" priority="3423">
      <formula>LEN(TRIM(F27))=0</formula>
    </cfRule>
  </conditionalFormatting>
  <conditionalFormatting sqref="F27">
    <cfRule type="expression" dxfId="3404" priority="3418">
      <formula>AND($D27="MIN",$F27&lt;&gt;"")</formula>
    </cfRule>
    <cfRule type="expression" dxfId="3403" priority="3419">
      <formula>AND($D27="MIN",$F27="")</formula>
    </cfRule>
    <cfRule type="containsBlanks" dxfId="3402" priority="3420">
      <formula>LEN(TRIM(F27))=0</formula>
    </cfRule>
  </conditionalFormatting>
  <conditionalFormatting sqref="F27">
    <cfRule type="expression" dxfId="3401" priority="3415">
      <formula>AND($D27="MIN",$F27&lt;&gt;"")</formula>
    </cfRule>
    <cfRule type="expression" dxfId="3400" priority="3416">
      <formula>AND($D27="MIN",$F27="")</formula>
    </cfRule>
    <cfRule type="containsBlanks" dxfId="3399" priority="3417">
      <formula>LEN(TRIM(F27))=0</formula>
    </cfRule>
  </conditionalFormatting>
  <conditionalFormatting sqref="F27">
    <cfRule type="expression" dxfId="3398" priority="3412">
      <formula>AND($D27="MIN",$F27&lt;&gt;"")</formula>
    </cfRule>
    <cfRule type="expression" dxfId="3397" priority="3413">
      <formula>AND($D27="MIN",$F27="")</formula>
    </cfRule>
    <cfRule type="containsBlanks" dxfId="3396" priority="3414">
      <formula>LEN(TRIM(F27))=0</formula>
    </cfRule>
  </conditionalFormatting>
  <conditionalFormatting sqref="E28">
    <cfRule type="expression" dxfId="3395" priority="3409">
      <formula>AND($D28&lt;&gt;"Tolerance",$E28&lt;&gt;"")</formula>
    </cfRule>
    <cfRule type="expression" dxfId="3394" priority="3410">
      <formula>AND(OR($D28="GD&amp;T",$D28="MAX",$D28="MIN"),$E28="")</formula>
    </cfRule>
    <cfRule type="containsBlanks" dxfId="3393" priority="3411">
      <formula>LEN(TRIM(E28))=0</formula>
    </cfRule>
  </conditionalFormatting>
  <conditionalFormatting sqref="F28">
    <cfRule type="expression" dxfId="3392" priority="3406">
      <formula>AND($D28="MIN",$F28&lt;&gt;"")</formula>
    </cfRule>
    <cfRule type="expression" dxfId="3391" priority="3407">
      <formula>AND($D28="MIN",$F28="")</formula>
    </cfRule>
    <cfRule type="containsBlanks" dxfId="3390" priority="3408">
      <formula>LEN(TRIM(F28))=0</formula>
    </cfRule>
  </conditionalFormatting>
  <conditionalFormatting sqref="G28">
    <cfRule type="expression" dxfId="3389" priority="3403">
      <formula>AND(OR($D28="GD&amp;T",$D28="MAX"),$G28&lt;&gt;"")</formula>
    </cfRule>
    <cfRule type="expression" dxfId="3388" priority="3404">
      <formula>AND(OR($D28="GD&amp;T",$D28="MAX"),$G28="")</formula>
    </cfRule>
    <cfRule type="containsBlanks" dxfId="3387" priority="3405">
      <formula>LEN(TRIM(G28))=0</formula>
    </cfRule>
  </conditionalFormatting>
  <conditionalFormatting sqref="F28">
    <cfRule type="expression" dxfId="3386" priority="3400">
      <formula>AND($D28="MIN",$F28&lt;&gt;"")</formula>
    </cfRule>
    <cfRule type="expression" dxfId="3385" priority="3401">
      <formula>AND($D28="MIN",$F28="")</formula>
    </cfRule>
    <cfRule type="containsBlanks" dxfId="3384" priority="3402">
      <formula>LEN(TRIM(F28))=0</formula>
    </cfRule>
  </conditionalFormatting>
  <conditionalFormatting sqref="G28">
    <cfRule type="expression" dxfId="3383" priority="3397">
      <formula>AND(OR($D28="GD&amp;T",$D28="MAX"),$G28&lt;&gt;"")</formula>
    </cfRule>
    <cfRule type="expression" dxfId="3382" priority="3398">
      <formula>AND(OR($D28="GD&amp;T",$D28="MAX"),$G28="")</formula>
    </cfRule>
    <cfRule type="containsBlanks" dxfId="3381" priority="3399">
      <formula>LEN(TRIM(G28))=0</formula>
    </cfRule>
  </conditionalFormatting>
  <conditionalFormatting sqref="F28">
    <cfRule type="expression" dxfId="3380" priority="3394">
      <formula>AND($D28="MIN",$F28&lt;&gt;"")</formula>
    </cfRule>
    <cfRule type="expression" dxfId="3379" priority="3395">
      <formula>AND($D28="MIN",$F28="")</formula>
    </cfRule>
    <cfRule type="containsBlanks" dxfId="3378" priority="3396">
      <formula>LEN(TRIM(F28))=0</formula>
    </cfRule>
  </conditionalFormatting>
  <conditionalFormatting sqref="G28">
    <cfRule type="expression" dxfId="3377" priority="3391">
      <formula>AND(OR($D28="GD&amp;T",$D28="MAX"),$G28&lt;&gt;"")</formula>
    </cfRule>
    <cfRule type="expression" dxfId="3376" priority="3392">
      <formula>AND(OR($D28="GD&amp;T",$D28="MAX"),$G28="")</formula>
    </cfRule>
    <cfRule type="containsBlanks" dxfId="3375" priority="3393">
      <formula>LEN(TRIM(G28))=0</formula>
    </cfRule>
  </conditionalFormatting>
  <conditionalFormatting sqref="F28">
    <cfRule type="expression" dxfId="3374" priority="3388">
      <formula>AND($D28="MIN",$F28&lt;&gt;"")</formula>
    </cfRule>
    <cfRule type="expression" dxfId="3373" priority="3389">
      <formula>AND($D28="MIN",$F28="")</formula>
    </cfRule>
    <cfRule type="containsBlanks" dxfId="3372" priority="3390">
      <formula>LEN(TRIM(F28))=0</formula>
    </cfRule>
  </conditionalFormatting>
  <conditionalFormatting sqref="G28">
    <cfRule type="expression" dxfId="3371" priority="3385">
      <formula>AND(OR($D28="GD&amp;T",$D28="MAX"),$G28&lt;&gt;"")</formula>
    </cfRule>
    <cfRule type="expression" dxfId="3370" priority="3386">
      <formula>AND(OR($D28="GD&amp;T",$D28="MAX"),$G28="")</formula>
    </cfRule>
    <cfRule type="containsBlanks" dxfId="3369" priority="3387">
      <formula>LEN(TRIM(G28))=0</formula>
    </cfRule>
  </conditionalFormatting>
  <conditionalFormatting sqref="F28">
    <cfRule type="expression" dxfId="3368" priority="3382">
      <formula>AND($D28="MIN",$F28&lt;&gt;"")</formula>
    </cfRule>
    <cfRule type="expression" dxfId="3367" priority="3383">
      <formula>AND($D28="MIN",$F28="")</formula>
    </cfRule>
    <cfRule type="containsBlanks" dxfId="3366" priority="3384">
      <formula>LEN(TRIM(F28))=0</formula>
    </cfRule>
  </conditionalFormatting>
  <conditionalFormatting sqref="G28">
    <cfRule type="expression" dxfId="3365" priority="3379">
      <formula>AND(OR($D28="GD&amp;T",$D28="MAX"),$G28&lt;&gt;"")</formula>
    </cfRule>
    <cfRule type="expression" dxfId="3364" priority="3380">
      <formula>AND(OR($D28="GD&amp;T",$D28="MAX"),$G28="")</formula>
    </cfRule>
    <cfRule type="containsBlanks" dxfId="3363" priority="3381">
      <formula>LEN(TRIM(G28))=0</formula>
    </cfRule>
  </conditionalFormatting>
  <conditionalFormatting sqref="F28">
    <cfRule type="expression" dxfId="3362" priority="3376">
      <formula>AND($D28="MIN",$F28&lt;&gt;"")</formula>
    </cfRule>
    <cfRule type="expression" dxfId="3361" priority="3377">
      <formula>AND($D28="MIN",$F28="")</formula>
    </cfRule>
    <cfRule type="containsBlanks" dxfId="3360" priority="3378">
      <formula>LEN(TRIM(F28))=0</formula>
    </cfRule>
  </conditionalFormatting>
  <conditionalFormatting sqref="G28">
    <cfRule type="expression" dxfId="3359" priority="3373">
      <formula>AND(OR($D28="GD&amp;T",$D28="MAX"),$G28&lt;&gt;"")</formula>
    </cfRule>
    <cfRule type="expression" dxfId="3358" priority="3374">
      <formula>AND(OR($D28="GD&amp;T",$D28="MAX"),$G28="")</formula>
    </cfRule>
    <cfRule type="containsBlanks" dxfId="3357" priority="3375">
      <formula>LEN(TRIM(G28))=0</formula>
    </cfRule>
  </conditionalFormatting>
  <conditionalFormatting sqref="F28">
    <cfRule type="expression" dxfId="3356" priority="3370">
      <formula>AND($D28="MIN",$F28&lt;&gt;"")</formula>
    </cfRule>
    <cfRule type="expression" dxfId="3355" priority="3371">
      <formula>AND($D28="MIN",$F28="")</formula>
    </cfRule>
    <cfRule type="containsBlanks" dxfId="3354" priority="3372">
      <formula>LEN(TRIM(F28))=0</formula>
    </cfRule>
  </conditionalFormatting>
  <conditionalFormatting sqref="G28">
    <cfRule type="expression" dxfId="3353" priority="3367">
      <formula>AND(OR($D28="GD&amp;T",$D28="MAX"),$G28&lt;&gt;"")</formula>
    </cfRule>
    <cfRule type="expression" dxfId="3352" priority="3368">
      <formula>AND(OR($D28="GD&amp;T",$D28="MAX"),$G28="")</formula>
    </cfRule>
    <cfRule type="containsBlanks" dxfId="3351" priority="3369">
      <formula>LEN(TRIM(G28))=0</formula>
    </cfRule>
  </conditionalFormatting>
  <conditionalFormatting sqref="F28">
    <cfRule type="expression" dxfId="3350" priority="3364">
      <formula>AND($D28="MIN",$F28&lt;&gt;"")</formula>
    </cfRule>
    <cfRule type="expression" dxfId="3349" priority="3365">
      <formula>AND($D28="MIN",$F28="")</formula>
    </cfRule>
    <cfRule type="containsBlanks" dxfId="3348" priority="3366">
      <formula>LEN(TRIM(F28))=0</formula>
    </cfRule>
  </conditionalFormatting>
  <conditionalFormatting sqref="G28">
    <cfRule type="expression" dxfId="3347" priority="3361">
      <formula>AND(OR($D28="GD&amp;T",$D28="MAX"),$G28&lt;&gt;"")</formula>
    </cfRule>
    <cfRule type="expression" dxfId="3346" priority="3362">
      <formula>AND(OR($D28="GD&amp;T",$D28="MAX"),$G28="")</formula>
    </cfRule>
    <cfRule type="containsBlanks" dxfId="3345" priority="3363">
      <formula>LEN(TRIM(G28))=0</formula>
    </cfRule>
  </conditionalFormatting>
  <conditionalFormatting sqref="F28">
    <cfRule type="expression" dxfId="3344" priority="3358">
      <formula>AND($D28="MIN",$F28&lt;&gt;"")</formula>
    </cfRule>
    <cfRule type="expression" dxfId="3343" priority="3359">
      <formula>AND($D28="MIN",$F28="")</formula>
    </cfRule>
    <cfRule type="containsBlanks" dxfId="3342" priority="3360">
      <formula>LEN(TRIM(F28))=0</formula>
    </cfRule>
  </conditionalFormatting>
  <conditionalFormatting sqref="F28">
    <cfRule type="expression" dxfId="3341" priority="3355">
      <formula>AND($D28="MIN",$F28&lt;&gt;"")</formula>
    </cfRule>
    <cfRule type="expression" dxfId="3340" priority="3356">
      <formula>AND($D28="MIN",$F28="")</formula>
    </cfRule>
    <cfRule type="containsBlanks" dxfId="3339" priority="3357">
      <formula>LEN(TRIM(F28))=0</formula>
    </cfRule>
  </conditionalFormatting>
  <conditionalFormatting sqref="F28">
    <cfRule type="expression" dxfId="3338" priority="3352">
      <formula>AND($D28="MIN",$F28&lt;&gt;"")</formula>
    </cfRule>
    <cfRule type="expression" dxfId="3337" priority="3353">
      <formula>AND($D28="MIN",$F28="")</formula>
    </cfRule>
    <cfRule type="containsBlanks" dxfId="3336" priority="3354">
      <formula>LEN(TRIM(F28))=0</formula>
    </cfRule>
  </conditionalFormatting>
  <conditionalFormatting sqref="F28">
    <cfRule type="expression" dxfId="3335" priority="3349">
      <formula>AND($D28="MIN",$F28&lt;&gt;"")</formula>
    </cfRule>
    <cfRule type="expression" dxfId="3334" priority="3350">
      <formula>AND($D28="MIN",$F28="")</formula>
    </cfRule>
    <cfRule type="containsBlanks" dxfId="3333" priority="3351">
      <formula>LEN(TRIM(F28))=0</formula>
    </cfRule>
  </conditionalFormatting>
  <conditionalFormatting sqref="F28">
    <cfRule type="expression" dxfId="3332" priority="3346">
      <formula>AND($D28="MIN",$F28&lt;&gt;"")</formula>
    </cfRule>
    <cfRule type="expression" dxfId="3331" priority="3347">
      <formula>AND($D28="MIN",$F28="")</formula>
    </cfRule>
    <cfRule type="containsBlanks" dxfId="3330" priority="3348">
      <formula>LEN(TRIM(F28))=0</formula>
    </cfRule>
  </conditionalFormatting>
  <conditionalFormatting sqref="F28">
    <cfRule type="expression" dxfId="3329" priority="3343">
      <formula>AND($D28="MIN",$F28&lt;&gt;"")</formula>
    </cfRule>
    <cfRule type="expression" dxfId="3328" priority="3344">
      <formula>AND($D28="MIN",$F28="")</formula>
    </cfRule>
    <cfRule type="containsBlanks" dxfId="3327" priority="3345">
      <formula>LEN(TRIM(F28))=0</formula>
    </cfRule>
  </conditionalFormatting>
  <conditionalFormatting sqref="G28">
    <cfRule type="expression" dxfId="3326" priority="3340">
      <formula>AND(OR($D28="GD&amp;T",$D28="MAX"),$G28&lt;&gt;"")</formula>
    </cfRule>
    <cfRule type="expression" dxfId="3325" priority="3341">
      <formula>AND(OR($D28="GD&amp;T",$D28="MAX"),$G28="")</formula>
    </cfRule>
    <cfRule type="containsBlanks" dxfId="3324" priority="3342">
      <formula>LEN(TRIM(G28))=0</formula>
    </cfRule>
  </conditionalFormatting>
  <conditionalFormatting sqref="F28">
    <cfRule type="expression" dxfId="3323" priority="3337">
      <formula>AND($D28="MIN",$F28&lt;&gt;"")</formula>
    </cfRule>
    <cfRule type="expression" dxfId="3322" priority="3338">
      <formula>AND($D28="MIN",$F28="")</formula>
    </cfRule>
    <cfRule type="containsBlanks" dxfId="3321" priority="3339">
      <formula>LEN(TRIM(F28))=0</formula>
    </cfRule>
  </conditionalFormatting>
  <conditionalFormatting sqref="G28">
    <cfRule type="expression" dxfId="3320" priority="3334">
      <formula>AND(OR($D28="GD&amp;T",$D28="MAX"),$G28&lt;&gt;"")</formula>
    </cfRule>
    <cfRule type="expression" dxfId="3319" priority="3335">
      <formula>AND(OR($D28="GD&amp;T",$D28="MAX"),$G28="")</formula>
    </cfRule>
    <cfRule type="containsBlanks" dxfId="3318" priority="3336">
      <formula>LEN(TRIM(G28))=0</formula>
    </cfRule>
  </conditionalFormatting>
  <conditionalFormatting sqref="F28">
    <cfRule type="expression" dxfId="3317" priority="3331">
      <formula>AND($D28="MIN",$F28&lt;&gt;"")</formula>
    </cfRule>
    <cfRule type="expression" dxfId="3316" priority="3332">
      <formula>AND($D28="MIN",$F28="")</formula>
    </cfRule>
    <cfRule type="containsBlanks" dxfId="3315" priority="3333">
      <formula>LEN(TRIM(F28))=0</formula>
    </cfRule>
  </conditionalFormatting>
  <conditionalFormatting sqref="G28">
    <cfRule type="expression" dxfId="3314" priority="3328">
      <formula>AND(OR($D28="GD&amp;T",$D28="MAX"),$G28&lt;&gt;"")</formula>
    </cfRule>
    <cfRule type="expression" dxfId="3313" priority="3329">
      <formula>AND(OR($D28="GD&amp;T",$D28="MAX"),$G28="")</formula>
    </cfRule>
    <cfRule type="containsBlanks" dxfId="3312" priority="3330">
      <formula>LEN(TRIM(G28))=0</formula>
    </cfRule>
  </conditionalFormatting>
  <conditionalFormatting sqref="F28">
    <cfRule type="expression" dxfId="3311" priority="3325">
      <formula>AND($D28="MIN",$F28&lt;&gt;"")</formula>
    </cfRule>
    <cfRule type="expression" dxfId="3310" priority="3326">
      <formula>AND($D28="MIN",$F28="")</formula>
    </cfRule>
    <cfRule type="containsBlanks" dxfId="3309" priority="3327">
      <formula>LEN(TRIM(F28))=0</formula>
    </cfRule>
  </conditionalFormatting>
  <conditionalFormatting sqref="G28">
    <cfRule type="expression" dxfId="3308" priority="3322">
      <formula>AND(OR($D28="GD&amp;T",$D28="MAX"),$G28&lt;&gt;"")</formula>
    </cfRule>
    <cfRule type="expression" dxfId="3307" priority="3323">
      <formula>AND(OR($D28="GD&amp;T",$D28="MAX"),$G28="")</formula>
    </cfRule>
    <cfRule type="containsBlanks" dxfId="3306" priority="3324">
      <formula>LEN(TRIM(G28))=0</formula>
    </cfRule>
  </conditionalFormatting>
  <conditionalFormatting sqref="G28">
    <cfRule type="expression" dxfId="3305" priority="3319">
      <formula>AND(OR($D28="GD&amp;T",$D28="MAX"),$G28&lt;&gt;"")</formula>
    </cfRule>
    <cfRule type="expression" dxfId="3304" priority="3320">
      <formula>AND(OR($D28="GD&amp;T",$D28="MAX"),$G28="")</formula>
    </cfRule>
    <cfRule type="containsBlanks" dxfId="3303" priority="3321">
      <formula>LEN(TRIM(G28))=0</formula>
    </cfRule>
  </conditionalFormatting>
  <conditionalFormatting sqref="G28">
    <cfRule type="expression" dxfId="3302" priority="3316">
      <formula>AND(OR($D28="GD&amp;T",$D28="MAX"),$G28&lt;&gt;"")</formula>
    </cfRule>
    <cfRule type="expression" dxfId="3301" priority="3317">
      <formula>AND(OR($D28="GD&amp;T",$D28="MAX"),$G28="")</formula>
    </cfRule>
    <cfRule type="containsBlanks" dxfId="3300" priority="3318">
      <formula>LEN(TRIM(G28))=0</formula>
    </cfRule>
  </conditionalFormatting>
  <conditionalFormatting sqref="G28">
    <cfRule type="expression" dxfId="3299" priority="3313">
      <formula>AND(OR($D28="GD&amp;T",$D28="MAX"),$G28&lt;&gt;"")</formula>
    </cfRule>
    <cfRule type="expression" dxfId="3298" priority="3314">
      <formula>AND(OR($D28="GD&amp;T",$D28="MAX"),$G28="")</formula>
    </cfRule>
    <cfRule type="containsBlanks" dxfId="3297" priority="3315">
      <formula>LEN(TRIM(G28))=0</formula>
    </cfRule>
  </conditionalFormatting>
  <conditionalFormatting sqref="G28">
    <cfRule type="expression" dxfId="3296" priority="3310">
      <formula>AND(OR($D28="GD&amp;T",$D28="MAX"),$G28&lt;&gt;"")</formula>
    </cfRule>
    <cfRule type="expression" dxfId="3295" priority="3311">
      <formula>AND(OR($D28="GD&amp;T",$D28="MAX"),$G28="")</formula>
    </cfRule>
    <cfRule type="containsBlanks" dxfId="3294" priority="3312">
      <formula>LEN(TRIM(G28))=0</formula>
    </cfRule>
  </conditionalFormatting>
  <conditionalFormatting sqref="G28">
    <cfRule type="expression" dxfId="3293" priority="3307">
      <formula>AND(OR($D28="GD&amp;T",$D28="MAX"),$G28&lt;&gt;"")</formula>
    </cfRule>
    <cfRule type="expression" dxfId="3292" priority="3308">
      <formula>AND(OR($D28="GD&amp;T",$D28="MAX"),$G28="")</formula>
    </cfRule>
    <cfRule type="containsBlanks" dxfId="3291" priority="3309">
      <formula>LEN(TRIM(G28))=0</formula>
    </cfRule>
  </conditionalFormatting>
  <conditionalFormatting sqref="F28">
    <cfRule type="expression" dxfId="3290" priority="3304">
      <formula>AND($D28="MIN",$F28&lt;&gt;"")</formula>
    </cfRule>
    <cfRule type="expression" dxfId="3289" priority="3305">
      <formula>AND($D28="MIN",$F28="")</formula>
    </cfRule>
    <cfRule type="containsBlanks" dxfId="3288" priority="3306">
      <formula>LEN(TRIM(F28))=0</formula>
    </cfRule>
  </conditionalFormatting>
  <conditionalFormatting sqref="F28">
    <cfRule type="expression" dxfId="3287" priority="3301">
      <formula>AND($D28="MIN",$F28&lt;&gt;"")</formula>
    </cfRule>
    <cfRule type="expression" dxfId="3286" priority="3302">
      <formula>AND($D28="MIN",$F28="")</formula>
    </cfRule>
    <cfRule type="containsBlanks" dxfId="3285" priority="3303">
      <formula>LEN(TRIM(F28))=0</formula>
    </cfRule>
  </conditionalFormatting>
  <conditionalFormatting sqref="F28">
    <cfRule type="expression" dxfId="3284" priority="3298">
      <formula>AND($D28="MIN",$F28&lt;&gt;"")</formula>
    </cfRule>
    <cfRule type="expression" dxfId="3283" priority="3299">
      <formula>AND($D28="MIN",$F28="")</formula>
    </cfRule>
    <cfRule type="containsBlanks" dxfId="3282" priority="3300">
      <formula>LEN(TRIM(F28))=0</formula>
    </cfRule>
  </conditionalFormatting>
  <conditionalFormatting sqref="F28">
    <cfRule type="expression" dxfId="3281" priority="3295">
      <formula>AND($D28="MIN",$F28&lt;&gt;"")</formula>
    </cfRule>
    <cfRule type="expression" dxfId="3280" priority="3296">
      <formula>AND($D28="MIN",$F28="")</formula>
    </cfRule>
    <cfRule type="containsBlanks" dxfId="3279" priority="3297">
      <formula>LEN(TRIM(F28))=0</formula>
    </cfRule>
  </conditionalFormatting>
  <conditionalFormatting sqref="F28">
    <cfRule type="expression" dxfId="3278" priority="3292">
      <formula>AND($D28="MIN",$F28&lt;&gt;"")</formula>
    </cfRule>
    <cfRule type="expression" dxfId="3277" priority="3293">
      <formula>AND($D28="MIN",$F28="")</formula>
    </cfRule>
    <cfRule type="containsBlanks" dxfId="3276" priority="3294">
      <formula>LEN(TRIM(F28))=0</formula>
    </cfRule>
  </conditionalFormatting>
  <conditionalFormatting sqref="F28">
    <cfRule type="expression" dxfId="3275" priority="3289">
      <formula>AND($D28="MIN",$F28&lt;&gt;"")</formula>
    </cfRule>
    <cfRule type="expression" dxfId="3274" priority="3290">
      <formula>AND($D28="MIN",$F28="")</formula>
    </cfRule>
    <cfRule type="containsBlanks" dxfId="3273" priority="3291">
      <formula>LEN(TRIM(F28))=0</formula>
    </cfRule>
  </conditionalFormatting>
  <conditionalFormatting sqref="G28">
    <cfRule type="expression" dxfId="3272" priority="3286">
      <formula>AND(OR($D28="GD&amp;T",$D28="MAX"),$G28&lt;&gt;"")</formula>
    </cfRule>
    <cfRule type="expression" dxfId="3271" priority="3287">
      <formula>AND(OR($D28="GD&amp;T",$D28="MAX"),$G28="")</formula>
    </cfRule>
    <cfRule type="containsBlanks" dxfId="3270" priority="3288">
      <formula>LEN(TRIM(G28))=0</formula>
    </cfRule>
  </conditionalFormatting>
  <conditionalFormatting sqref="F28">
    <cfRule type="expression" dxfId="3269" priority="3283">
      <formula>AND($D28="MIN",$F28&lt;&gt;"")</formula>
    </cfRule>
    <cfRule type="expression" dxfId="3268" priority="3284">
      <formula>AND($D28="MIN",$F28="")</formula>
    </cfRule>
    <cfRule type="containsBlanks" dxfId="3267" priority="3285">
      <formula>LEN(TRIM(F28))=0</formula>
    </cfRule>
  </conditionalFormatting>
  <conditionalFormatting sqref="G28">
    <cfRule type="expression" dxfId="3266" priority="3280">
      <formula>AND(OR($D28="GD&amp;T",$D28="MAX"),$G28&lt;&gt;"")</formula>
    </cfRule>
    <cfRule type="expression" dxfId="3265" priority="3281">
      <formula>AND(OR($D28="GD&amp;T",$D28="MAX"),$G28="")</formula>
    </cfRule>
    <cfRule type="containsBlanks" dxfId="3264" priority="3282">
      <formula>LEN(TRIM(G28))=0</formula>
    </cfRule>
  </conditionalFormatting>
  <conditionalFormatting sqref="F28">
    <cfRule type="expression" dxfId="3263" priority="3277">
      <formula>AND($D28="MIN",$F28&lt;&gt;"")</formula>
    </cfRule>
    <cfRule type="expression" dxfId="3262" priority="3278">
      <formula>AND($D28="MIN",$F28="")</formula>
    </cfRule>
    <cfRule type="containsBlanks" dxfId="3261" priority="3279">
      <formula>LEN(TRIM(F28))=0</formula>
    </cfRule>
  </conditionalFormatting>
  <conditionalFormatting sqref="G28">
    <cfRule type="expression" dxfId="3260" priority="3274">
      <formula>AND(OR($D28="GD&amp;T",$D28="MAX"),$G28&lt;&gt;"")</formula>
    </cfRule>
    <cfRule type="expression" dxfId="3259" priority="3275">
      <formula>AND(OR($D28="GD&amp;T",$D28="MAX"),$G28="")</formula>
    </cfRule>
    <cfRule type="containsBlanks" dxfId="3258" priority="3276">
      <formula>LEN(TRIM(G28))=0</formula>
    </cfRule>
  </conditionalFormatting>
  <conditionalFormatting sqref="F28">
    <cfRule type="expression" dxfId="3257" priority="3271">
      <formula>AND($D28="MIN",$F28&lt;&gt;"")</formula>
    </cfRule>
    <cfRule type="expression" dxfId="3256" priority="3272">
      <formula>AND($D28="MIN",$F28="")</formula>
    </cfRule>
    <cfRule type="containsBlanks" dxfId="3255" priority="3273">
      <formula>LEN(TRIM(F28))=0</formula>
    </cfRule>
  </conditionalFormatting>
  <conditionalFormatting sqref="G28">
    <cfRule type="expression" dxfId="3254" priority="3268">
      <formula>AND(OR($D28="GD&amp;T",$D28="MAX"),$G28&lt;&gt;"")</formula>
    </cfRule>
    <cfRule type="expression" dxfId="3253" priority="3269">
      <formula>AND(OR($D28="GD&amp;T",$D28="MAX"),$G28="")</formula>
    </cfRule>
    <cfRule type="containsBlanks" dxfId="3252" priority="3270">
      <formula>LEN(TRIM(G28))=0</formula>
    </cfRule>
  </conditionalFormatting>
  <conditionalFormatting sqref="F28">
    <cfRule type="expression" dxfId="3251" priority="3265">
      <formula>AND($D28="MIN",$F28&lt;&gt;"")</formula>
    </cfRule>
    <cfRule type="expression" dxfId="3250" priority="3266">
      <formula>AND($D28="MIN",$F28="")</formula>
    </cfRule>
    <cfRule type="containsBlanks" dxfId="3249" priority="3267">
      <formula>LEN(TRIM(F28))=0</formula>
    </cfRule>
  </conditionalFormatting>
  <conditionalFormatting sqref="G28">
    <cfRule type="expression" dxfId="3248" priority="3262">
      <formula>AND(OR($D28="GD&amp;T",$D28="MAX"),$G28&lt;&gt;"")</formula>
    </cfRule>
    <cfRule type="expression" dxfId="3247" priority="3263">
      <formula>AND(OR($D28="GD&amp;T",$D28="MAX"),$G28="")</formula>
    </cfRule>
    <cfRule type="containsBlanks" dxfId="3246" priority="3264">
      <formula>LEN(TRIM(G28))=0</formula>
    </cfRule>
  </conditionalFormatting>
  <conditionalFormatting sqref="F28">
    <cfRule type="expression" dxfId="3245" priority="3259">
      <formula>AND($D28="MIN",$F28&lt;&gt;"")</formula>
    </cfRule>
    <cfRule type="expression" dxfId="3244" priority="3260">
      <formula>AND($D28="MIN",$F28="")</formula>
    </cfRule>
    <cfRule type="containsBlanks" dxfId="3243" priority="3261">
      <formula>LEN(TRIM(F28))=0</formula>
    </cfRule>
  </conditionalFormatting>
  <conditionalFormatting sqref="G28">
    <cfRule type="expression" dxfId="3242" priority="3256">
      <formula>AND(OR($D28="GD&amp;T",$D28="MAX"),$G28&lt;&gt;"")</formula>
    </cfRule>
    <cfRule type="expression" dxfId="3241" priority="3257">
      <formula>AND(OR($D28="GD&amp;T",$D28="MAX"),$G28="")</formula>
    </cfRule>
    <cfRule type="containsBlanks" dxfId="3240" priority="3258">
      <formula>LEN(TRIM(G28))=0</formula>
    </cfRule>
  </conditionalFormatting>
  <conditionalFormatting sqref="F28">
    <cfRule type="expression" dxfId="3239" priority="3253">
      <formula>AND($D28="MIN",$F28&lt;&gt;"")</formula>
    </cfRule>
    <cfRule type="expression" dxfId="3238" priority="3254">
      <formula>AND($D28="MIN",$F28="")</formula>
    </cfRule>
    <cfRule type="containsBlanks" dxfId="3237" priority="3255">
      <formula>LEN(TRIM(F28))=0</formula>
    </cfRule>
  </conditionalFormatting>
  <conditionalFormatting sqref="G28">
    <cfRule type="expression" dxfId="3236" priority="3250">
      <formula>AND(OR($D28="GD&amp;T",$D28="MAX"),$G28&lt;&gt;"")</formula>
    </cfRule>
    <cfRule type="expression" dxfId="3235" priority="3251">
      <formula>AND(OR($D28="GD&amp;T",$D28="MAX"),$G28="")</formula>
    </cfRule>
    <cfRule type="containsBlanks" dxfId="3234" priority="3252">
      <formula>LEN(TRIM(G28))=0</formula>
    </cfRule>
  </conditionalFormatting>
  <conditionalFormatting sqref="F28">
    <cfRule type="expression" dxfId="3233" priority="3247">
      <formula>AND($D28="MIN",$F28&lt;&gt;"")</formula>
    </cfRule>
    <cfRule type="expression" dxfId="3232" priority="3248">
      <formula>AND($D28="MIN",$F28="")</formula>
    </cfRule>
    <cfRule type="containsBlanks" dxfId="3231" priority="3249">
      <formula>LEN(TRIM(F28))=0</formula>
    </cfRule>
  </conditionalFormatting>
  <conditionalFormatting sqref="G28">
    <cfRule type="expression" dxfId="3230" priority="3244">
      <formula>AND(OR($D28="GD&amp;T",$D28="MAX"),$G28&lt;&gt;"")</formula>
    </cfRule>
    <cfRule type="expression" dxfId="3229" priority="3245">
      <formula>AND(OR($D28="GD&amp;T",$D28="MAX"),$G28="")</formula>
    </cfRule>
    <cfRule type="containsBlanks" dxfId="3228" priority="3246">
      <formula>LEN(TRIM(G28))=0</formula>
    </cfRule>
  </conditionalFormatting>
  <conditionalFormatting sqref="F28">
    <cfRule type="expression" dxfId="3227" priority="3241">
      <formula>AND($D28="MIN",$F28&lt;&gt;"")</formula>
    </cfRule>
    <cfRule type="expression" dxfId="3226" priority="3242">
      <formula>AND($D28="MIN",$F28="")</formula>
    </cfRule>
    <cfRule type="containsBlanks" dxfId="3225" priority="3243">
      <formula>LEN(TRIM(F28))=0</formula>
    </cfRule>
  </conditionalFormatting>
  <conditionalFormatting sqref="F28">
    <cfRule type="expression" dxfId="3224" priority="3238">
      <formula>AND($D28="MIN",$F28&lt;&gt;"")</formula>
    </cfRule>
    <cfRule type="expression" dxfId="3223" priority="3239">
      <formula>AND($D28="MIN",$F28="")</formula>
    </cfRule>
    <cfRule type="containsBlanks" dxfId="3222" priority="3240">
      <formula>LEN(TRIM(F28))=0</formula>
    </cfRule>
  </conditionalFormatting>
  <conditionalFormatting sqref="F28">
    <cfRule type="expression" dxfId="3221" priority="3235">
      <formula>AND($D28="MIN",$F28&lt;&gt;"")</formula>
    </cfRule>
    <cfRule type="expression" dxfId="3220" priority="3236">
      <formula>AND($D28="MIN",$F28="")</formula>
    </cfRule>
    <cfRule type="containsBlanks" dxfId="3219" priority="3237">
      <formula>LEN(TRIM(F28))=0</formula>
    </cfRule>
  </conditionalFormatting>
  <conditionalFormatting sqref="F28">
    <cfRule type="expression" dxfId="3218" priority="3232">
      <formula>AND($D28="MIN",$F28&lt;&gt;"")</formula>
    </cfRule>
    <cfRule type="expression" dxfId="3217" priority="3233">
      <formula>AND($D28="MIN",$F28="")</formula>
    </cfRule>
    <cfRule type="containsBlanks" dxfId="3216" priority="3234">
      <formula>LEN(TRIM(F28))=0</formula>
    </cfRule>
  </conditionalFormatting>
  <conditionalFormatting sqref="F28">
    <cfRule type="expression" dxfId="3215" priority="3229">
      <formula>AND($D28="MIN",$F28&lt;&gt;"")</formula>
    </cfRule>
    <cfRule type="expression" dxfId="3214" priority="3230">
      <formula>AND($D28="MIN",$F28="")</formula>
    </cfRule>
    <cfRule type="containsBlanks" dxfId="3213" priority="3231">
      <formula>LEN(TRIM(F28))=0</formula>
    </cfRule>
  </conditionalFormatting>
  <conditionalFormatting sqref="F28">
    <cfRule type="expression" dxfId="3212" priority="3226">
      <formula>AND($D28="MIN",$F28&lt;&gt;"")</formula>
    </cfRule>
    <cfRule type="expression" dxfId="3211" priority="3227">
      <formula>AND($D28="MIN",$F28="")</formula>
    </cfRule>
    <cfRule type="containsBlanks" dxfId="3210" priority="3228">
      <formula>LEN(TRIM(F28))=0</formula>
    </cfRule>
  </conditionalFormatting>
  <conditionalFormatting sqref="G28">
    <cfRule type="expression" dxfId="3209" priority="3223">
      <formula>AND(OR($D28="GD&amp;T",$D28="MAX"),$G28&lt;&gt;"")</formula>
    </cfRule>
    <cfRule type="expression" dxfId="3208" priority="3224">
      <formula>AND(OR($D28="GD&amp;T",$D28="MAX"),$G28="")</formula>
    </cfRule>
    <cfRule type="containsBlanks" dxfId="3207" priority="3225">
      <formula>LEN(TRIM(G28))=0</formula>
    </cfRule>
  </conditionalFormatting>
  <conditionalFormatting sqref="F28">
    <cfRule type="expression" dxfId="3206" priority="3220">
      <formula>AND($D28="MIN",$F28&lt;&gt;"")</formula>
    </cfRule>
    <cfRule type="expression" dxfId="3205" priority="3221">
      <formula>AND($D28="MIN",$F28="")</formula>
    </cfRule>
    <cfRule type="containsBlanks" dxfId="3204" priority="3222">
      <formula>LEN(TRIM(F28))=0</formula>
    </cfRule>
  </conditionalFormatting>
  <conditionalFormatting sqref="G28">
    <cfRule type="expression" dxfId="3203" priority="3217">
      <formula>AND(OR($D28="GD&amp;T",$D28="MAX"),$G28&lt;&gt;"")</formula>
    </cfRule>
    <cfRule type="expression" dxfId="3202" priority="3218">
      <formula>AND(OR($D28="GD&amp;T",$D28="MAX"),$G28="")</formula>
    </cfRule>
    <cfRule type="containsBlanks" dxfId="3201" priority="3219">
      <formula>LEN(TRIM(G28))=0</formula>
    </cfRule>
  </conditionalFormatting>
  <conditionalFormatting sqref="F28">
    <cfRule type="expression" dxfId="3200" priority="3214">
      <formula>AND($D28="MIN",$F28&lt;&gt;"")</formula>
    </cfRule>
    <cfRule type="expression" dxfId="3199" priority="3215">
      <formula>AND($D28="MIN",$F28="")</formula>
    </cfRule>
    <cfRule type="containsBlanks" dxfId="3198" priority="3216">
      <formula>LEN(TRIM(F28))=0</formula>
    </cfRule>
  </conditionalFormatting>
  <conditionalFormatting sqref="G28">
    <cfRule type="expression" dxfId="3197" priority="3211">
      <formula>AND(OR($D28="GD&amp;T",$D28="MAX"),$G28&lt;&gt;"")</formula>
    </cfRule>
    <cfRule type="expression" dxfId="3196" priority="3212">
      <formula>AND(OR($D28="GD&amp;T",$D28="MAX"),$G28="")</formula>
    </cfRule>
    <cfRule type="containsBlanks" dxfId="3195" priority="3213">
      <formula>LEN(TRIM(G28))=0</formula>
    </cfRule>
  </conditionalFormatting>
  <conditionalFormatting sqref="F28">
    <cfRule type="expression" dxfId="3194" priority="3208">
      <formula>AND($D28="MIN",$F28&lt;&gt;"")</formula>
    </cfRule>
    <cfRule type="expression" dxfId="3193" priority="3209">
      <formula>AND($D28="MIN",$F28="")</formula>
    </cfRule>
    <cfRule type="containsBlanks" dxfId="3192" priority="3210">
      <formula>LEN(TRIM(F28))=0</formula>
    </cfRule>
  </conditionalFormatting>
  <conditionalFormatting sqref="G28">
    <cfRule type="expression" dxfId="3191" priority="3205">
      <formula>AND(OR($D28="GD&amp;T",$D28="MAX"),$G28&lt;&gt;"")</formula>
    </cfRule>
    <cfRule type="expression" dxfId="3190" priority="3206">
      <formula>AND(OR($D28="GD&amp;T",$D28="MAX"),$G28="")</formula>
    </cfRule>
    <cfRule type="containsBlanks" dxfId="3189" priority="3207">
      <formula>LEN(TRIM(G28))=0</formula>
    </cfRule>
  </conditionalFormatting>
  <conditionalFormatting sqref="G28">
    <cfRule type="expression" dxfId="3188" priority="3202">
      <formula>AND(OR($D28="GD&amp;T",$D28="MAX"),$G28&lt;&gt;"")</formula>
    </cfRule>
    <cfRule type="expression" dxfId="3187" priority="3203">
      <formula>AND(OR($D28="GD&amp;T",$D28="MAX"),$G28="")</formula>
    </cfRule>
    <cfRule type="containsBlanks" dxfId="3186" priority="3204">
      <formula>LEN(TRIM(G28))=0</formula>
    </cfRule>
  </conditionalFormatting>
  <conditionalFormatting sqref="G28">
    <cfRule type="expression" dxfId="3185" priority="3199">
      <formula>AND(OR($D28="GD&amp;T",$D28="MAX"),$G28&lt;&gt;"")</formula>
    </cfRule>
    <cfRule type="expression" dxfId="3184" priority="3200">
      <formula>AND(OR($D28="GD&amp;T",$D28="MAX"),$G28="")</formula>
    </cfRule>
    <cfRule type="containsBlanks" dxfId="3183" priority="3201">
      <formula>LEN(TRIM(G28))=0</formula>
    </cfRule>
  </conditionalFormatting>
  <conditionalFormatting sqref="G28">
    <cfRule type="expression" dxfId="3182" priority="3196">
      <formula>AND(OR($D28="GD&amp;T",$D28="MAX"),$G28&lt;&gt;"")</formula>
    </cfRule>
    <cfRule type="expression" dxfId="3181" priority="3197">
      <formula>AND(OR($D28="GD&amp;T",$D28="MAX"),$G28="")</formula>
    </cfRule>
    <cfRule type="containsBlanks" dxfId="3180" priority="3198">
      <formula>LEN(TRIM(G28))=0</formula>
    </cfRule>
  </conditionalFormatting>
  <conditionalFormatting sqref="G28">
    <cfRule type="expression" dxfId="3179" priority="3193">
      <formula>AND(OR($D28="GD&amp;T",$D28="MAX"),$G28&lt;&gt;"")</formula>
    </cfRule>
    <cfRule type="expression" dxfId="3178" priority="3194">
      <formula>AND(OR($D28="GD&amp;T",$D28="MAX"),$G28="")</formula>
    </cfRule>
    <cfRule type="containsBlanks" dxfId="3177" priority="3195">
      <formula>LEN(TRIM(G28))=0</formula>
    </cfRule>
  </conditionalFormatting>
  <conditionalFormatting sqref="G28">
    <cfRule type="expression" dxfId="3176" priority="3190">
      <formula>AND(OR($D28="GD&amp;T",$D28="MAX"),$G28&lt;&gt;"")</formula>
    </cfRule>
    <cfRule type="expression" dxfId="3175" priority="3191">
      <formula>AND(OR($D28="GD&amp;T",$D28="MAX"),$G28="")</formula>
    </cfRule>
    <cfRule type="containsBlanks" dxfId="3174" priority="3192">
      <formula>LEN(TRIM(G28))=0</formula>
    </cfRule>
  </conditionalFormatting>
  <conditionalFormatting sqref="F28">
    <cfRule type="expression" dxfId="3173" priority="3187">
      <formula>AND($D28="MIN",$F28&lt;&gt;"")</formula>
    </cfRule>
    <cfRule type="expression" dxfId="3172" priority="3188">
      <formula>AND($D28="MIN",$F28="")</formula>
    </cfRule>
    <cfRule type="containsBlanks" dxfId="3171" priority="3189">
      <formula>LEN(TRIM(F28))=0</formula>
    </cfRule>
  </conditionalFormatting>
  <conditionalFormatting sqref="F28">
    <cfRule type="expression" dxfId="3170" priority="3184">
      <formula>AND($D28="MIN",$F28&lt;&gt;"")</formula>
    </cfRule>
    <cfRule type="expression" dxfId="3169" priority="3185">
      <formula>AND($D28="MIN",$F28="")</formula>
    </cfRule>
    <cfRule type="containsBlanks" dxfId="3168" priority="3186">
      <formula>LEN(TRIM(F28))=0</formula>
    </cfRule>
  </conditionalFormatting>
  <conditionalFormatting sqref="F28">
    <cfRule type="expression" dxfId="3167" priority="3181">
      <formula>AND($D28="MIN",$F28&lt;&gt;"")</formula>
    </cfRule>
    <cfRule type="expression" dxfId="3166" priority="3182">
      <formula>AND($D28="MIN",$F28="")</formula>
    </cfRule>
    <cfRule type="containsBlanks" dxfId="3165" priority="3183">
      <formula>LEN(TRIM(F28))=0</formula>
    </cfRule>
  </conditionalFormatting>
  <conditionalFormatting sqref="F28">
    <cfRule type="expression" dxfId="3164" priority="3178">
      <formula>AND($D28="MIN",$F28&lt;&gt;"")</formula>
    </cfRule>
    <cfRule type="expression" dxfId="3163" priority="3179">
      <formula>AND($D28="MIN",$F28="")</formula>
    </cfRule>
    <cfRule type="containsBlanks" dxfId="3162" priority="3180">
      <formula>LEN(TRIM(F28))=0</formula>
    </cfRule>
  </conditionalFormatting>
  <conditionalFormatting sqref="F28">
    <cfRule type="expression" dxfId="3161" priority="3175">
      <formula>AND($D28="MIN",$F28&lt;&gt;"")</formula>
    </cfRule>
    <cfRule type="expression" dxfId="3160" priority="3176">
      <formula>AND($D28="MIN",$F28="")</formula>
    </cfRule>
    <cfRule type="containsBlanks" dxfId="3159" priority="3177">
      <formula>LEN(TRIM(F28))=0</formula>
    </cfRule>
  </conditionalFormatting>
  <conditionalFormatting sqref="F28">
    <cfRule type="expression" dxfId="3158" priority="3172">
      <formula>AND($D28="MIN",$F28&lt;&gt;"")</formula>
    </cfRule>
    <cfRule type="expression" dxfId="3157" priority="3173">
      <formula>AND($D28="MIN",$F28="")</formula>
    </cfRule>
    <cfRule type="containsBlanks" dxfId="3156" priority="3174">
      <formula>LEN(TRIM(F28))=0</formula>
    </cfRule>
  </conditionalFormatting>
  <conditionalFormatting sqref="G28">
    <cfRule type="expression" dxfId="3155" priority="3169">
      <formula>AND(OR($D28="GD&amp;T",$D28="MAX"),$G28&lt;&gt;"")</formula>
    </cfRule>
    <cfRule type="expression" dxfId="3154" priority="3170">
      <formula>AND(OR($D28="GD&amp;T",$D28="MAX"),$G28="")</formula>
    </cfRule>
    <cfRule type="containsBlanks" dxfId="3153" priority="3171">
      <formula>LEN(TRIM(G28))=0</formula>
    </cfRule>
  </conditionalFormatting>
  <conditionalFormatting sqref="F28">
    <cfRule type="expression" dxfId="3152" priority="3166">
      <formula>AND($D28="MIN",$F28&lt;&gt;"")</formula>
    </cfRule>
    <cfRule type="expression" dxfId="3151" priority="3167">
      <formula>AND($D28="MIN",$F28="")</formula>
    </cfRule>
    <cfRule type="containsBlanks" dxfId="3150" priority="3168">
      <formula>LEN(TRIM(F28))=0</formula>
    </cfRule>
  </conditionalFormatting>
  <conditionalFormatting sqref="G28">
    <cfRule type="expression" dxfId="3149" priority="3163">
      <formula>AND(OR($D28="GD&amp;T",$D28="MAX"),$G28&lt;&gt;"")</formula>
    </cfRule>
    <cfRule type="expression" dxfId="3148" priority="3164">
      <formula>AND(OR($D28="GD&amp;T",$D28="MAX"),$G28="")</formula>
    </cfRule>
    <cfRule type="containsBlanks" dxfId="3147" priority="3165">
      <formula>LEN(TRIM(G28))=0</formula>
    </cfRule>
  </conditionalFormatting>
  <conditionalFormatting sqref="F28">
    <cfRule type="expression" dxfId="3146" priority="3160">
      <formula>AND($D28="MIN",$F28&lt;&gt;"")</formula>
    </cfRule>
    <cfRule type="expression" dxfId="3145" priority="3161">
      <formula>AND($D28="MIN",$F28="")</formula>
    </cfRule>
    <cfRule type="containsBlanks" dxfId="3144" priority="3162">
      <formula>LEN(TRIM(F28))=0</formula>
    </cfRule>
  </conditionalFormatting>
  <conditionalFormatting sqref="G28">
    <cfRule type="expression" dxfId="3143" priority="3157">
      <formula>AND(OR($D28="GD&amp;T",$D28="MAX"),$G28&lt;&gt;"")</formula>
    </cfRule>
    <cfRule type="expression" dxfId="3142" priority="3158">
      <formula>AND(OR($D28="GD&amp;T",$D28="MAX"),$G28="")</formula>
    </cfRule>
    <cfRule type="containsBlanks" dxfId="3141" priority="3159">
      <formula>LEN(TRIM(G28))=0</formula>
    </cfRule>
  </conditionalFormatting>
  <conditionalFormatting sqref="F28">
    <cfRule type="expression" dxfId="3140" priority="3154">
      <formula>AND($D28="MIN",$F28&lt;&gt;"")</formula>
    </cfRule>
    <cfRule type="expression" dxfId="3139" priority="3155">
      <formula>AND($D28="MIN",$F28="")</formula>
    </cfRule>
    <cfRule type="containsBlanks" dxfId="3138" priority="3156">
      <formula>LEN(TRIM(F28))=0</formula>
    </cfRule>
  </conditionalFormatting>
  <conditionalFormatting sqref="G28">
    <cfRule type="expression" dxfId="3137" priority="3151">
      <formula>AND(OR($D28="GD&amp;T",$D28="MAX"),$G28&lt;&gt;"")</formula>
    </cfRule>
    <cfRule type="expression" dxfId="3136" priority="3152">
      <formula>AND(OR($D28="GD&amp;T",$D28="MAX"),$G28="")</formula>
    </cfRule>
    <cfRule type="containsBlanks" dxfId="3135" priority="3153">
      <formula>LEN(TRIM(G28))=0</formula>
    </cfRule>
  </conditionalFormatting>
  <conditionalFormatting sqref="F28">
    <cfRule type="expression" dxfId="3134" priority="3148">
      <formula>AND($D28="MIN",$F28&lt;&gt;"")</formula>
    </cfRule>
    <cfRule type="expression" dxfId="3133" priority="3149">
      <formula>AND($D28="MIN",$F28="")</formula>
    </cfRule>
    <cfRule type="containsBlanks" dxfId="3132" priority="3150">
      <formula>LEN(TRIM(F28))=0</formula>
    </cfRule>
  </conditionalFormatting>
  <conditionalFormatting sqref="G28">
    <cfRule type="expression" dxfId="3131" priority="3145">
      <formula>AND(OR($D28="GD&amp;T",$D28="MAX"),$G28&lt;&gt;"")</formula>
    </cfRule>
    <cfRule type="expression" dxfId="3130" priority="3146">
      <formula>AND(OR($D28="GD&amp;T",$D28="MAX"),$G28="")</formula>
    </cfRule>
    <cfRule type="containsBlanks" dxfId="3129" priority="3147">
      <formula>LEN(TRIM(G28))=0</formula>
    </cfRule>
  </conditionalFormatting>
  <conditionalFormatting sqref="F28">
    <cfRule type="expression" dxfId="3128" priority="3142">
      <formula>AND($D28="MIN",$F28&lt;&gt;"")</formula>
    </cfRule>
    <cfRule type="expression" dxfId="3127" priority="3143">
      <formula>AND($D28="MIN",$F28="")</formula>
    </cfRule>
    <cfRule type="containsBlanks" dxfId="3126" priority="3144">
      <formula>LEN(TRIM(F28))=0</formula>
    </cfRule>
  </conditionalFormatting>
  <conditionalFormatting sqref="G28">
    <cfRule type="expression" dxfId="3125" priority="3139">
      <formula>AND(OR($D28="GD&amp;T",$D28="MAX"),$G28&lt;&gt;"")</formula>
    </cfRule>
    <cfRule type="expression" dxfId="3124" priority="3140">
      <formula>AND(OR($D28="GD&amp;T",$D28="MAX"),$G28="")</formula>
    </cfRule>
    <cfRule type="containsBlanks" dxfId="3123" priority="3141">
      <formula>LEN(TRIM(G28))=0</formula>
    </cfRule>
  </conditionalFormatting>
  <conditionalFormatting sqref="F28">
    <cfRule type="expression" dxfId="3122" priority="3136">
      <formula>AND($D28="MIN",$F28&lt;&gt;"")</formula>
    </cfRule>
    <cfRule type="expression" dxfId="3121" priority="3137">
      <formula>AND($D28="MIN",$F28="")</formula>
    </cfRule>
    <cfRule type="containsBlanks" dxfId="3120" priority="3138">
      <formula>LEN(TRIM(F28))=0</formula>
    </cfRule>
  </conditionalFormatting>
  <conditionalFormatting sqref="G28">
    <cfRule type="expression" dxfId="3119" priority="3133">
      <formula>AND(OR($D28="GD&amp;T",$D28="MAX"),$G28&lt;&gt;"")</formula>
    </cfRule>
    <cfRule type="expression" dxfId="3118" priority="3134">
      <formula>AND(OR($D28="GD&amp;T",$D28="MAX"),$G28="")</formula>
    </cfRule>
    <cfRule type="containsBlanks" dxfId="3117" priority="3135">
      <formula>LEN(TRIM(G28))=0</formula>
    </cfRule>
  </conditionalFormatting>
  <conditionalFormatting sqref="F28">
    <cfRule type="expression" dxfId="3116" priority="3130">
      <formula>AND($D28="MIN",$F28&lt;&gt;"")</formula>
    </cfRule>
    <cfRule type="expression" dxfId="3115" priority="3131">
      <formula>AND($D28="MIN",$F28="")</formula>
    </cfRule>
    <cfRule type="containsBlanks" dxfId="3114" priority="3132">
      <formula>LEN(TRIM(F28))=0</formula>
    </cfRule>
  </conditionalFormatting>
  <conditionalFormatting sqref="G28">
    <cfRule type="expression" dxfId="3113" priority="3127">
      <formula>AND(OR($D28="GD&amp;T",$D28="MAX"),$G28&lt;&gt;"")</formula>
    </cfRule>
    <cfRule type="expression" dxfId="3112" priority="3128">
      <formula>AND(OR($D28="GD&amp;T",$D28="MAX"),$G28="")</formula>
    </cfRule>
    <cfRule type="containsBlanks" dxfId="3111" priority="3129">
      <formula>LEN(TRIM(G28))=0</formula>
    </cfRule>
  </conditionalFormatting>
  <conditionalFormatting sqref="F28">
    <cfRule type="expression" dxfId="3110" priority="3124">
      <formula>AND($D28="MIN",$F28&lt;&gt;"")</formula>
    </cfRule>
    <cfRule type="expression" dxfId="3109" priority="3125">
      <formula>AND($D28="MIN",$F28="")</formula>
    </cfRule>
    <cfRule type="containsBlanks" dxfId="3108" priority="3126">
      <formula>LEN(TRIM(F28))=0</formula>
    </cfRule>
  </conditionalFormatting>
  <conditionalFormatting sqref="F28">
    <cfRule type="expression" dxfId="3107" priority="3121">
      <formula>AND($D28="MIN",$F28&lt;&gt;"")</formula>
    </cfRule>
    <cfRule type="expression" dxfId="3106" priority="3122">
      <formula>AND($D28="MIN",$F28="")</formula>
    </cfRule>
    <cfRule type="containsBlanks" dxfId="3105" priority="3123">
      <formula>LEN(TRIM(F28))=0</formula>
    </cfRule>
  </conditionalFormatting>
  <conditionalFormatting sqref="F28">
    <cfRule type="expression" dxfId="3104" priority="3118">
      <formula>AND($D28="MIN",$F28&lt;&gt;"")</formula>
    </cfRule>
    <cfRule type="expression" dxfId="3103" priority="3119">
      <formula>AND($D28="MIN",$F28="")</formula>
    </cfRule>
    <cfRule type="containsBlanks" dxfId="3102" priority="3120">
      <formula>LEN(TRIM(F28))=0</formula>
    </cfRule>
  </conditionalFormatting>
  <conditionalFormatting sqref="F28">
    <cfRule type="expression" dxfId="3101" priority="3115">
      <formula>AND($D28="MIN",$F28&lt;&gt;"")</formula>
    </cfRule>
    <cfRule type="expression" dxfId="3100" priority="3116">
      <formula>AND($D28="MIN",$F28="")</formula>
    </cfRule>
    <cfRule type="containsBlanks" dxfId="3099" priority="3117">
      <formula>LEN(TRIM(F28))=0</formula>
    </cfRule>
  </conditionalFormatting>
  <conditionalFormatting sqref="F28">
    <cfRule type="expression" dxfId="3098" priority="3112">
      <formula>AND($D28="MIN",$F28&lt;&gt;"")</formula>
    </cfRule>
    <cfRule type="expression" dxfId="3097" priority="3113">
      <formula>AND($D28="MIN",$F28="")</formula>
    </cfRule>
    <cfRule type="containsBlanks" dxfId="3096" priority="3114">
      <formula>LEN(TRIM(F28))=0</formula>
    </cfRule>
  </conditionalFormatting>
  <conditionalFormatting sqref="E30">
    <cfRule type="expression" dxfId="3095" priority="3109">
      <formula>AND($D30&lt;&gt;"Tolerance",$E30&lt;&gt;"")</formula>
    </cfRule>
    <cfRule type="expression" dxfId="3094" priority="3110">
      <formula>AND(OR($D30="GD&amp;T",$D30="MAX",$D30="MIN"),$E30="")</formula>
    </cfRule>
    <cfRule type="containsBlanks" dxfId="3093" priority="3111">
      <formula>LEN(TRIM(E30))=0</formula>
    </cfRule>
  </conditionalFormatting>
  <conditionalFormatting sqref="F30">
    <cfRule type="expression" dxfId="3092" priority="3106">
      <formula>AND($D30="MIN",$F30&lt;&gt;"")</formula>
    </cfRule>
    <cfRule type="expression" dxfId="3091" priority="3107">
      <formula>AND($D30="MIN",$F30="")</formula>
    </cfRule>
    <cfRule type="containsBlanks" dxfId="3090" priority="3108">
      <formula>LEN(TRIM(F30))=0</formula>
    </cfRule>
  </conditionalFormatting>
  <conditionalFormatting sqref="G30">
    <cfRule type="expression" dxfId="3089" priority="3103">
      <formula>AND(OR($D30="GD&amp;T",$D30="MAX"),$G30&lt;&gt;"")</formula>
    </cfRule>
    <cfRule type="expression" dxfId="3088" priority="3104">
      <formula>AND(OR($D30="GD&amp;T",$D30="MAX"),$G30="")</formula>
    </cfRule>
    <cfRule type="containsBlanks" dxfId="3087" priority="3105">
      <formula>LEN(TRIM(G30))=0</formula>
    </cfRule>
  </conditionalFormatting>
  <conditionalFormatting sqref="F30">
    <cfRule type="expression" dxfId="3086" priority="3100">
      <formula>AND($D30="MIN",$F30&lt;&gt;"")</formula>
    </cfRule>
    <cfRule type="expression" dxfId="3085" priority="3101">
      <formula>AND($D30="MIN",$F30="")</formula>
    </cfRule>
    <cfRule type="containsBlanks" dxfId="3084" priority="3102">
      <formula>LEN(TRIM(F30))=0</formula>
    </cfRule>
  </conditionalFormatting>
  <conditionalFormatting sqref="G30">
    <cfRule type="expression" dxfId="3083" priority="3097">
      <formula>AND(OR($D30="GD&amp;T",$D30="MAX"),$G30&lt;&gt;"")</formula>
    </cfRule>
    <cfRule type="expression" dxfId="3082" priority="3098">
      <formula>AND(OR($D30="GD&amp;T",$D30="MAX"),$G30="")</formula>
    </cfRule>
    <cfRule type="containsBlanks" dxfId="3081" priority="3099">
      <formula>LEN(TRIM(G30))=0</formula>
    </cfRule>
  </conditionalFormatting>
  <conditionalFormatting sqref="F30">
    <cfRule type="expression" dxfId="3080" priority="3094">
      <formula>AND($D30="MIN",$F30&lt;&gt;"")</formula>
    </cfRule>
    <cfRule type="expression" dxfId="3079" priority="3095">
      <formula>AND($D30="MIN",$F30="")</formula>
    </cfRule>
    <cfRule type="containsBlanks" dxfId="3078" priority="3096">
      <formula>LEN(TRIM(F30))=0</formula>
    </cfRule>
  </conditionalFormatting>
  <conditionalFormatting sqref="G30">
    <cfRule type="expression" dxfId="3077" priority="3091">
      <formula>AND(OR($D30="GD&amp;T",$D30="MAX"),$G30&lt;&gt;"")</formula>
    </cfRule>
    <cfRule type="expression" dxfId="3076" priority="3092">
      <formula>AND(OR($D30="GD&amp;T",$D30="MAX"),$G30="")</formula>
    </cfRule>
    <cfRule type="containsBlanks" dxfId="3075" priority="3093">
      <formula>LEN(TRIM(G30))=0</formula>
    </cfRule>
  </conditionalFormatting>
  <conditionalFormatting sqref="F30">
    <cfRule type="expression" dxfId="3074" priority="3088">
      <formula>AND($D30="MIN",$F30&lt;&gt;"")</formula>
    </cfRule>
    <cfRule type="expression" dxfId="3073" priority="3089">
      <formula>AND($D30="MIN",$F30="")</formula>
    </cfRule>
    <cfRule type="containsBlanks" dxfId="3072" priority="3090">
      <formula>LEN(TRIM(F30))=0</formula>
    </cfRule>
  </conditionalFormatting>
  <conditionalFormatting sqref="G30">
    <cfRule type="expression" dxfId="3071" priority="3085">
      <formula>AND(OR($D30="GD&amp;T",$D30="MAX"),$G30&lt;&gt;"")</formula>
    </cfRule>
    <cfRule type="expression" dxfId="3070" priority="3086">
      <formula>AND(OR($D30="GD&amp;T",$D30="MAX"),$G30="")</formula>
    </cfRule>
    <cfRule type="containsBlanks" dxfId="3069" priority="3087">
      <formula>LEN(TRIM(G30))=0</formula>
    </cfRule>
  </conditionalFormatting>
  <conditionalFormatting sqref="F30">
    <cfRule type="expression" dxfId="3068" priority="3082">
      <formula>AND($D30="MIN",$F30&lt;&gt;"")</formula>
    </cfRule>
    <cfRule type="expression" dxfId="3067" priority="3083">
      <formula>AND($D30="MIN",$F30="")</formula>
    </cfRule>
    <cfRule type="containsBlanks" dxfId="3066" priority="3084">
      <formula>LEN(TRIM(F30))=0</formula>
    </cfRule>
  </conditionalFormatting>
  <conditionalFormatting sqref="G30">
    <cfRule type="expression" dxfId="3065" priority="3079">
      <formula>AND(OR($D30="GD&amp;T",$D30="MAX"),$G30&lt;&gt;"")</formula>
    </cfRule>
    <cfRule type="expression" dxfId="3064" priority="3080">
      <formula>AND(OR($D30="GD&amp;T",$D30="MAX"),$G30="")</formula>
    </cfRule>
    <cfRule type="containsBlanks" dxfId="3063" priority="3081">
      <formula>LEN(TRIM(G30))=0</formula>
    </cfRule>
  </conditionalFormatting>
  <conditionalFormatting sqref="F30">
    <cfRule type="expression" dxfId="3062" priority="3076">
      <formula>AND($D30="MIN",$F30&lt;&gt;"")</formula>
    </cfRule>
    <cfRule type="expression" dxfId="3061" priority="3077">
      <formula>AND($D30="MIN",$F30="")</formula>
    </cfRule>
    <cfRule type="containsBlanks" dxfId="3060" priority="3078">
      <formula>LEN(TRIM(F30))=0</formula>
    </cfRule>
  </conditionalFormatting>
  <conditionalFormatting sqref="G30">
    <cfRule type="expression" dxfId="3059" priority="3073">
      <formula>AND(OR($D30="GD&amp;T",$D30="MAX"),$G30&lt;&gt;"")</formula>
    </cfRule>
    <cfRule type="expression" dxfId="3058" priority="3074">
      <formula>AND(OR($D30="GD&amp;T",$D30="MAX"),$G30="")</formula>
    </cfRule>
    <cfRule type="containsBlanks" dxfId="3057" priority="3075">
      <formula>LEN(TRIM(G30))=0</formula>
    </cfRule>
  </conditionalFormatting>
  <conditionalFormatting sqref="F30">
    <cfRule type="expression" dxfId="3056" priority="3070">
      <formula>AND($D30="MIN",$F30&lt;&gt;"")</formula>
    </cfRule>
    <cfRule type="expression" dxfId="3055" priority="3071">
      <formula>AND($D30="MIN",$F30="")</formula>
    </cfRule>
    <cfRule type="containsBlanks" dxfId="3054" priority="3072">
      <formula>LEN(TRIM(F30))=0</formula>
    </cfRule>
  </conditionalFormatting>
  <conditionalFormatting sqref="G30">
    <cfRule type="expression" dxfId="3053" priority="3067">
      <formula>AND(OR($D30="GD&amp;T",$D30="MAX"),$G30&lt;&gt;"")</formula>
    </cfRule>
    <cfRule type="expression" dxfId="3052" priority="3068">
      <formula>AND(OR($D30="GD&amp;T",$D30="MAX"),$G30="")</formula>
    </cfRule>
    <cfRule type="containsBlanks" dxfId="3051" priority="3069">
      <formula>LEN(TRIM(G30))=0</formula>
    </cfRule>
  </conditionalFormatting>
  <conditionalFormatting sqref="F30">
    <cfRule type="expression" dxfId="3050" priority="3064">
      <formula>AND($D30="MIN",$F30&lt;&gt;"")</formula>
    </cfRule>
    <cfRule type="expression" dxfId="3049" priority="3065">
      <formula>AND($D30="MIN",$F30="")</formula>
    </cfRule>
    <cfRule type="containsBlanks" dxfId="3048" priority="3066">
      <formula>LEN(TRIM(F30))=0</formula>
    </cfRule>
  </conditionalFormatting>
  <conditionalFormatting sqref="G30">
    <cfRule type="expression" dxfId="3047" priority="3061">
      <formula>AND(OR($D30="GD&amp;T",$D30="MAX"),$G30&lt;&gt;"")</formula>
    </cfRule>
    <cfRule type="expression" dxfId="3046" priority="3062">
      <formula>AND(OR($D30="GD&amp;T",$D30="MAX"),$G30="")</formula>
    </cfRule>
    <cfRule type="containsBlanks" dxfId="3045" priority="3063">
      <formula>LEN(TRIM(G30))=0</formula>
    </cfRule>
  </conditionalFormatting>
  <conditionalFormatting sqref="F30">
    <cfRule type="expression" dxfId="3044" priority="3058">
      <formula>AND($D30="MIN",$F30&lt;&gt;"")</formula>
    </cfRule>
    <cfRule type="expression" dxfId="3043" priority="3059">
      <formula>AND($D30="MIN",$F30="")</formula>
    </cfRule>
    <cfRule type="containsBlanks" dxfId="3042" priority="3060">
      <formula>LEN(TRIM(F30))=0</formula>
    </cfRule>
  </conditionalFormatting>
  <conditionalFormatting sqref="F30">
    <cfRule type="expression" dxfId="3041" priority="3055">
      <formula>AND($D30="MIN",$F30&lt;&gt;"")</formula>
    </cfRule>
    <cfRule type="expression" dxfId="3040" priority="3056">
      <formula>AND($D30="MIN",$F30="")</formula>
    </cfRule>
    <cfRule type="containsBlanks" dxfId="3039" priority="3057">
      <formula>LEN(TRIM(F30))=0</formula>
    </cfRule>
  </conditionalFormatting>
  <conditionalFormatting sqref="F30">
    <cfRule type="expression" dxfId="3038" priority="3052">
      <formula>AND($D30="MIN",$F30&lt;&gt;"")</formula>
    </cfRule>
    <cfRule type="expression" dxfId="3037" priority="3053">
      <formula>AND($D30="MIN",$F30="")</formula>
    </cfRule>
    <cfRule type="containsBlanks" dxfId="3036" priority="3054">
      <formula>LEN(TRIM(F30))=0</formula>
    </cfRule>
  </conditionalFormatting>
  <conditionalFormatting sqref="F30">
    <cfRule type="expression" dxfId="3035" priority="3049">
      <formula>AND($D30="MIN",$F30&lt;&gt;"")</formula>
    </cfRule>
    <cfRule type="expression" dxfId="3034" priority="3050">
      <formula>AND($D30="MIN",$F30="")</formula>
    </cfRule>
    <cfRule type="containsBlanks" dxfId="3033" priority="3051">
      <formula>LEN(TRIM(F30))=0</formula>
    </cfRule>
  </conditionalFormatting>
  <conditionalFormatting sqref="F30">
    <cfRule type="expression" dxfId="3032" priority="3046">
      <formula>AND($D30="MIN",$F30&lt;&gt;"")</formula>
    </cfRule>
    <cfRule type="expression" dxfId="3031" priority="3047">
      <formula>AND($D30="MIN",$F30="")</formula>
    </cfRule>
    <cfRule type="containsBlanks" dxfId="3030" priority="3048">
      <formula>LEN(TRIM(F30))=0</formula>
    </cfRule>
  </conditionalFormatting>
  <conditionalFormatting sqref="E32">
    <cfRule type="expression" dxfId="3029" priority="3043">
      <formula>AND($D32&lt;&gt;"Tolerance",$E32&lt;&gt;"")</formula>
    </cfRule>
    <cfRule type="expression" dxfId="3028" priority="3044">
      <formula>AND(OR($D32="GD&amp;T",$D32="MAX",$D32="MIN"),$E32="")</formula>
    </cfRule>
    <cfRule type="containsBlanks" dxfId="3027" priority="3045">
      <formula>LEN(TRIM(E32))=0</formula>
    </cfRule>
  </conditionalFormatting>
  <conditionalFormatting sqref="F32">
    <cfRule type="expression" dxfId="3026" priority="3040">
      <formula>AND($D32="MIN",$F32&lt;&gt;"")</formula>
    </cfRule>
    <cfRule type="expression" dxfId="3025" priority="3041">
      <formula>AND($D32="MIN",$F32="")</formula>
    </cfRule>
    <cfRule type="containsBlanks" dxfId="3024" priority="3042">
      <formula>LEN(TRIM(F32))=0</formula>
    </cfRule>
  </conditionalFormatting>
  <conditionalFormatting sqref="G32">
    <cfRule type="expression" dxfId="3023" priority="3037">
      <formula>AND(OR($D32="GD&amp;T",$D32="MAX"),$G32&lt;&gt;"")</formula>
    </cfRule>
    <cfRule type="expression" dxfId="3022" priority="3038">
      <formula>AND(OR($D32="GD&amp;T",$D32="MAX"),$G32="")</formula>
    </cfRule>
    <cfRule type="containsBlanks" dxfId="3021" priority="3039">
      <formula>LEN(TRIM(G32))=0</formula>
    </cfRule>
  </conditionalFormatting>
  <conditionalFormatting sqref="F32">
    <cfRule type="expression" dxfId="3020" priority="3034">
      <formula>AND($D32="MIN",$F32&lt;&gt;"")</formula>
    </cfRule>
    <cfRule type="expression" dxfId="3019" priority="3035">
      <formula>AND($D32="MIN",$F32="")</formula>
    </cfRule>
    <cfRule type="containsBlanks" dxfId="3018" priority="3036">
      <formula>LEN(TRIM(F32))=0</formula>
    </cfRule>
  </conditionalFormatting>
  <conditionalFormatting sqref="G32">
    <cfRule type="expression" dxfId="3017" priority="3031">
      <formula>AND(OR($D32="GD&amp;T",$D32="MAX"),$G32&lt;&gt;"")</formula>
    </cfRule>
    <cfRule type="expression" dxfId="3016" priority="3032">
      <formula>AND(OR($D32="GD&amp;T",$D32="MAX"),$G32="")</formula>
    </cfRule>
    <cfRule type="containsBlanks" dxfId="3015" priority="3033">
      <formula>LEN(TRIM(G32))=0</formula>
    </cfRule>
  </conditionalFormatting>
  <conditionalFormatting sqref="F32">
    <cfRule type="expression" dxfId="3014" priority="3028">
      <formula>AND($D32="MIN",$F32&lt;&gt;"")</formula>
    </cfRule>
    <cfRule type="expression" dxfId="3013" priority="3029">
      <formula>AND($D32="MIN",$F32="")</formula>
    </cfRule>
    <cfRule type="containsBlanks" dxfId="3012" priority="3030">
      <formula>LEN(TRIM(F32))=0</formula>
    </cfRule>
  </conditionalFormatting>
  <conditionalFormatting sqref="G32">
    <cfRule type="expression" dxfId="3011" priority="3025">
      <formula>AND(OR($D32="GD&amp;T",$D32="MAX"),$G32&lt;&gt;"")</formula>
    </cfRule>
    <cfRule type="expression" dxfId="3010" priority="3026">
      <formula>AND(OR($D32="GD&amp;T",$D32="MAX"),$G32="")</formula>
    </cfRule>
    <cfRule type="containsBlanks" dxfId="3009" priority="3027">
      <formula>LEN(TRIM(G32))=0</formula>
    </cfRule>
  </conditionalFormatting>
  <conditionalFormatting sqref="F32">
    <cfRule type="expression" dxfId="3008" priority="3022">
      <formula>AND($D32="MIN",$F32&lt;&gt;"")</formula>
    </cfRule>
    <cfRule type="expression" dxfId="3007" priority="3023">
      <formula>AND($D32="MIN",$F32="")</formula>
    </cfRule>
    <cfRule type="containsBlanks" dxfId="3006" priority="3024">
      <formula>LEN(TRIM(F32))=0</formula>
    </cfRule>
  </conditionalFormatting>
  <conditionalFormatting sqref="G32">
    <cfRule type="expression" dxfId="3005" priority="3019">
      <formula>AND(OR($D32="GD&amp;T",$D32="MAX"),$G32&lt;&gt;"")</formula>
    </cfRule>
    <cfRule type="expression" dxfId="3004" priority="3020">
      <formula>AND(OR($D32="GD&amp;T",$D32="MAX"),$G32="")</formula>
    </cfRule>
    <cfRule type="containsBlanks" dxfId="3003" priority="3021">
      <formula>LEN(TRIM(G32))=0</formula>
    </cfRule>
  </conditionalFormatting>
  <conditionalFormatting sqref="F32">
    <cfRule type="expression" dxfId="3002" priority="3016">
      <formula>AND($D32="MIN",$F32&lt;&gt;"")</formula>
    </cfRule>
    <cfRule type="expression" dxfId="3001" priority="3017">
      <formula>AND($D32="MIN",$F32="")</formula>
    </cfRule>
    <cfRule type="containsBlanks" dxfId="3000" priority="3018">
      <formula>LEN(TRIM(F32))=0</formula>
    </cfRule>
  </conditionalFormatting>
  <conditionalFormatting sqref="G32">
    <cfRule type="expression" dxfId="2999" priority="3013">
      <formula>AND(OR($D32="GD&amp;T",$D32="MAX"),$G32&lt;&gt;"")</formula>
    </cfRule>
    <cfRule type="expression" dxfId="2998" priority="3014">
      <formula>AND(OR($D32="GD&amp;T",$D32="MAX"),$G32="")</formula>
    </cfRule>
    <cfRule type="containsBlanks" dxfId="2997" priority="3015">
      <formula>LEN(TRIM(G32))=0</formula>
    </cfRule>
  </conditionalFormatting>
  <conditionalFormatting sqref="F32">
    <cfRule type="expression" dxfId="2996" priority="3010">
      <formula>AND($D32="MIN",$F32&lt;&gt;"")</formula>
    </cfRule>
    <cfRule type="expression" dxfId="2995" priority="3011">
      <formula>AND($D32="MIN",$F32="")</formula>
    </cfRule>
    <cfRule type="containsBlanks" dxfId="2994" priority="3012">
      <formula>LEN(TRIM(F32))=0</formula>
    </cfRule>
  </conditionalFormatting>
  <conditionalFormatting sqref="G32">
    <cfRule type="expression" dxfId="2993" priority="3007">
      <formula>AND(OR($D32="GD&amp;T",$D32="MAX"),$G32&lt;&gt;"")</formula>
    </cfRule>
    <cfRule type="expression" dxfId="2992" priority="3008">
      <formula>AND(OR($D32="GD&amp;T",$D32="MAX"),$G32="")</formula>
    </cfRule>
    <cfRule type="containsBlanks" dxfId="2991" priority="3009">
      <formula>LEN(TRIM(G32))=0</formula>
    </cfRule>
  </conditionalFormatting>
  <conditionalFormatting sqref="F32">
    <cfRule type="expression" dxfId="2990" priority="3004">
      <formula>AND($D32="MIN",$F32&lt;&gt;"")</formula>
    </cfRule>
    <cfRule type="expression" dxfId="2989" priority="3005">
      <formula>AND($D32="MIN",$F32="")</formula>
    </cfRule>
    <cfRule type="containsBlanks" dxfId="2988" priority="3006">
      <formula>LEN(TRIM(F32))=0</formula>
    </cfRule>
  </conditionalFormatting>
  <conditionalFormatting sqref="G32">
    <cfRule type="expression" dxfId="2987" priority="3001">
      <formula>AND(OR($D32="GD&amp;T",$D32="MAX"),$G32&lt;&gt;"")</formula>
    </cfRule>
    <cfRule type="expression" dxfId="2986" priority="3002">
      <formula>AND(OR($D32="GD&amp;T",$D32="MAX"),$G32="")</formula>
    </cfRule>
    <cfRule type="containsBlanks" dxfId="2985" priority="3003">
      <formula>LEN(TRIM(G32))=0</formula>
    </cfRule>
  </conditionalFormatting>
  <conditionalFormatting sqref="F32">
    <cfRule type="expression" dxfId="2984" priority="2998">
      <formula>AND($D32="MIN",$F32&lt;&gt;"")</formula>
    </cfRule>
    <cfRule type="expression" dxfId="2983" priority="2999">
      <formula>AND($D32="MIN",$F32="")</formula>
    </cfRule>
    <cfRule type="containsBlanks" dxfId="2982" priority="3000">
      <formula>LEN(TRIM(F32))=0</formula>
    </cfRule>
  </conditionalFormatting>
  <conditionalFormatting sqref="G32">
    <cfRule type="expression" dxfId="2981" priority="2995">
      <formula>AND(OR($D32="GD&amp;T",$D32="MAX"),$G32&lt;&gt;"")</formula>
    </cfRule>
    <cfRule type="expression" dxfId="2980" priority="2996">
      <formula>AND(OR($D32="GD&amp;T",$D32="MAX"),$G32="")</formula>
    </cfRule>
    <cfRule type="containsBlanks" dxfId="2979" priority="2997">
      <formula>LEN(TRIM(G32))=0</formula>
    </cfRule>
  </conditionalFormatting>
  <conditionalFormatting sqref="F32">
    <cfRule type="expression" dxfId="2978" priority="2992">
      <formula>AND($D32="MIN",$F32&lt;&gt;"")</formula>
    </cfRule>
    <cfRule type="expression" dxfId="2977" priority="2993">
      <formula>AND($D32="MIN",$F32="")</formula>
    </cfRule>
    <cfRule type="containsBlanks" dxfId="2976" priority="2994">
      <formula>LEN(TRIM(F32))=0</formula>
    </cfRule>
  </conditionalFormatting>
  <conditionalFormatting sqref="F32">
    <cfRule type="expression" dxfId="2975" priority="2989">
      <formula>AND($D32="MIN",$F32&lt;&gt;"")</formula>
    </cfRule>
    <cfRule type="expression" dxfId="2974" priority="2990">
      <formula>AND($D32="MIN",$F32="")</formula>
    </cfRule>
    <cfRule type="containsBlanks" dxfId="2973" priority="2991">
      <formula>LEN(TRIM(F32))=0</formula>
    </cfRule>
  </conditionalFormatting>
  <conditionalFormatting sqref="F32">
    <cfRule type="expression" dxfId="2972" priority="2986">
      <formula>AND($D32="MIN",$F32&lt;&gt;"")</formula>
    </cfRule>
    <cfRule type="expression" dxfId="2971" priority="2987">
      <formula>AND($D32="MIN",$F32="")</formula>
    </cfRule>
    <cfRule type="containsBlanks" dxfId="2970" priority="2988">
      <formula>LEN(TRIM(F32))=0</formula>
    </cfRule>
  </conditionalFormatting>
  <conditionalFormatting sqref="F32">
    <cfRule type="expression" dxfId="2969" priority="2983">
      <formula>AND($D32="MIN",$F32&lt;&gt;"")</formula>
    </cfRule>
    <cfRule type="expression" dxfId="2968" priority="2984">
      <formula>AND($D32="MIN",$F32="")</formula>
    </cfRule>
    <cfRule type="containsBlanks" dxfId="2967" priority="2985">
      <formula>LEN(TRIM(F32))=0</formula>
    </cfRule>
  </conditionalFormatting>
  <conditionalFormatting sqref="F32">
    <cfRule type="expression" dxfId="2966" priority="2980">
      <formula>AND($D32="MIN",$F32&lt;&gt;"")</formula>
    </cfRule>
    <cfRule type="expression" dxfId="2965" priority="2981">
      <formula>AND($D32="MIN",$F32="")</formula>
    </cfRule>
    <cfRule type="containsBlanks" dxfId="2964" priority="2982">
      <formula>LEN(TRIM(F32))=0</formula>
    </cfRule>
  </conditionalFormatting>
  <conditionalFormatting sqref="E33">
    <cfRule type="expression" dxfId="2963" priority="2977">
      <formula>AND($D33&lt;&gt;"Tolerance",$E33&lt;&gt;"")</formula>
    </cfRule>
    <cfRule type="expression" dxfId="2962" priority="2978">
      <formula>AND(OR($D33="GD&amp;T",$D33="MAX",$D33="MIN"),$E33="")</formula>
    </cfRule>
    <cfRule type="containsBlanks" dxfId="2961" priority="2979">
      <formula>LEN(TRIM(E33))=0</formula>
    </cfRule>
  </conditionalFormatting>
  <conditionalFormatting sqref="F33">
    <cfRule type="expression" dxfId="2960" priority="2974">
      <formula>AND($D33="MIN",$F33&lt;&gt;"")</formula>
    </cfRule>
    <cfRule type="expression" dxfId="2959" priority="2975">
      <formula>AND($D33="MIN",$F33="")</formula>
    </cfRule>
    <cfRule type="containsBlanks" dxfId="2958" priority="2976">
      <formula>LEN(TRIM(F33))=0</formula>
    </cfRule>
  </conditionalFormatting>
  <conditionalFormatting sqref="G33">
    <cfRule type="expression" dxfId="2957" priority="2971">
      <formula>AND(OR($D33="GD&amp;T",$D33="MAX"),$G33&lt;&gt;"")</formula>
    </cfRule>
    <cfRule type="expression" dxfId="2956" priority="2972">
      <formula>AND(OR($D33="GD&amp;T",$D33="MAX"),$G33="")</formula>
    </cfRule>
    <cfRule type="containsBlanks" dxfId="2955" priority="2973">
      <formula>LEN(TRIM(G33))=0</formula>
    </cfRule>
  </conditionalFormatting>
  <conditionalFormatting sqref="F33">
    <cfRule type="expression" dxfId="2954" priority="2968">
      <formula>AND($D33="MIN",$F33&lt;&gt;"")</formula>
    </cfRule>
    <cfRule type="expression" dxfId="2953" priority="2969">
      <formula>AND($D33="MIN",$F33="")</formula>
    </cfRule>
    <cfRule type="containsBlanks" dxfId="2952" priority="2970">
      <formula>LEN(TRIM(F33))=0</formula>
    </cfRule>
  </conditionalFormatting>
  <conditionalFormatting sqref="G33">
    <cfRule type="expression" dxfId="2951" priority="2965">
      <formula>AND(OR($D33="GD&amp;T",$D33="MAX"),$G33&lt;&gt;"")</formula>
    </cfRule>
    <cfRule type="expression" dxfId="2950" priority="2966">
      <formula>AND(OR($D33="GD&amp;T",$D33="MAX"),$G33="")</formula>
    </cfRule>
    <cfRule type="containsBlanks" dxfId="2949" priority="2967">
      <formula>LEN(TRIM(G33))=0</formula>
    </cfRule>
  </conditionalFormatting>
  <conditionalFormatting sqref="F33">
    <cfRule type="expression" dxfId="2948" priority="2962">
      <formula>AND($D33="MIN",$F33&lt;&gt;"")</formula>
    </cfRule>
    <cfRule type="expression" dxfId="2947" priority="2963">
      <formula>AND($D33="MIN",$F33="")</formula>
    </cfRule>
    <cfRule type="containsBlanks" dxfId="2946" priority="2964">
      <formula>LEN(TRIM(F33))=0</formula>
    </cfRule>
  </conditionalFormatting>
  <conditionalFormatting sqref="G33">
    <cfRule type="expression" dxfId="2945" priority="2959">
      <formula>AND(OR($D33="GD&amp;T",$D33="MAX"),$G33&lt;&gt;"")</formula>
    </cfRule>
    <cfRule type="expression" dxfId="2944" priority="2960">
      <formula>AND(OR($D33="GD&amp;T",$D33="MAX"),$G33="")</formula>
    </cfRule>
    <cfRule type="containsBlanks" dxfId="2943" priority="2961">
      <formula>LEN(TRIM(G33))=0</formula>
    </cfRule>
  </conditionalFormatting>
  <conditionalFormatting sqref="F33">
    <cfRule type="expression" dxfId="2942" priority="2956">
      <formula>AND($D33="MIN",$F33&lt;&gt;"")</formula>
    </cfRule>
    <cfRule type="expression" dxfId="2941" priority="2957">
      <formula>AND($D33="MIN",$F33="")</formula>
    </cfRule>
    <cfRule type="containsBlanks" dxfId="2940" priority="2958">
      <formula>LEN(TRIM(F33))=0</formula>
    </cfRule>
  </conditionalFormatting>
  <conditionalFormatting sqref="G33">
    <cfRule type="expression" dxfId="2939" priority="2953">
      <formula>AND(OR($D33="GD&amp;T",$D33="MAX"),$G33&lt;&gt;"")</formula>
    </cfRule>
    <cfRule type="expression" dxfId="2938" priority="2954">
      <formula>AND(OR($D33="GD&amp;T",$D33="MAX"),$G33="")</formula>
    </cfRule>
    <cfRule type="containsBlanks" dxfId="2937" priority="2955">
      <formula>LEN(TRIM(G33))=0</formula>
    </cfRule>
  </conditionalFormatting>
  <conditionalFormatting sqref="F33">
    <cfRule type="expression" dxfId="2936" priority="2950">
      <formula>AND($D33="MIN",$F33&lt;&gt;"")</formula>
    </cfRule>
    <cfRule type="expression" dxfId="2935" priority="2951">
      <formula>AND($D33="MIN",$F33="")</formula>
    </cfRule>
    <cfRule type="containsBlanks" dxfId="2934" priority="2952">
      <formula>LEN(TRIM(F33))=0</formula>
    </cfRule>
  </conditionalFormatting>
  <conditionalFormatting sqref="G33">
    <cfRule type="expression" dxfId="2933" priority="2947">
      <formula>AND(OR($D33="GD&amp;T",$D33="MAX"),$G33&lt;&gt;"")</formula>
    </cfRule>
    <cfRule type="expression" dxfId="2932" priority="2948">
      <formula>AND(OR($D33="GD&amp;T",$D33="MAX"),$G33="")</formula>
    </cfRule>
    <cfRule type="containsBlanks" dxfId="2931" priority="2949">
      <formula>LEN(TRIM(G33))=0</formula>
    </cfRule>
  </conditionalFormatting>
  <conditionalFormatting sqref="F33">
    <cfRule type="expression" dxfId="2930" priority="2944">
      <formula>AND($D33="MIN",$F33&lt;&gt;"")</formula>
    </cfRule>
    <cfRule type="expression" dxfId="2929" priority="2945">
      <formula>AND($D33="MIN",$F33="")</formula>
    </cfRule>
    <cfRule type="containsBlanks" dxfId="2928" priority="2946">
      <formula>LEN(TRIM(F33))=0</formula>
    </cfRule>
  </conditionalFormatting>
  <conditionalFormatting sqref="G33">
    <cfRule type="expression" dxfId="2927" priority="2941">
      <formula>AND(OR($D33="GD&amp;T",$D33="MAX"),$G33&lt;&gt;"")</formula>
    </cfRule>
    <cfRule type="expression" dxfId="2926" priority="2942">
      <formula>AND(OR($D33="GD&amp;T",$D33="MAX"),$G33="")</formula>
    </cfRule>
    <cfRule type="containsBlanks" dxfId="2925" priority="2943">
      <formula>LEN(TRIM(G33))=0</formula>
    </cfRule>
  </conditionalFormatting>
  <conditionalFormatting sqref="F33">
    <cfRule type="expression" dxfId="2924" priority="2938">
      <formula>AND($D33="MIN",$F33&lt;&gt;"")</formula>
    </cfRule>
    <cfRule type="expression" dxfId="2923" priority="2939">
      <formula>AND($D33="MIN",$F33="")</formula>
    </cfRule>
    <cfRule type="containsBlanks" dxfId="2922" priority="2940">
      <formula>LEN(TRIM(F33))=0</formula>
    </cfRule>
  </conditionalFormatting>
  <conditionalFormatting sqref="G33">
    <cfRule type="expression" dxfId="2921" priority="2935">
      <formula>AND(OR($D33="GD&amp;T",$D33="MAX"),$G33&lt;&gt;"")</formula>
    </cfRule>
    <cfRule type="expression" dxfId="2920" priority="2936">
      <formula>AND(OR($D33="GD&amp;T",$D33="MAX"),$G33="")</formula>
    </cfRule>
    <cfRule type="containsBlanks" dxfId="2919" priority="2937">
      <formula>LEN(TRIM(G33))=0</formula>
    </cfRule>
  </conditionalFormatting>
  <conditionalFormatting sqref="F33">
    <cfRule type="expression" dxfId="2918" priority="2932">
      <formula>AND($D33="MIN",$F33&lt;&gt;"")</formula>
    </cfRule>
    <cfRule type="expression" dxfId="2917" priority="2933">
      <formula>AND($D33="MIN",$F33="")</formula>
    </cfRule>
    <cfRule type="containsBlanks" dxfId="2916" priority="2934">
      <formula>LEN(TRIM(F33))=0</formula>
    </cfRule>
  </conditionalFormatting>
  <conditionalFormatting sqref="G33">
    <cfRule type="expression" dxfId="2915" priority="2929">
      <formula>AND(OR($D33="GD&amp;T",$D33="MAX"),$G33&lt;&gt;"")</formula>
    </cfRule>
    <cfRule type="expression" dxfId="2914" priority="2930">
      <formula>AND(OR($D33="GD&amp;T",$D33="MAX"),$G33="")</formula>
    </cfRule>
    <cfRule type="containsBlanks" dxfId="2913" priority="2931">
      <formula>LEN(TRIM(G33))=0</formula>
    </cfRule>
  </conditionalFormatting>
  <conditionalFormatting sqref="F33">
    <cfRule type="expression" dxfId="2912" priority="2926">
      <formula>AND($D33="MIN",$F33&lt;&gt;"")</formula>
    </cfRule>
    <cfRule type="expression" dxfId="2911" priority="2927">
      <formula>AND($D33="MIN",$F33="")</formula>
    </cfRule>
    <cfRule type="containsBlanks" dxfId="2910" priority="2928">
      <formula>LEN(TRIM(F33))=0</formula>
    </cfRule>
  </conditionalFormatting>
  <conditionalFormatting sqref="G33">
    <cfRule type="expression" dxfId="2909" priority="2923">
      <formula>AND(OR($D33="GD&amp;T",$D33="MAX"),$G33&lt;&gt;"")</formula>
    </cfRule>
    <cfRule type="expression" dxfId="2908" priority="2924">
      <formula>AND(OR($D33="GD&amp;T",$D33="MAX"),$G33="")</formula>
    </cfRule>
    <cfRule type="containsBlanks" dxfId="2907" priority="2925">
      <formula>LEN(TRIM(G33))=0</formula>
    </cfRule>
  </conditionalFormatting>
  <conditionalFormatting sqref="F33">
    <cfRule type="expression" dxfId="2906" priority="2920">
      <formula>AND($D33="MIN",$F33&lt;&gt;"")</formula>
    </cfRule>
    <cfRule type="expression" dxfId="2905" priority="2921">
      <formula>AND($D33="MIN",$F33="")</formula>
    </cfRule>
    <cfRule type="containsBlanks" dxfId="2904" priority="2922">
      <formula>LEN(TRIM(F33))=0</formula>
    </cfRule>
  </conditionalFormatting>
  <conditionalFormatting sqref="G33">
    <cfRule type="expression" dxfId="2903" priority="2917">
      <formula>AND(OR($D33="GD&amp;T",$D33="MAX"),$G33&lt;&gt;"")</formula>
    </cfRule>
    <cfRule type="expression" dxfId="2902" priority="2918">
      <formula>AND(OR($D33="GD&amp;T",$D33="MAX"),$G33="")</formula>
    </cfRule>
    <cfRule type="containsBlanks" dxfId="2901" priority="2919">
      <formula>LEN(TRIM(G33))=0</formula>
    </cfRule>
  </conditionalFormatting>
  <conditionalFormatting sqref="F33">
    <cfRule type="expression" dxfId="2900" priority="2914">
      <formula>AND($D33="MIN",$F33&lt;&gt;"")</formula>
    </cfRule>
    <cfRule type="expression" dxfId="2899" priority="2915">
      <formula>AND($D33="MIN",$F33="")</formula>
    </cfRule>
    <cfRule type="containsBlanks" dxfId="2898" priority="2916">
      <formula>LEN(TRIM(F33))=0</formula>
    </cfRule>
  </conditionalFormatting>
  <conditionalFormatting sqref="G33">
    <cfRule type="expression" dxfId="2897" priority="2911">
      <formula>AND(OR($D33="GD&amp;T",$D33="MAX"),$G33&lt;&gt;"")</formula>
    </cfRule>
    <cfRule type="expression" dxfId="2896" priority="2912">
      <formula>AND(OR($D33="GD&amp;T",$D33="MAX"),$G33="")</formula>
    </cfRule>
    <cfRule type="containsBlanks" dxfId="2895" priority="2913">
      <formula>LEN(TRIM(G33))=0</formula>
    </cfRule>
  </conditionalFormatting>
  <conditionalFormatting sqref="F33">
    <cfRule type="expression" dxfId="2894" priority="2908">
      <formula>AND($D33="MIN",$F33&lt;&gt;"")</formula>
    </cfRule>
    <cfRule type="expression" dxfId="2893" priority="2909">
      <formula>AND($D33="MIN",$F33="")</formula>
    </cfRule>
    <cfRule type="containsBlanks" dxfId="2892" priority="2910">
      <formula>LEN(TRIM(F33))=0</formula>
    </cfRule>
  </conditionalFormatting>
  <conditionalFormatting sqref="G33">
    <cfRule type="expression" dxfId="2891" priority="2905">
      <formula>AND(OR($D33="GD&amp;T",$D33="MAX"),$G33&lt;&gt;"")</formula>
    </cfRule>
    <cfRule type="expression" dxfId="2890" priority="2906">
      <formula>AND(OR($D33="GD&amp;T",$D33="MAX"),$G33="")</formula>
    </cfRule>
    <cfRule type="containsBlanks" dxfId="2889" priority="2907">
      <formula>LEN(TRIM(G33))=0</formula>
    </cfRule>
  </conditionalFormatting>
  <conditionalFormatting sqref="F33">
    <cfRule type="expression" dxfId="2888" priority="2902">
      <formula>AND($D33="MIN",$F33&lt;&gt;"")</formula>
    </cfRule>
    <cfRule type="expression" dxfId="2887" priority="2903">
      <formula>AND($D33="MIN",$F33="")</formula>
    </cfRule>
    <cfRule type="containsBlanks" dxfId="2886" priority="2904">
      <formula>LEN(TRIM(F33))=0</formula>
    </cfRule>
  </conditionalFormatting>
  <conditionalFormatting sqref="G33">
    <cfRule type="expression" dxfId="2885" priority="2899">
      <formula>AND(OR($D33="GD&amp;T",$D33="MAX"),$G33&lt;&gt;"")</formula>
    </cfRule>
    <cfRule type="expression" dxfId="2884" priority="2900">
      <formula>AND(OR($D33="GD&amp;T",$D33="MAX"),$G33="")</formula>
    </cfRule>
    <cfRule type="containsBlanks" dxfId="2883" priority="2901">
      <formula>LEN(TRIM(G33))=0</formula>
    </cfRule>
  </conditionalFormatting>
  <conditionalFormatting sqref="E34">
    <cfRule type="expression" dxfId="2882" priority="2896">
      <formula>AND($D34&lt;&gt;"Tolerance",$E34&lt;&gt;"")</formula>
    </cfRule>
    <cfRule type="expression" dxfId="2881" priority="2897">
      <formula>AND(OR($D34="GD&amp;T",$D34="MAX",$D34="MIN"),$E34="")</formula>
    </cfRule>
    <cfRule type="containsBlanks" dxfId="2880" priority="2898">
      <formula>LEN(TRIM(E34))=0</formula>
    </cfRule>
  </conditionalFormatting>
  <conditionalFormatting sqref="E34">
    <cfRule type="expression" dxfId="2879" priority="2893">
      <formula>AND($D34&lt;&gt;"Tolerance",$E34&lt;&gt;"")</formula>
    </cfRule>
    <cfRule type="expression" dxfId="2878" priority="2894">
      <formula>AND(OR($D34="GD&amp;T",$D34="MAX",$D34="MIN"),$E34="")</formula>
    </cfRule>
    <cfRule type="containsBlanks" dxfId="2877" priority="2895">
      <formula>LEN(TRIM(E34))=0</formula>
    </cfRule>
  </conditionalFormatting>
  <conditionalFormatting sqref="F34">
    <cfRule type="expression" dxfId="2876" priority="2890">
      <formula>AND($D34="MIN",$F34&lt;&gt;"")</formula>
    </cfRule>
    <cfRule type="expression" dxfId="2875" priority="2891">
      <formula>AND($D34="MIN",$F34="")</formula>
    </cfRule>
    <cfRule type="containsBlanks" dxfId="2874" priority="2892">
      <formula>LEN(TRIM(F34))=0</formula>
    </cfRule>
  </conditionalFormatting>
  <conditionalFormatting sqref="G34">
    <cfRule type="expression" dxfId="2873" priority="2887">
      <formula>AND(OR($D34="GD&amp;T",$D34="MAX"),$G34&lt;&gt;"")</formula>
    </cfRule>
    <cfRule type="expression" dxfId="2872" priority="2888">
      <formula>AND(OR($D34="GD&amp;T",$D34="MAX"),$G34="")</formula>
    </cfRule>
    <cfRule type="containsBlanks" dxfId="2871" priority="2889">
      <formula>LEN(TRIM(G34))=0</formula>
    </cfRule>
  </conditionalFormatting>
  <conditionalFormatting sqref="F34">
    <cfRule type="expression" dxfId="2870" priority="2884">
      <formula>AND($D34="MIN",$F34&lt;&gt;"")</formula>
    </cfRule>
    <cfRule type="expression" dxfId="2869" priority="2885">
      <formula>AND($D34="MIN",$F34="")</formula>
    </cfRule>
    <cfRule type="containsBlanks" dxfId="2868" priority="2886">
      <formula>LEN(TRIM(F34))=0</formula>
    </cfRule>
  </conditionalFormatting>
  <conditionalFormatting sqref="G34">
    <cfRule type="expression" dxfId="2867" priority="2881">
      <formula>AND(OR($D34="GD&amp;T",$D34="MAX"),$G34&lt;&gt;"")</formula>
    </cfRule>
    <cfRule type="expression" dxfId="2866" priority="2882">
      <formula>AND(OR($D34="GD&amp;T",$D34="MAX"),$G34="")</formula>
    </cfRule>
    <cfRule type="containsBlanks" dxfId="2865" priority="2883">
      <formula>LEN(TRIM(G34))=0</formula>
    </cfRule>
  </conditionalFormatting>
  <conditionalFormatting sqref="F34">
    <cfRule type="expression" dxfId="2864" priority="2878">
      <formula>AND($D34="MIN",$F34&lt;&gt;"")</formula>
    </cfRule>
    <cfRule type="expression" dxfId="2863" priority="2879">
      <formula>AND($D34="MIN",$F34="")</formula>
    </cfRule>
    <cfRule type="containsBlanks" dxfId="2862" priority="2880">
      <formula>LEN(TRIM(F34))=0</formula>
    </cfRule>
  </conditionalFormatting>
  <conditionalFormatting sqref="G34">
    <cfRule type="expression" dxfId="2861" priority="2875">
      <formula>AND(OR($D34="GD&amp;T",$D34="MAX"),$G34&lt;&gt;"")</formula>
    </cfRule>
    <cfRule type="expression" dxfId="2860" priority="2876">
      <formula>AND(OR($D34="GD&amp;T",$D34="MAX"),$G34="")</formula>
    </cfRule>
    <cfRule type="containsBlanks" dxfId="2859" priority="2877">
      <formula>LEN(TRIM(G34))=0</formula>
    </cfRule>
  </conditionalFormatting>
  <conditionalFormatting sqref="F34">
    <cfRule type="expression" dxfId="2858" priority="2872">
      <formula>AND($D34="MIN",$F34&lt;&gt;"")</formula>
    </cfRule>
    <cfRule type="expression" dxfId="2857" priority="2873">
      <formula>AND($D34="MIN",$F34="")</formula>
    </cfRule>
    <cfRule type="containsBlanks" dxfId="2856" priority="2874">
      <formula>LEN(TRIM(F34))=0</formula>
    </cfRule>
  </conditionalFormatting>
  <conditionalFormatting sqref="G34">
    <cfRule type="expression" dxfId="2855" priority="2869">
      <formula>AND(OR($D34="GD&amp;T",$D34="MAX"),$G34&lt;&gt;"")</formula>
    </cfRule>
    <cfRule type="expression" dxfId="2854" priority="2870">
      <formula>AND(OR($D34="GD&amp;T",$D34="MAX"),$G34="")</formula>
    </cfRule>
    <cfRule type="containsBlanks" dxfId="2853" priority="2871">
      <formula>LEN(TRIM(G34))=0</formula>
    </cfRule>
  </conditionalFormatting>
  <conditionalFormatting sqref="F34">
    <cfRule type="expression" dxfId="2852" priority="2866">
      <formula>AND($D34="MIN",$F34&lt;&gt;"")</formula>
    </cfRule>
    <cfRule type="expression" dxfId="2851" priority="2867">
      <formula>AND($D34="MIN",$F34="")</formula>
    </cfRule>
    <cfRule type="containsBlanks" dxfId="2850" priority="2868">
      <formula>LEN(TRIM(F34))=0</formula>
    </cfRule>
  </conditionalFormatting>
  <conditionalFormatting sqref="G34">
    <cfRule type="expression" dxfId="2849" priority="2863">
      <formula>AND(OR($D34="GD&amp;T",$D34="MAX"),$G34&lt;&gt;"")</formula>
    </cfRule>
    <cfRule type="expression" dxfId="2848" priority="2864">
      <formula>AND(OR($D34="GD&amp;T",$D34="MAX"),$G34="")</formula>
    </cfRule>
    <cfRule type="containsBlanks" dxfId="2847" priority="2865">
      <formula>LEN(TRIM(G34))=0</formula>
    </cfRule>
  </conditionalFormatting>
  <conditionalFormatting sqref="F34">
    <cfRule type="expression" dxfId="2846" priority="2860">
      <formula>AND($D34="MIN",$F34&lt;&gt;"")</formula>
    </cfRule>
    <cfRule type="expression" dxfId="2845" priority="2861">
      <formula>AND($D34="MIN",$F34="")</formula>
    </cfRule>
    <cfRule type="containsBlanks" dxfId="2844" priority="2862">
      <formula>LEN(TRIM(F34))=0</formula>
    </cfRule>
  </conditionalFormatting>
  <conditionalFormatting sqref="G34">
    <cfRule type="expression" dxfId="2843" priority="2857">
      <formula>AND(OR($D34="GD&amp;T",$D34="MAX"),$G34&lt;&gt;"")</formula>
    </cfRule>
    <cfRule type="expression" dxfId="2842" priority="2858">
      <formula>AND(OR($D34="GD&amp;T",$D34="MAX"),$G34="")</formula>
    </cfRule>
    <cfRule type="containsBlanks" dxfId="2841" priority="2859">
      <formula>LEN(TRIM(G34))=0</formula>
    </cfRule>
  </conditionalFormatting>
  <conditionalFormatting sqref="F34">
    <cfRule type="expression" dxfId="2840" priority="2854">
      <formula>AND($D34="MIN",$F34&lt;&gt;"")</formula>
    </cfRule>
    <cfRule type="expression" dxfId="2839" priority="2855">
      <formula>AND($D34="MIN",$F34="")</formula>
    </cfRule>
    <cfRule type="containsBlanks" dxfId="2838" priority="2856">
      <formula>LEN(TRIM(F34))=0</formula>
    </cfRule>
  </conditionalFormatting>
  <conditionalFormatting sqref="G34">
    <cfRule type="expression" dxfId="2837" priority="2851">
      <formula>AND(OR($D34="GD&amp;T",$D34="MAX"),$G34&lt;&gt;"")</formula>
    </cfRule>
    <cfRule type="expression" dxfId="2836" priority="2852">
      <formula>AND(OR($D34="GD&amp;T",$D34="MAX"),$G34="")</formula>
    </cfRule>
    <cfRule type="containsBlanks" dxfId="2835" priority="2853">
      <formula>LEN(TRIM(G34))=0</formula>
    </cfRule>
  </conditionalFormatting>
  <conditionalFormatting sqref="F34">
    <cfRule type="expression" dxfId="2834" priority="2848">
      <formula>AND($D34="MIN",$F34&lt;&gt;"")</formula>
    </cfRule>
    <cfRule type="expression" dxfId="2833" priority="2849">
      <formula>AND($D34="MIN",$F34="")</formula>
    </cfRule>
    <cfRule type="containsBlanks" dxfId="2832" priority="2850">
      <formula>LEN(TRIM(F34))=0</formula>
    </cfRule>
  </conditionalFormatting>
  <conditionalFormatting sqref="G34">
    <cfRule type="expression" dxfId="2831" priority="2845">
      <formula>AND(OR($D34="GD&amp;T",$D34="MAX"),$G34&lt;&gt;"")</formula>
    </cfRule>
    <cfRule type="expression" dxfId="2830" priority="2846">
      <formula>AND(OR($D34="GD&amp;T",$D34="MAX"),$G34="")</formula>
    </cfRule>
    <cfRule type="containsBlanks" dxfId="2829" priority="2847">
      <formula>LEN(TRIM(G34))=0</formula>
    </cfRule>
  </conditionalFormatting>
  <conditionalFormatting sqref="F34">
    <cfRule type="expression" dxfId="2828" priority="2842">
      <formula>AND($D34="MIN",$F34&lt;&gt;"")</formula>
    </cfRule>
    <cfRule type="expression" dxfId="2827" priority="2843">
      <formula>AND($D34="MIN",$F34="")</formula>
    </cfRule>
    <cfRule type="containsBlanks" dxfId="2826" priority="2844">
      <formula>LEN(TRIM(F34))=0</formula>
    </cfRule>
  </conditionalFormatting>
  <conditionalFormatting sqref="G34">
    <cfRule type="expression" dxfId="2825" priority="2839">
      <formula>AND(OR($D34="GD&amp;T",$D34="MAX"),$G34&lt;&gt;"")</formula>
    </cfRule>
    <cfRule type="expression" dxfId="2824" priority="2840">
      <formula>AND(OR($D34="GD&amp;T",$D34="MAX"),$G34="")</formula>
    </cfRule>
    <cfRule type="containsBlanks" dxfId="2823" priority="2841">
      <formula>LEN(TRIM(G34))=0</formula>
    </cfRule>
  </conditionalFormatting>
  <conditionalFormatting sqref="F34">
    <cfRule type="expression" dxfId="2822" priority="2836">
      <formula>AND($D34="MIN",$F34&lt;&gt;"")</formula>
    </cfRule>
    <cfRule type="expression" dxfId="2821" priority="2837">
      <formula>AND($D34="MIN",$F34="")</formula>
    </cfRule>
    <cfRule type="containsBlanks" dxfId="2820" priority="2838">
      <formula>LEN(TRIM(F34))=0</formula>
    </cfRule>
  </conditionalFormatting>
  <conditionalFormatting sqref="G34">
    <cfRule type="expression" dxfId="2819" priority="2833">
      <formula>AND(OR($D34="GD&amp;T",$D34="MAX"),$G34&lt;&gt;"")</formula>
    </cfRule>
    <cfRule type="expression" dxfId="2818" priority="2834">
      <formula>AND(OR($D34="GD&amp;T",$D34="MAX"),$G34="")</formula>
    </cfRule>
    <cfRule type="containsBlanks" dxfId="2817" priority="2835">
      <formula>LEN(TRIM(G34))=0</formula>
    </cfRule>
  </conditionalFormatting>
  <conditionalFormatting sqref="F34">
    <cfRule type="expression" dxfId="2816" priority="2830">
      <formula>AND($D34="MIN",$F34&lt;&gt;"")</formula>
    </cfRule>
    <cfRule type="expression" dxfId="2815" priority="2831">
      <formula>AND($D34="MIN",$F34="")</formula>
    </cfRule>
    <cfRule type="containsBlanks" dxfId="2814" priority="2832">
      <formula>LEN(TRIM(F34))=0</formula>
    </cfRule>
  </conditionalFormatting>
  <conditionalFormatting sqref="G34">
    <cfRule type="expression" dxfId="2813" priority="2827">
      <formula>AND(OR($D34="GD&amp;T",$D34="MAX"),$G34&lt;&gt;"")</formula>
    </cfRule>
    <cfRule type="expression" dxfId="2812" priority="2828">
      <formula>AND(OR($D34="GD&amp;T",$D34="MAX"),$G34="")</formula>
    </cfRule>
    <cfRule type="containsBlanks" dxfId="2811" priority="2829">
      <formula>LEN(TRIM(G34))=0</formula>
    </cfRule>
  </conditionalFormatting>
  <conditionalFormatting sqref="F34">
    <cfRule type="expression" dxfId="2810" priority="2824">
      <formula>AND($D34="MIN",$F34&lt;&gt;"")</formula>
    </cfRule>
    <cfRule type="expression" dxfId="2809" priority="2825">
      <formula>AND($D34="MIN",$F34="")</formula>
    </cfRule>
    <cfRule type="containsBlanks" dxfId="2808" priority="2826">
      <formula>LEN(TRIM(F34))=0</formula>
    </cfRule>
  </conditionalFormatting>
  <conditionalFormatting sqref="G34">
    <cfRule type="expression" dxfId="2807" priority="2821">
      <formula>AND(OR($D34="GD&amp;T",$D34="MAX"),$G34&lt;&gt;"")</formula>
    </cfRule>
    <cfRule type="expression" dxfId="2806" priority="2822">
      <formula>AND(OR($D34="GD&amp;T",$D34="MAX"),$G34="")</formula>
    </cfRule>
    <cfRule type="containsBlanks" dxfId="2805" priority="2823">
      <formula>LEN(TRIM(G34))=0</formula>
    </cfRule>
  </conditionalFormatting>
  <conditionalFormatting sqref="F34">
    <cfRule type="expression" dxfId="2804" priority="2818">
      <formula>AND($D34="MIN",$F34&lt;&gt;"")</formula>
    </cfRule>
    <cfRule type="expression" dxfId="2803" priority="2819">
      <formula>AND($D34="MIN",$F34="")</formula>
    </cfRule>
    <cfRule type="containsBlanks" dxfId="2802" priority="2820">
      <formula>LEN(TRIM(F34))=0</formula>
    </cfRule>
  </conditionalFormatting>
  <conditionalFormatting sqref="G34">
    <cfRule type="expression" dxfId="2801" priority="2815">
      <formula>AND(OR($D34="GD&amp;T",$D34="MAX"),$G34&lt;&gt;"")</formula>
    </cfRule>
    <cfRule type="expression" dxfId="2800" priority="2816">
      <formula>AND(OR($D34="GD&amp;T",$D34="MAX"),$G34="")</formula>
    </cfRule>
    <cfRule type="containsBlanks" dxfId="2799" priority="2817">
      <formula>LEN(TRIM(G34))=0</formula>
    </cfRule>
  </conditionalFormatting>
  <conditionalFormatting sqref="F35">
    <cfRule type="expression" dxfId="2798" priority="2812">
      <formula>AND($D35="MIN",$F35&lt;&gt;"")</formula>
    </cfRule>
    <cfRule type="expression" dxfId="2797" priority="2813">
      <formula>AND($D35="MIN",$F35="")</formula>
    </cfRule>
    <cfRule type="containsBlanks" dxfId="2796" priority="2814">
      <formula>LEN(TRIM(F35))=0</formula>
    </cfRule>
  </conditionalFormatting>
  <conditionalFormatting sqref="G35">
    <cfRule type="expression" dxfId="2795" priority="2809">
      <formula>AND(OR($D35="GD&amp;T",$D35="MAX"),$G35&lt;&gt;"")</formula>
    </cfRule>
    <cfRule type="expression" dxfId="2794" priority="2810">
      <formula>AND(OR($D35="GD&amp;T",$D35="MAX"),$G35="")</formula>
    </cfRule>
    <cfRule type="containsBlanks" dxfId="2793" priority="2811">
      <formula>LEN(TRIM(G35))=0</formula>
    </cfRule>
  </conditionalFormatting>
  <conditionalFormatting sqref="F35">
    <cfRule type="expression" dxfId="2792" priority="2806">
      <formula>AND($D35="MIN",$F35&lt;&gt;"")</formula>
    </cfRule>
    <cfRule type="expression" dxfId="2791" priority="2807">
      <formula>AND($D35="MIN",$F35="")</formula>
    </cfRule>
    <cfRule type="containsBlanks" dxfId="2790" priority="2808">
      <formula>LEN(TRIM(F35))=0</formula>
    </cfRule>
  </conditionalFormatting>
  <conditionalFormatting sqref="G35">
    <cfRule type="expression" dxfId="2789" priority="2803">
      <formula>AND(OR($D35="GD&amp;T",$D35="MAX"),$G35&lt;&gt;"")</formula>
    </cfRule>
    <cfRule type="expression" dxfId="2788" priority="2804">
      <formula>AND(OR($D35="GD&amp;T",$D35="MAX"),$G35="")</formula>
    </cfRule>
    <cfRule type="containsBlanks" dxfId="2787" priority="2805">
      <formula>LEN(TRIM(G35))=0</formula>
    </cfRule>
  </conditionalFormatting>
  <conditionalFormatting sqref="F35">
    <cfRule type="expression" dxfId="2786" priority="2800">
      <formula>AND($D35="MIN",$F35&lt;&gt;"")</formula>
    </cfRule>
    <cfRule type="expression" dxfId="2785" priority="2801">
      <formula>AND($D35="MIN",$F35="")</formula>
    </cfRule>
    <cfRule type="containsBlanks" dxfId="2784" priority="2802">
      <formula>LEN(TRIM(F35))=0</formula>
    </cfRule>
  </conditionalFormatting>
  <conditionalFormatting sqref="G35">
    <cfRule type="expression" dxfId="2783" priority="2797">
      <formula>AND(OR($D35="GD&amp;T",$D35="MAX"),$G35&lt;&gt;"")</formula>
    </cfRule>
    <cfRule type="expression" dxfId="2782" priority="2798">
      <formula>AND(OR($D35="GD&amp;T",$D35="MAX"),$G35="")</formula>
    </cfRule>
    <cfRule type="containsBlanks" dxfId="2781" priority="2799">
      <formula>LEN(TRIM(G35))=0</formula>
    </cfRule>
  </conditionalFormatting>
  <conditionalFormatting sqref="F35">
    <cfRule type="expression" dxfId="2780" priority="2794">
      <formula>AND($D35="MIN",$F35&lt;&gt;"")</formula>
    </cfRule>
    <cfRule type="expression" dxfId="2779" priority="2795">
      <formula>AND($D35="MIN",$F35="")</formula>
    </cfRule>
    <cfRule type="containsBlanks" dxfId="2778" priority="2796">
      <formula>LEN(TRIM(F35))=0</formula>
    </cfRule>
  </conditionalFormatting>
  <conditionalFormatting sqref="G35">
    <cfRule type="expression" dxfId="2777" priority="2791">
      <formula>AND(OR($D35="GD&amp;T",$D35="MAX"),$G35&lt;&gt;"")</formula>
    </cfRule>
    <cfRule type="expression" dxfId="2776" priority="2792">
      <formula>AND(OR($D35="GD&amp;T",$D35="MAX"),$G35="")</formula>
    </cfRule>
    <cfRule type="containsBlanks" dxfId="2775" priority="2793">
      <formula>LEN(TRIM(G35))=0</formula>
    </cfRule>
  </conditionalFormatting>
  <conditionalFormatting sqref="G35">
    <cfRule type="expression" dxfId="2774" priority="2788">
      <formula>AND(OR($D35="GD&amp;T",$D35="MAX"),$G35&lt;&gt;"")</formula>
    </cfRule>
    <cfRule type="expression" dxfId="2773" priority="2789">
      <formula>AND(OR($D35="GD&amp;T",$D35="MAX"),$G35="")</formula>
    </cfRule>
    <cfRule type="containsBlanks" dxfId="2772" priority="2790">
      <formula>LEN(TRIM(G35))=0</formula>
    </cfRule>
  </conditionalFormatting>
  <conditionalFormatting sqref="G35">
    <cfRule type="expression" dxfId="2771" priority="2785">
      <formula>AND(OR($D35="GD&amp;T",$D35="MAX"),$G35&lt;&gt;"")</formula>
    </cfRule>
    <cfRule type="expression" dxfId="2770" priority="2786">
      <formula>AND(OR($D35="GD&amp;T",$D35="MAX"),$G35="")</formula>
    </cfRule>
    <cfRule type="containsBlanks" dxfId="2769" priority="2787">
      <formula>LEN(TRIM(G35))=0</formula>
    </cfRule>
  </conditionalFormatting>
  <conditionalFormatting sqref="G35">
    <cfRule type="expression" dxfId="2768" priority="2782">
      <formula>AND(OR($D35="GD&amp;T",$D35="MAX"),$G35&lt;&gt;"")</formula>
    </cfRule>
    <cfRule type="expression" dxfId="2767" priority="2783">
      <formula>AND(OR($D35="GD&amp;T",$D35="MAX"),$G35="")</formula>
    </cfRule>
    <cfRule type="containsBlanks" dxfId="2766" priority="2784">
      <formula>LEN(TRIM(G35))=0</formula>
    </cfRule>
  </conditionalFormatting>
  <conditionalFormatting sqref="G35">
    <cfRule type="expression" dxfId="2765" priority="2779">
      <formula>AND(OR($D35="GD&amp;T",$D35="MAX"),$G35&lt;&gt;"")</formula>
    </cfRule>
    <cfRule type="expression" dxfId="2764" priority="2780">
      <formula>AND(OR($D35="GD&amp;T",$D35="MAX"),$G35="")</formula>
    </cfRule>
    <cfRule type="containsBlanks" dxfId="2763" priority="2781">
      <formula>LEN(TRIM(G35))=0</formula>
    </cfRule>
  </conditionalFormatting>
  <conditionalFormatting sqref="G35">
    <cfRule type="expression" dxfId="2762" priority="2776">
      <formula>AND(OR($D35="GD&amp;T",$D35="MAX"),$G35&lt;&gt;"")</formula>
    </cfRule>
    <cfRule type="expression" dxfId="2761" priority="2777">
      <formula>AND(OR($D35="GD&amp;T",$D35="MAX"),$G35="")</formula>
    </cfRule>
    <cfRule type="containsBlanks" dxfId="2760" priority="2778">
      <formula>LEN(TRIM(G35))=0</formula>
    </cfRule>
  </conditionalFormatting>
  <conditionalFormatting sqref="F35">
    <cfRule type="expression" dxfId="2759" priority="2773">
      <formula>AND($D35="MIN",$F35&lt;&gt;"")</formula>
    </cfRule>
    <cfRule type="expression" dxfId="2758" priority="2774">
      <formula>AND($D35="MIN",$F35="")</formula>
    </cfRule>
    <cfRule type="containsBlanks" dxfId="2757" priority="2775">
      <formula>LEN(TRIM(F35))=0</formula>
    </cfRule>
  </conditionalFormatting>
  <conditionalFormatting sqref="F35">
    <cfRule type="expression" dxfId="2756" priority="2770">
      <formula>AND($D35="MIN",$F35&lt;&gt;"")</formula>
    </cfRule>
    <cfRule type="expression" dxfId="2755" priority="2771">
      <formula>AND($D35="MIN",$F35="")</formula>
    </cfRule>
    <cfRule type="containsBlanks" dxfId="2754" priority="2772">
      <formula>LEN(TRIM(F35))=0</formula>
    </cfRule>
  </conditionalFormatting>
  <conditionalFormatting sqref="F35">
    <cfRule type="expression" dxfId="2753" priority="2767">
      <formula>AND($D35="MIN",$F35&lt;&gt;"")</formula>
    </cfRule>
    <cfRule type="expression" dxfId="2752" priority="2768">
      <formula>AND($D35="MIN",$F35="")</formula>
    </cfRule>
    <cfRule type="containsBlanks" dxfId="2751" priority="2769">
      <formula>LEN(TRIM(F35))=0</formula>
    </cfRule>
  </conditionalFormatting>
  <conditionalFormatting sqref="F35">
    <cfRule type="expression" dxfId="2750" priority="2764">
      <formula>AND($D35="MIN",$F35&lt;&gt;"")</formula>
    </cfRule>
    <cfRule type="expression" dxfId="2749" priority="2765">
      <formula>AND($D35="MIN",$F35="")</formula>
    </cfRule>
    <cfRule type="containsBlanks" dxfId="2748" priority="2766">
      <formula>LEN(TRIM(F35))=0</formula>
    </cfRule>
  </conditionalFormatting>
  <conditionalFormatting sqref="F35">
    <cfRule type="expression" dxfId="2747" priority="2761">
      <formula>AND($D35="MIN",$F35&lt;&gt;"")</formula>
    </cfRule>
    <cfRule type="expression" dxfId="2746" priority="2762">
      <formula>AND($D35="MIN",$F35="")</formula>
    </cfRule>
    <cfRule type="containsBlanks" dxfId="2745" priority="2763">
      <formula>LEN(TRIM(F35))=0</formula>
    </cfRule>
  </conditionalFormatting>
  <conditionalFormatting sqref="F35">
    <cfRule type="expression" dxfId="2744" priority="2758">
      <formula>AND($D35="MIN",$F35&lt;&gt;"")</formula>
    </cfRule>
    <cfRule type="expression" dxfId="2743" priority="2759">
      <formula>AND($D35="MIN",$F35="")</formula>
    </cfRule>
    <cfRule type="containsBlanks" dxfId="2742" priority="2760">
      <formula>LEN(TRIM(F35))=0</formula>
    </cfRule>
  </conditionalFormatting>
  <conditionalFormatting sqref="G35">
    <cfRule type="expression" dxfId="2741" priority="2755">
      <formula>AND(OR($D35="GD&amp;T",$D35="MAX"),$G35&lt;&gt;"")</formula>
    </cfRule>
    <cfRule type="expression" dxfId="2740" priority="2756">
      <formula>AND(OR($D35="GD&amp;T",$D35="MAX"),$G35="")</formula>
    </cfRule>
    <cfRule type="containsBlanks" dxfId="2739" priority="2757">
      <formula>LEN(TRIM(G35))=0</formula>
    </cfRule>
  </conditionalFormatting>
  <conditionalFormatting sqref="F35">
    <cfRule type="expression" dxfId="2738" priority="2752">
      <formula>AND($D35="MIN",$F35&lt;&gt;"")</formula>
    </cfRule>
    <cfRule type="expression" dxfId="2737" priority="2753">
      <formula>AND($D35="MIN",$F35="")</formula>
    </cfRule>
    <cfRule type="containsBlanks" dxfId="2736" priority="2754">
      <formula>LEN(TRIM(F35))=0</formula>
    </cfRule>
  </conditionalFormatting>
  <conditionalFormatting sqref="G35">
    <cfRule type="expression" dxfId="2735" priority="2749">
      <formula>AND(OR($D35="GD&amp;T",$D35="MAX"),$G35&lt;&gt;"")</formula>
    </cfRule>
    <cfRule type="expression" dxfId="2734" priority="2750">
      <formula>AND(OR($D35="GD&amp;T",$D35="MAX"),$G35="")</formula>
    </cfRule>
    <cfRule type="containsBlanks" dxfId="2733" priority="2751">
      <formula>LEN(TRIM(G35))=0</formula>
    </cfRule>
  </conditionalFormatting>
  <conditionalFormatting sqref="F35">
    <cfRule type="expression" dxfId="2732" priority="2746">
      <formula>AND($D35="MIN",$F35&lt;&gt;"")</formula>
    </cfRule>
    <cfRule type="expression" dxfId="2731" priority="2747">
      <formula>AND($D35="MIN",$F35="")</formula>
    </cfRule>
    <cfRule type="containsBlanks" dxfId="2730" priority="2748">
      <formula>LEN(TRIM(F35))=0</formula>
    </cfRule>
  </conditionalFormatting>
  <conditionalFormatting sqref="G35">
    <cfRule type="expression" dxfId="2729" priority="2743">
      <formula>AND(OR($D35="GD&amp;T",$D35="MAX"),$G35&lt;&gt;"")</formula>
    </cfRule>
    <cfRule type="expression" dxfId="2728" priority="2744">
      <formula>AND(OR($D35="GD&amp;T",$D35="MAX"),$G35="")</formula>
    </cfRule>
    <cfRule type="containsBlanks" dxfId="2727" priority="2745">
      <formula>LEN(TRIM(G35))=0</formula>
    </cfRule>
  </conditionalFormatting>
  <conditionalFormatting sqref="F35">
    <cfRule type="expression" dxfId="2726" priority="2740">
      <formula>AND($D35="MIN",$F35&lt;&gt;"")</formula>
    </cfRule>
    <cfRule type="expression" dxfId="2725" priority="2741">
      <formula>AND($D35="MIN",$F35="")</formula>
    </cfRule>
    <cfRule type="containsBlanks" dxfId="2724" priority="2742">
      <formula>LEN(TRIM(F35))=0</formula>
    </cfRule>
  </conditionalFormatting>
  <conditionalFormatting sqref="G35">
    <cfRule type="expression" dxfId="2723" priority="2737">
      <formula>AND(OR($D35="GD&amp;T",$D35="MAX"),$G35&lt;&gt;"")</formula>
    </cfRule>
    <cfRule type="expression" dxfId="2722" priority="2738">
      <formula>AND(OR($D35="GD&amp;T",$D35="MAX"),$G35="")</formula>
    </cfRule>
    <cfRule type="containsBlanks" dxfId="2721" priority="2739">
      <formula>LEN(TRIM(G35))=0</formula>
    </cfRule>
  </conditionalFormatting>
  <conditionalFormatting sqref="F35">
    <cfRule type="expression" dxfId="2720" priority="2734">
      <formula>AND($D35="MIN",$F35&lt;&gt;"")</formula>
    </cfRule>
    <cfRule type="expression" dxfId="2719" priority="2735">
      <formula>AND($D35="MIN",$F35="")</formula>
    </cfRule>
    <cfRule type="containsBlanks" dxfId="2718" priority="2736">
      <formula>LEN(TRIM(F35))=0</formula>
    </cfRule>
  </conditionalFormatting>
  <conditionalFormatting sqref="G35">
    <cfRule type="expression" dxfId="2717" priority="2731">
      <formula>AND(OR($D35="GD&amp;T",$D35="MAX"),$G35&lt;&gt;"")</formula>
    </cfRule>
    <cfRule type="expression" dxfId="2716" priority="2732">
      <formula>AND(OR($D35="GD&amp;T",$D35="MAX"),$G35="")</formula>
    </cfRule>
    <cfRule type="containsBlanks" dxfId="2715" priority="2733">
      <formula>LEN(TRIM(G35))=0</formula>
    </cfRule>
  </conditionalFormatting>
  <conditionalFormatting sqref="F35">
    <cfRule type="expression" dxfId="2714" priority="2728">
      <formula>AND($D35="MIN",$F35&lt;&gt;"")</formula>
    </cfRule>
    <cfRule type="expression" dxfId="2713" priority="2729">
      <formula>AND($D35="MIN",$F35="")</formula>
    </cfRule>
    <cfRule type="containsBlanks" dxfId="2712" priority="2730">
      <formula>LEN(TRIM(F35))=0</formula>
    </cfRule>
  </conditionalFormatting>
  <conditionalFormatting sqref="G35">
    <cfRule type="expression" dxfId="2711" priority="2725">
      <formula>AND(OR($D35="GD&amp;T",$D35="MAX"),$G35&lt;&gt;"")</formula>
    </cfRule>
    <cfRule type="expression" dxfId="2710" priority="2726">
      <formula>AND(OR($D35="GD&amp;T",$D35="MAX"),$G35="")</formula>
    </cfRule>
    <cfRule type="containsBlanks" dxfId="2709" priority="2727">
      <formula>LEN(TRIM(G35))=0</formula>
    </cfRule>
  </conditionalFormatting>
  <conditionalFormatting sqref="F35">
    <cfRule type="expression" dxfId="2708" priority="2722">
      <formula>AND($D35="MIN",$F35&lt;&gt;"")</formula>
    </cfRule>
    <cfRule type="expression" dxfId="2707" priority="2723">
      <formula>AND($D35="MIN",$F35="")</formula>
    </cfRule>
    <cfRule type="containsBlanks" dxfId="2706" priority="2724">
      <formula>LEN(TRIM(F35))=0</formula>
    </cfRule>
  </conditionalFormatting>
  <conditionalFormatting sqref="G35">
    <cfRule type="expression" dxfId="2705" priority="2719">
      <formula>AND(OR($D35="GD&amp;T",$D35="MAX"),$G35&lt;&gt;"")</formula>
    </cfRule>
    <cfRule type="expression" dxfId="2704" priority="2720">
      <formula>AND(OR($D35="GD&amp;T",$D35="MAX"),$G35="")</formula>
    </cfRule>
    <cfRule type="containsBlanks" dxfId="2703" priority="2721">
      <formula>LEN(TRIM(G35))=0</formula>
    </cfRule>
  </conditionalFormatting>
  <conditionalFormatting sqref="F35">
    <cfRule type="expression" dxfId="2702" priority="2716">
      <formula>AND($D35="MIN",$F35&lt;&gt;"")</formula>
    </cfRule>
    <cfRule type="expression" dxfId="2701" priority="2717">
      <formula>AND($D35="MIN",$F35="")</formula>
    </cfRule>
    <cfRule type="containsBlanks" dxfId="2700" priority="2718">
      <formula>LEN(TRIM(F35))=0</formula>
    </cfRule>
  </conditionalFormatting>
  <conditionalFormatting sqref="G35">
    <cfRule type="expression" dxfId="2699" priority="2713">
      <formula>AND(OR($D35="GD&amp;T",$D35="MAX"),$G35&lt;&gt;"")</formula>
    </cfRule>
    <cfRule type="expression" dxfId="2698" priority="2714">
      <formula>AND(OR($D35="GD&amp;T",$D35="MAX"),$G35="")</formula>
    </cfRule>
    <cfRule type="containsBlanks" dxfId="2697" priority="2715">
      <formula>LEN(TRIM(G35))=0</formula>
    </cfRule>
  </conditionalFormatting>
  <conditionalFormatting sqref="F35">
    <cfRule type="expression" dxfId="2696" priority="2710">
      <formula>AND($D35="MIN",$F35&lt;&gt;"")</formula>
    </cfRule>
    <cfRule type="expression" dxfId="2695" priority="2711">
      <formula>AND($D35="MIN",$F35="")</formula>
    </cfRule>
    <cfRule type="containsBlanks" dxfId="2694" priority="2712">
      <formula>LEN(TRIM(F35))=0</formula>
    </cfRule>
  </conditionalFormatting>
  <conditionalFormatting sqref="F35">
    <cfRule type="expression" dxfId="2693" priority="2707">
      <formula>AND($D35="MIN",$F35&lt;&gt;"")</formula>
    </cfRule>
    <cfRule type="expression" dxfId="2692" priority="2708">
      <formula>AND($D35="MIN",$F35="")</formula>
    </cfRule>
    <cfRule type="containsBlanks" dxfId="2691" priority="2709">
      <formula>LEN(TRIM(F35))=0</formula>
    </cfRule>
  </conditionalFormatting>
  <conditionalFormatting sqref="F35">
    <cfRule type="expression" dxfId="2690" priority="2704">
      <formula>AND($D35="MIN",$F35&lt;&gt;"")</formula>
    </cfRule>
    <cfRule type="expression" dxfId="2689" priority="2705">
      <formula>AND($D35="MIN",$F35="")</formula>
    </cfRule>
    <cfRule type="containsBlanks" dxfId="2688" priority="2706">
      <formula>LEN(TRIM(F35))=0</formula>
    </cfRule>
  </conditionalFormatting>
  <conditionalFormatting sqref="F35">
    <cfRule type="expression" dxfId="2687" priority="2701">
      <formula>AND($D35="MIN",$F35&lt;&gt;"")</formula>
    </cfRule>
    <cfRule type="expression" dxfId="2686" priority="2702">
      <formula>AND($D35="MIN",$F35="")</formula>
    </cfRule>
    <cfRule type="containsBlanks" dxfId="2685" priority="2703">
      <formula>LEN(TRIM(F35))=0</formula>
    </cfRule>
  </conditionalFormatting>
  <conditionalFormatting sqref="F35">
    <cfRule type="expression" dxfId="2684" priority="2698">
      <formula>AND($D35="MIN",$F35&lt;&gt;"")</formula>
    </cfRule>
    <cfRule type="expression" dxfId="2683" priority="2699">
      <formula>AND($D35="MIN",$F35="")</formula>
    </cfRule>
    <cfRule type="containsBlanks" dxfId="2682" priority="2700">
      <formula>LEN(TRIM(F35))=0</formula>
    </cfRule>
  </conditionalFormatting>
  <conditionalFormatting sqref="F35">
    <cfRule type="expression" dxfId="2681" priority="2695">
      <formula>AND($D35="MIN",$F35&lt;&gt;"")</formula>
    </cfRule>
    <cfRule type="expression" dxfId="2680" priority="2696">
      <formula>AND($D35="MIN",$F35="")</formula>
    </cfRule>
    <cfRule type="containsBlanks" dxfId="2679" priority="2697">
      <formula>LEN(TRIM(F35))=0</formula>
    </cfRule>
  </conditionalFormatting>
  <conditionalFormatting sqref="G35">
    <cfRule type="expression" dxfId="2678" priority="2692">
      <formula>AND(OR($D35="GD&amp;T",$D35="MAX"),$G35&lt;&gt;"")</formula>
    </cfRule>
    <cfRule type="expression" dxfId="2677" priority="2693">
      <formula>AND(OR($D35="GD&amp;T",$D35="MAX"),$G35="")</formula>
    </cfRule>
    <cfRule type="containsBlanks" dxfId="2676" priority="2694">
      <formula>LEN(TRIM(G35))=0</formula>
    </cfRule>
  </conditionalFormatting>
  <conditionalFormatting sqref="F35">
    <cfRule type="expression" dxfId="2675" priority="2689">
      <formula>AND($D35="MIN",$F35&lt;&gt;"")</formula>
    </cfRule>
    <cfRule type="expression" dxfId="2674" priority="2690">
      <formula>AND($D35="MIN",$F35="")</formula>
    </cfRule>
    <cfRule type="containsBlanks" dxfId="2673" priority="2691">
      <formula>LEN(TRIM(F35))=0</formula>
    </cfRule>
  </conditionalFormatting>
  <conditionalFormatting sqref="G35">
    <cfRule type="expression" dxfId="2672" priority="2686">
      <formula>AND(OR($D35="GD&amp;T",$D35="MAX"),$G35&lt;&gt;"")</formula>
    </cfRule>
    <cfRule type="expression" dxfId="2671" priority="2687">
      <formula>AND(OR($D35="GD&amp;T",$D35="MAX"),$G35="")</formula>
    </cfRule>
    <cfRule type="containsBlanks" dxfId="2670" priority="2688">
      <formula>LEN(TRIM(G35))=0</formula>
    </cfRule>
  </conditionalFormatting>
  <conditionalFormatting sqref="F35">
    <cfRule type="expression" dxfId="2669" priority="2683">
      <formula>AND($D35="MIN",$F35&lt;&gt;"")</formula>
    </cfRule>
    <cfRule type="expression" dxfId="2668" priority="2684">
      <formula>AND($D35="MIN",$F35="")</formula>
    </cfRule>
    <cfRule type="containsBlanks" dxfId="2667" priority="2685">
      <formula>LEN(TRIM(F35))=0</formula>
    </cfRule>
  </conditionalFormatting>
  <conditionalFormatting sqref="G35">
    <cfRule type="expression" dxfId="2666" priority="2680">
      <formula>AND(OR($D35="GD&amp;T",$D35="MAX"),$G35&lt;&gt;"")</formula>
    </cfRule>
    <cfRule type="expression" dxfId="2665" priority="2681">
      <formula>AND(OR($D35="GD&amp;T",$D35="MAX"),$G35="")</formula>
    </cfRule>
    <cfRule type="containsBlanks" dxfId="2664" priority="2682">
      <formula>LEN(TRIM(G35))=0</formula>
    </cfRule>
  </conditionalFormatting>
  <conditionalFormatting sqref="F35">
    <cfRule type="expression" dxfId="2663" priority="2677">
      <formula>AND($D35="MIN",$F35&lt;&gt;"")</formula>
    </cfRule>
    <cfRule type="expression" dxfId="2662" priority="2678">
      <formula>AND($D35="MIN",$F35="")</formula>
    </cfRule>
    <cfRule type="containsBlanks" dxfId="2661" priority="2679">
      <formula>LEN(TRIM(F35))=0</formula>
    </cfRule>
  </conditionalFormatting>
  <conditionalFormatting sqref="G35">
    <cfRule type="expression" dxfId="2660" priority="2674">
      <formula>AND(OR($D35="GD&amp;T",$D35="MAX"),$G35&lt;&gt;"")</formula>
    </cfRule>
    <cfRule type="expression" dxfId="2659" priority="2675">
      <formula>AND(OR($D35="GD&amp;T",$D35="MAX"),$G35="")</formula>
    </cfRule>
    <cfRule type="containsBlanks" dxfId="2658" priority="2676">
      <formula>LEN(TRIM(G35))=0</formula>
    </cfRule>
  </conditionalFormatting>
  <conditionalFormatting sqref="G35">
    <cfRule type="expression" dxfId="2657" priority="2671">
      <formula>AND(OR($D35="GD&amp;T",$D35="MAX"),$G35&lt;&gt;"")</formula>
    </cfRule>
    <cfRule type="expression" dxfId="2656" priority="2672">
      <formula>AND(OR($D35="GD&amp;T",$D35="MAX"),$G35="")</formula>
    </cfRule>
    <cfRule type="containsBlanks" dxfId="2655" priority="2673">
      <formula>LEN(TRIM(G35))=0</formula>
    </cfRule>
  </conditionalFormatting>
  <conditionalFormatting sqref="G35">
    <cfRule type="expression" dxfId="2654" priority="2668">
      <formula>AND(OR($D35="GD&amp;T",$D35="MAX"),$G35&lt;&gt;"")</formula>
    </cfRule>
    <cfRule type="expression" dxfId="2653" priority="2669">
      <formula>AND(OR($D35="GD&amp;T",$D35="MAX"),$G35="")</formula>
    </cfRule>
    <cfRule type="containsBlanks" dxfId="2652" priority="2670">
      <formula>LEN(TRIM(G35))=0</formula>
    </cfRule>
  </conditionalFormatting>
  <conditionalFormatting sqref="G35">
    <cfRule type="expression" dxfId="2651" priority="2665">
      <formula>AND(OR($D35="GD&amp;T",$D35="MAX"),$G35&lt;&gt;"")</formula>
    </cfRule>
    <cfRule type="expression" dxfId="2650" priority="2666">
      <formula>AND(OR($D35="GD&amp;T",$D35="MAX"),$G35="")</formula>
    </cfRule>
    <cfRule type="containsBlanks" dxfId="2649" priority="2667">
      <formula>LEN(TRIM(G35))=0</formula>
    </cfRule>
  </conditionalFormatting>
  <conditionalFormatting sqref="G35">
    <cfRule type="expression" dxfId="2648" priority="2662">
      <formula>AND(OR($D35="GD&amp;T",$D35="MAX"),$G35&lt;&gt;"")</formula>
    </cfRule>
    <cfRule type="expression" dxfId="2647" priority="2663">
      <formula>AND(OR($D35="GD&amp;T",$D35="MAX"),$G35="")</formula>
    </cfRule>
    <cfRule type="containsBlanks" dxfId="2646" priority="2664">
      <formula>LEN(TRIM(G35))=0</formula>
    </cfRule>
  </conditionalFormatting>
  <conditionalFormatting sqref="G35">
    <cfRule type="expression" dxfId="2645" priority="2659">
      <formula>AND(OR($D35="GD&amp;T",$D35="MAX"),$G35&lt;&gt;"")</formula>
    </cfRule>
    <cfRule type="expression" dxfId="2644" priority="2660">
      <formula>AND(OR($D35="GD&amp;T",$D35="MAX"),$G35="")</formula>
    </cfRule>
    <cfRule type="containsBlanks" dxfId="2643" priority="2661">
      <formula>LEN(TRIM(G35))=0</formula>
    </cfRule>
  </conditionalFormatting>
  <conditionalFormatting sqref="F35">
    <cfRule type="expression" dxfId="2642" priority="2656">
      <formula>AND($D35="MIN",$F35&lt;&gt;"")</formula>
    </cfRule>
    <cfRule type="expression" dxfId="2641" priority="2657">
      <formula>AND($D35="MIN",$F35="")</formula>
    </cfRule>
    <cfRule type="containsBlanks" dxfId="2640" priority="2658">
      <formula>LEN(TRIM(F35))=0</formula>
    </cfRule>
  </conditionalFormatting>
  <conditionalFormatting sqref="F35">
    <cfRule type="expression" dxfId="2639" priority="2653">
      <formula>AND($D35="MIN",$F35&lt;&gt;"")</formula>
    </cfRule>
    <cfRule type="expression" dxfId="2638" priority="2654">
      <formula>AND($D35="MIN",$F35="")</formula>
    </cfRule>
    <cfRule type="containsBlanks" dxfId="2637" priority="2655">
      <formula>LEN(TRIM(F35))=0</formula>
    </cfRule>
  </conditionalFormatting>
  <conditionalFormatting sqref="F35">
    <cfRule type="expression" dxfId="2636" priority="2650">
      <formula>AND($D35="MIN",$F35&lt;&gt;"")</formula>
    </cfRule>
    <cfRule type="expression" dxfId="2635" priority="2651">
      <formula>AND($D35="MIN",$F35="")</formula>
    </cfRule>
    <cfRule type="containsBlanks" dxfId="2634" priority="2652">
      <formula>LEN(TRIM(F35))=0</formula>
    </cfRule>
  </conditionalFormatting>
  <conditionalFormatting sqref="F35">
    <cfRule type="expression" dxfId="2633" priority="2647">
      <formula>AND($D35="MIN",$F35&lt;&gt;"")</formula>
    </cfRule>
    <cfRule type="expression" dxfId="2632" priority="2648">
      <formula>AND($D35="MIN",$F35="")</formula>
    </cfRule>
    <cfRule type="containsBlanks" dxfId="2631" priority="2649">
      <formula>LEN(TRIM(F35))=0</formula>
    </cfRule>
  </conditionalFormatting>
  <conditionalFormatting sqref="F35">
    <cfRule type="expression" dxfId="2630" priority="2644">
      <formula>AND($D35="MIN",$F35&lt;&gt;"")</formula>
    </cfRule>
    <cfRule type="expression" dxfId="2629" priority="2645">
      <formula>AND($D35="MIN",$F35="")</formula>
    </cfRule>
    <cfRule type="containsBlanks" dxfId="2628" priority="2646">
      <formula>LEN(TRIM(F35))=0</formula>
    </cfRule>
  </conditionalFormatting>
  <conditionalFormatting sqref="F35">
    <cfRule type="expression" dxfId="2627" priority="2641">
      <formula>AND($D35="MIN",$F35&lt;&gt;"")</formula>
    </cfRule>
    <cfRule type="expression" dxfId="2626" priority="2642">
      <formula>AND($D35="MIN",$F35="")</formula>
    </cfRule>
    <cfRule type="containsBlanks" dxfId="2625" priority="2643">
      <formula>LEN(TRIM(F35))=0</formula>
    </cfRule>
  </conditionalFormatting>
  <conditionalFormatting sqref="G35">
    <cfRule type="expression" dxfId="2624" priority="2638">
      <formula>AND(OR($D35="GD&amp;T",$D35="MAX"),$G35&lt;&gt;"")</formula>
    </cfRule>
    <cfRule type="expression" dxfId="2623" priority="2639">
      <formula>AND(OR($D35="GD&amp;T",$D35="MAX"),$G35="")</formula>
    </cfRule>
    <cfRule type="containsBlanks" dxfId="2622" priority="2640">
      <formula>LEN(TRIM(G35))=0</formula>
    </cfRule>
  </conditionalFormatting>
  <conditionalFormatting sqref="F35">
    <cfRule type="expression" dxfId="2621" priority="2635">
      <formula>AND($D35="MIN",$F35&lt;&gt;"")</formula>
    </cfRule>
    <cfRule type="expression" dxfId="2620" priority="2636">
      <formula>AND($D35="MIN",$F35="")</formula>
    </cfRule>
    <cfRule type="containsBlanks" dxfId="2619" priority="2637">
      <formula>LEN(TRIM(F35))=0</formula>
    </cfRule>
  </conditionalFormatting>
  <conditionalFormatting sqref="G35">
    <cfRule type="expression" dxfId="2618" priority="2632">
      <formula>AND(OR($D35="GD&amp;T",$D35="MAX"),$G35&lt;&gt;"")</formula>
    </cfRule>
    <cfRule type="expression" dxfId="2617" priority="2633">
      <formula>AND(OR($D35="GD&amp;T",$D35="MAX"),$G35="")</formula>
    </cfRule>
    <cfRule type="containsBlanks" dxfId="2616" priority="2634">
      <formula>LEN(TRIM(G35))=0</formula>
    </cfRule>
  </conditionalFormatting>
  <conditionalFormatting sqref="F35">
    <cfRule type="expression" dxfId="2615" priority="2629">
      <formula>AND($D35="MIN",$F35&lt;&gt;"")</formula>
    </cfRule>
    <cfRule type="expression" dxfId="2614" priority="2630">
      <formula>AND($D35="MIN",$F35="")</formula>
    </cfRule>
    <cfRule type="containsBlanks" dxfId="2613" priority="2631">
      <formula>LEN(TRIM(F35))=0</formula>
    </cfRule>
  </conditionalFormatting>
  <conditionalFormatting sqref="G35">
    <cfRule type="expression" dxfId="2612" priority="2626">
      <formula>AND(OR($D35="GD&amp;T",$D35="MAX"),$G35&lt;&gt;"")</formula>
    </cfRule>
    <cfRule type="expression" dxfId="2611" priority="2627">
      <formula>AND(OR($D35="GD&amp;T",$D35="MAX"),$G35="")</formula>
    </cfRule>
    <cfRule type="containsBlanks" dxfId="2610" priority="2628">
      <formula>LEN(TRIM(G35))=0</formula>
    </cfRule>
  </conditionalFormatting>
  <conditionalFormatting sqref="F35">
    <cfRule type="expression" dxfId="2609" priority="2623">
      <formula>AND($D35="MIN",$F35&lt;&gt;"")</formula>
    </cfRule>
    <cfRule type="expression" dxfId="2608" priority="2624">
      <formula>AND($D35="MIN",$F35="")</formula>
    </cfRule>
    <cfRule type="containsBlanks" dxfId="2607" priority="2625">
      <formula>LEN(TRIM(F35))=0</formula>
    </cfRule>
  </conditionalFormatting>
  <conditionalFormatting sqref="G35">
    <cfRule type="expression" dxfId="2606" priority="2620">
      <formula>AND(OR($D35="GD&amp;T",$D35="MAX"),$G35&lt;&gt;"")</formula>
    </cfRule>
    <cfRule type="expression" dxfId="2605" priority="2621">
      <formula>AND(OR($D35="GD&amp;T",$D35="MAX"),$G35="")</formula>
    </cfRule>
    <cfRule type="containsBlanks" dxfId="2604" priority="2622">
      <formula>LEN(TRIM(G35))=0</formula>
    </cfRule>
  </conditionalFormatting>
  <conditionalFormatting sqref="F35">
    <cfRule type="expression" dxfId="2603" priority="2617">
      <formula>AND($D35="MIN",$F35&lt;&gt;"")</formula>
    </cfRule>
    <cfRule type="expression" dxfId="2602" priority="2618">
      <formula>AND($D35="MIN",$F35="")</formula>
    </cfRule>
    <cfRule type="containsBlanks" dxfId="2601" priority="2619">
      <formula>LEN(TRIM(F35))=0</formula>
    </cfRule>
  </conditionalFormatting>
  <conditionalFormatting sqref="G35">
    <cfRule type="expression" dxfId="2600" priority="2614">
      <formula>AND(OR($D35="GD&amp;T",$D35="MAX"),$G35&lt;&gt;"")</formula>
    </cfRule>
    <cfRule type="expression" dxfId="2599" priority="2615">
      <formula>AND(OR($D35="GD&amp;T",$D35="MAX"),$G35="")</formula>
    </cfRule>
    <cfRule type="containsBlanks" dxfId="2598" priority="2616">
      <formula>LEN(TRIM(G35))=0</formula>
    </cfRule>
  </conditionalFormatting>
  <conditionalFormatting sqref="F35">
    <cfRule type="expression" dxfId="2597" priority="2611">
      <formula>AND($D35="MIN",$F35&lt;&gt;"")</formula>
    </cfRule>
    <cfRule type="expression" dxfId="2596" priority="2612">
      <formula>AND($D35="MIN",$F35="")</formula>
    </cfRule>
    <cfRule type="containsBlanks" dxfId="2595" priority="2613">
      <formula>LEN(TRIM(F35))=0</formula>
    </cfRule>
  </conditionalFormatting>
  <conditionalFormatting sqref="G35">
    <cfRule type="expression" dxfId="2594" priority="2608">
      <formula>AND(OR($D35="GD&amp;T",$D35="MAX"),$G35&lt;&gt;"")</formula>
    </cfRule>
    <cfRule type="expression" dxfId="2593" priority="2609">
      <formula>AND(OR($D35="GD&amp;T",$D35="MAX"),$G35="")</formula>
    </cfRule>
    <cfRule type="containsBlanks" dxfId="2592" priority="2610">
      <formula>LEN(TRIM(G35))=0</formula>
    </cfRule>
  </conditionalFormatting>
  <conditionalFormatting sqref="F35">
    <cfRule type="expression" dxfId="2591" priority="2605">
      <formula>AND($D35="MIN",$F35&lt;&gt;"")</formula>
    </cfRule>
    <cfRule type="expression" dxfId="2590" priority="2606">
      <formula>AND($D35="MIN",$F35="")</formula>
    </cfRule>
    <cfRule type="containsBlanks" dxfId="2589" priority="2607">
      <formula>LEN(TRIM(F35))=0</formula>
    </cfRule>
  </conditionalFormatting>
  <conditionalFormatting sqref="G35">
    <cfRule type="expression" dxfId="2588" priority="2602">
      <formula>AND(OR($D35="GD&amp;T",$D35="MAX"),$G35&lt;&gt;"")</formula>
    </cfRule>
    <cfRule type="expression" dxfId="2587" priority="2603">
      <formula>AND(OR($D35="GD&amp;T",$D35="MAX"),$G35="")</formula>
    </cfRule>
    <cfRule type="containsBlanks" dxfId="2586" priority="2604">
      <formula>LEN(TRIM(G35))=0</formula>
    </cfRule>
  </conditionalFormatting>
  <conditionalFormatting sqref="F35">
    <cfRule type="expression" dxfId="2585" priority="2599">
      <formula>AND($D35="MIN",$F35&lt;&gt;"")</formula>
    </cfRule>
    <cfRule type="expression" dxfId="2584" priority="2600">
      <formula>AND($D35="MIN",$F35="")</formula>
    </cfRule>
    <cfRule type="containsBlanks" dxfId="2583" priority="2601">
      <formula>LEN(TRIM(F35))=0</formula>
    </cfRule>
  </conditionalFormatting>
  <conditionalFormatting sqref="G35">
    <cfRule type="expression" dxfId="2582" priority="2596">
      <formula>AND(OR($D35="GD&amp;T",$D35="MAX"),$G35&lt;&gt;"")</formula>
    </cfRule>
    <cfRule type="expression" dxfId="2581" priority="2597">
      <formula>AND(OR($D35="GD&amp;T",$D35="MAX"),$G35="")</formula>
    </cfRule>
    <cfRule type="containsBlanks" dxfId="2580" priority="2598">
      <formula>LEN(TRIM(G35))=0</formula>
    </cfRule>
  </conditionalFormatting>
  <conditionalFormatting sqref="F35">
    <cfRule type="expression" dxfId="2579" priority="2593">
      <formula>AND($D35="MIN",$F35&lt;&gt;"")</formula>
    </cfRule>
    <cfRule type="expression" dxfId="2578" priority="2594">
      <formula>AND($D35="MIN",$F35="")</formula>
    </cfRule>
    <cfRule type="containsBlanks" dxfId="2577" priority="2595">
      <formula>LEN(TRIM(F35))=0</formula>
    </cfRule>
  </conditionalFormatting>
  <conditionalFormatting sqref="F35">
    <cfRule type="expression" dxfId="2576" priority="2590">
      <formula>AND($D35="MIN",$F35&lt;&gt;"")</formula>
    </cfRule>
    <cfRule type="expression" dxfId="2575" priority="2591">
      <formula>AND($D35="MIN",$F35="")</formula>
    </cfRule>
    <cfRule type="containsBlanks" dxfId="2574" priority="2592">
      <formula>LEN(TRIM(F35))=0</formula>
    </cfRule>
  </conditionalFormatting>
  <conditionalFormatting sqref="F35">
    <cfRule type="expression" dxfId="2573" priority="2587">
      <formula>AND($D35="MIN",$F35&lt;&gt;"")</formula>
    </cfRule>
    <cfRule type="expression" dxfId="2572" priority="2588">
      <formula>AND($D35="MIN",$F35="")</formula>
    </cfRule>
    <cfRule type="containsBlanks" dxfId="2571" priority="2589">
      <formula>LEN(TRIM(F35))=0</formula>
    </cfRule>
  </conditionalFormatting>
  <conditionalFormatting sqref="F35">
    <cfRule type="expression" dxfId="2570" priority="2584">
      <formula>AND($D35="MIN",$F35&lt;&gt;"")</formula>
    </cfRule>
    <cfRule type="expression" dxfId="2569" priority="2585">
      <formula>AND($D35="MIN",$F35="")</formula>
    </cfRule>
    <cfRule type="containsBlanks" dxfId="2568" priority="2586">
      <formula>LEN(TRIM(F35))=0</formula>
    </cfRule>
  </conditionalFormatting>
  <conditionalFormatting sqref="F35">
    <cfRule type="expression" dxfId="2567" priority="2581">
      <formula>AND($D35="MIN",$F35&lt;&gt;"")</formula>
    </cfRule>
    <cfRule type="expression" dxfId="2566" priority="2582">
      <formula>AND($D35="MIN",$F35="")</formula>
    </cfRule>
    <cfRule type="containsBlanks" dxfId="2565" priority="2583">
      <formula>LEN(TRIM(F35))=0</formula>
    </cfRule>
  </conditionalFormatting>
  <conditionalFormatting sqref="F35">
    <cfRule type="expression" dxfId="2564" priority="2578">
      <formula>AND($D35="MIN",$F35&lt;&gt;"")</formula>
    </cfRule>
    <cfRule type="expression" dxfId="2563" priority="2579">
      <formula>AND($D35="MIN",$F35="")</formula>
    </cfRule>
    <cfRule type="containsBlanks" dxfId="2562" priority="2580">
      <formula>LEN(TRIM(F35))=0</formula>
    </cfRule>
  </conditionalFormatting>
  <conditionalFormatting sqref="G35">
    <cfRule type="expression" dxfId="2561" priority="2575">
      <formula>AND(OR($D35="GD&amp;T",$D35="MAX"),$G35&lt;&gt;"")</formula>
    </cfRule>
    <cfRule type="expression" dxfId="2560" priority="2576">
      <formula>AND(OR($D35="GD&amp;T",$D35="MAX"),$G35="")</formula>
    </cfRule>
    <cfRule type="containsBlanks" dxfId="2559" priority="2577">
      <formula>LEN(TRIM(G35))=0</formula>
    </cfRule>
  </conditionalFormatting>
  <conditionalFormatting sqref="F35">
    <cfRule type="expression" dxfId="2558" priority="2572">
      <formula>AND($D35="MIN",$F35&lt;&gt;"")</formula>
    </cfRule>
    <cfRule type="expression" dxfId="2557" priority="2573">
      <formula>AND($D35="MIN",$F35="")</formula>
    </cfRule>
    <cfRule type="containsBlanks" dxfId="2556" priority="2574">
      <formula>LEN(TRIM(F35))=0</formula>
    </cfRule>
  </conditionalFormatting>
  <conditionalFormatting sqref="G35">
    <cfRule type="expression" dxfId="2555" priority="2569">
      <formula>AND(OR($D35="GD&amp;T",$D35="MAX"),$G35&lt;&gt;"")</formula>
    </cfRule>
    <cfRule type="expression" dxfId="2554" priority="2570">
      <formula>AND(OR($D35="GD&amp;T",$D35="MAX"),$G35="")</formula>
    </cfRule>
    <cfRule type="containsBlanks" dxfId="2553" priority="2571">
      <formula>LEN(TRIM(G35))=0</formula>
    </cfRule>
  </conditionalFormatting>
  <conditionalFormatting sqref="F35">
    <cfRule type="expression" dxfId="2552" priority="2566">
      <formula>AND($D35="MIN",$F35&lt;&gt;"")</formula>
    </cfRule>
    <cfRule type="expression" dxfId="2551" priority="2567">
      <formula>AND($D35="MIN",$F35="")</formula>
    </cfRule>
    <cfRule type="containsBlanks" dxfId="2550" priority="2568">
      <formula>LEN(TRIM(F35))=0</formula>
    </cfRule>
  </conditionalFormatting>
  <conditionalFormatting sqref="G35">
    <cfRule type="expression" dxfId="2549" priority="2563">
      <formula>AND(OR($D35="GD&amp;T",$D35="MAX"),$G35&lt;&gt;"")</formula>
    </cfRule>
    <cfRule type="expression" dxfId="2548" priority="2564">
      <formula>AND(OR($D35="GD&amp;T",$D35="MAX"),$G35="")</formula>
    </cfRule>
    <cfRule type="containsBlanks" dxfId="2547" priority="2565">
      <formula>LEN(TRIM(G35))=0</formula>
    </cfRule>
  </conditionalFormatting>
  <conditionalFormatting sqref="F35">
    <cfRule type="expression" dxfId="2546" priority="2560">
      <formula>AND($D35="MIN",$F35&lt;&gt;"")</formula>
    </cfRule>
    <cfRule type="expression" dxfId="2545" priority="2561">
      <formula>AND($D35="MIN",$F35="")</formula>
    </cfRule>
    <cfRule type="containsBlanks" dxfId="2544" priority="2562">
      <formula>LEN(TRIM(F35))=0</formula>
    </cfRule>
  </conditionalFormatting>
  <conditionalFormatting sqref="G35">
    <cfRule type="expression" dxfId="2543" priority="2557">
      <formula>AND(OR($D35="GD&amp;T",$D35="MAX"),$G35&lt;&gt;"")</formula>
    </cfRule>
    <cfRule type="expression" dxfId="2542" priority="2558">
      <formula>AND(OR($D35="GD&amp;T",$D35="MAX"),$G35="")</formula>
    </cfRule>
    <cfRule type="containsBlanks" dxfId="2541" priority="2559">
      <formula>LEN(TRIM(G35))=0</formula>
    </cfRule>
  </conditionalFormatting>
  <conditionalFormatting sqref="G35">
    <cfRule type="expression" dxfId="2540" priority="2554">
      <formula>AND(OR($D35="GD&amp;T",$D35="MAX"),$G35&lt;&gt;"")</formula>
    </cfRule>
    <cfRule type="expression" dxfId="2539" priority="2555">
      <formula>AND(OR($D35="GD&amp;T",$D35="MAX"),$G35="")</formula>
    </cfRule>
    <cfRule type="containsBlanks" dxfId="2538" priority="2556">
      <formula>LEN(TRIM(G35))=0</formula>
    </cfRule>
  </conditionalFormatting>
  <conditionalFormatting sqref="G35">
    <cfRule type="expression" dxfId="2537" priority="2551">
      <formula>AND(OR($D35="GD&amp;T",$D35="MAX"),$G35&lt;&gt;"")</formula>
    </cfRule>
    <cfRule type="expression" dxfId="2536" priority="2552">
      <formula>AND(OR($D35="GD&amp;T",$D35="MAX"),$G35="")</formula>
    </cfRule>
    <cfRule type="containsBlanks" dxfId="2535" priority="2553">
      <formula>LEN(TRIM(G35))=0</formula>
    </cfRule>
  </conditionalFormatting>
  <conditionalFormatting sqref="G35">
    <cfRule type="expression" dxfId="2534" priority="2548">
      <formula>AND(OR($D35="GD&amp;T",$D35="MAX"),$G35&lt;&gt;"")</formula>
    </cfRule>
    <cfRule type="expression" dxfId="2533" priority="2549">
      <formula>AND(OR($D35="GD&amp;T",$D35="MAX"),$G35="")</formula>
    </cfRule>
    <cfRule type="containsBlanks" dxfId="2532" priority="2550">
      <formula>LEN(TRIM(G35))=0</formula>
    </cfRule>
  </conditionalFormatting>
  <conditionalFormatting sqref="G35">
    <cfRule type="expression" dxfId="2531" priority="2545">
      <formula>AND(OR($D35="GD&amp;T",$D35="MAX"),$G35&lt;&gt;"")</formula>
    </cfRule>
    <cfRule type="expression" dxfId="2530" priority="2546">
      <formula>AND(OR($D35="GD&amp;T",$D35="MAX"),$G35="")</formula>
    </cfRule>
    <cfRule type="containsBlanks" dxfId="2529" priority="2547">
      <formula>LEN(TRIM(G35))=0</formula>
    </cfRule>
  </conditionalFormatting>
  <conditionalFormatting sqref="G35">
    <cfRule type="expression" dxfId="2528" priority="2542">
      <formula>AND(OR($D35="GD&amp;T",$D35="MAX"),$G35&lt;&gt;"")</formula>
    </cfRule>
    <cfRule type="expression" dxfId="2527" priority="2543">
      <formula>AND(OR($D35="GD&amp;T",$D35="MAX"),$G35="")</formula>
    </cfRule>
    <cfRule type="containsBlanks" dxfId="2526" priority="2544">
      <formula>LEN(TRIM(G35))=0</formula>
    </cfRule>
  </conditionalFormatting>
  <conditionalFormatting sqref="F35">
    <cfRule type="expression" dxfId="2525" priority="2539">
      <formula>AND($D35="MIN",$F35&lt;&gt;"")</formula>
    </cfRule>
    <cfRule type="expression" dxfId="2524" priority="2540">
      <formula>AND($D35="MIN",$F35="")</formula>
    </cfRule>
    <cfRule type="containsBlanks" dxfId="2523" priority="2541">
      <formula>LEN(TRIM(F35))=0</formula>
    </cfRule>
  </conditionalFormatting>
  <conditionalFormatting sqref="F35">
    <cfRule type="expression" dxfId="2522" priority="2536">
      <formula>AND($D35="MIN",$F35&lt;&gt;"")</formula>
    </cfRule>
    <cfRule type="expression" dxfId="2521" priority="2537">
      <formula>AND($D35="MIN",$F35="")</formula>
    </cfRule>
    <cfRule type="containsBlanks" dxfId="2520" priority="2538">
      <formula>LEN(TRIM(F35))=0</formula>
    </cfRule>
  </conditionalFormatting>
  <conditionalFormatting sqref="F35">
    <cfRule type="expression" dxfId="2519" priority="2533">
      <formula>AND($D35="MIN",$F35&lt;&gt;"")</formula>
    </cfRule>
    <cfRule type="expression" dxfId="2518" priority="2534">
      <formula>AND($D35="MIN",$F35="")</formula>
    </cfRule>
    <cfRule type="containsBlanks" dxfId="2517" priority="2535">
      <formula>LEN(TRIM(F35))=0</formula>
    </cfRule>
  </conditionalFormatting>
  <conditionalFormatting sqref="F35">
    <cfRule type="expression" dxfId="2516" priority="2530">
      <formula>AND($D35="MIN",$F35&lt;&gt;"")</formula>
    </cfRule>
    <cfRule type="expression" dxfId="2515" priority="2531">
      <formula>AND($D35="MIN",$F35="")</formula>
    </cfRule>
    <cfRule type="containsBlanks" dxfId="2514" priority="2532">
      <formula>LEN(TRIM(F35))=0</formula>
    </cfRule>
  </conditionalFormatting>
  <conditionalFormatting sqref="F35">
    <cfRule type="expression" dxfId="2513" priority="2527">
      <formula>AND($D35="MIN",$F35&lt;&gt;"")</formula>
    </cfRule>
    <cfRule type="expression" dxfId="2512" priority="2528">
      <formula>AND($D35="MIN",$F35="")</formula>
    </cfRule>
    <cfRule type="containsBlanks" dxfId="2511" priority="2529">
      <formula>LEN(TRIM(F35))=0</formula>
    </cfRule>
  </conditionalFormatting>
  <conditionalFormatting sqref="F35">
    <cfRule type="expression" dxfId="2510" priority="2524">
      <formula>AND($D35="MIN",$F35&lt;&gt;"")</formula>
    </cfRule>
    <cfRule type="expression" dxfId="2509" priority="2525">
      <formula>AND($D35="MIN",$F35="")</formula>
    </cfRule>
    <cfRule type="containsBlanks" dxfId="2508" priority="2526">
      <formula>LEN(TRIM(F35))=0</formula>
    </cfRule>
  </conditionalFormatting>
  <conditionalFormatting sqref="G35">
    <cfRule type="expression" dxfId="2507" priority="2521">
      <formula>AND(OR($D35="GD&amp;T",$D35="MAX"),$G35&lt;&gt;"")</formula>
    </cfRule>
    <cfRule type="expression" dxfId="2506" priority="2522">
      <formula>AND(OR($D35="GD&amp;T",$D35="MAX"),$G35="")</formula>
    </cfRule>
    <cfRule type="containsBlanks" dxfId="2505" priority="2523">
      <formula>LEN(TRIM(G35))=0</formula>
    </cfRule>
  </conditionalFormatting>
  <conditionalFormatting sqref="F35">
    <cfRule type="expression" dxfId="2504" priority="2518">
      <formula>AND($D35="MIN",$F35&lt;&gt;"")</formula>
    </cfRule>
    <cfRule type="expression" dxfId="2503" priority="2519">
      <formula>AND($D35="MIN",$F35="")</formula>
    </cfRule>
    <cfRule type="containsBlanks" dxfId="2502" priority="2520">
      <formula>LEN(TRIM(F35))=0</formula>
    </cfRule>
  </conditionalFormatting>
  <conditionalFormatting sqref="G35">
    <cfRule type="expression" dxfId="2501" priority="2515">
      <formula>AND(OR($D35="GD&amp;T",$D35="MAX"),$G35&lt;&gt;"")</formula>
    </cfRule>
    <cfRule type="expression" dxfId="2500" priority="2516">
      <formula>AND(OR($D35="GD&amp;T",$D35="MAX"),$G35="")</formula>
    </cfRule>
    <cfRule type="containsBlanks" dxfId="2499" priority="2517">
      <formula>LEN(TRIM(G35))=0</formula>
    </cfRule>
  </conditionalFormatting>
  <conditionalFormatting sqref="F35">
    <cfRule type="expression" dxfId="2498" priority="2512">
      <formula>AND($D35="MIN",$F35&lt;&gt;"")</formula>
    </cfRule>
    <cfRule type="expression" dxfId="2497" priority="2513">
      <formula>AND($D35="MIN",$F35="")</formula>
    </cfRule>
    <cfRule type="containsBlanks" dxfId="2496" priority="2514">
      <formula>LEN(TRIM(F35))=0</formula>
    </cfRule>
  </conditionalFormatting>
  <conditionalFormatting sqref="G35">
    <cfRule type="expression" dxfId="2495" priority="2509">
      <formula>AND(OR($D35="GD&amp;T",$D35="MAX"),$G35&lt;&gt;"")</formula>
    </cfRule>
    <cfRule type="expression" dxfId="2494" priority="2510">
      <formula>AND(OR($D35="GD&amp;T",$D35="MAX"),$G35="")</formula>
    </cfRule>
    <cfRule type="containsBlanks" dxfId="2493" priority="2511">
      <formula>LEN(TRIM(G35))=0</formula>
    </cfRule>
  </conditionalFormatting>
  <conditionalFormatting sqref="F35">
    <cfRule type="expression" dxfId="2492" priority="2506">
      <formula>AND($D35="MIN",$F35&lt;&gt;"")</formula>
    </cfRule>
    <cfRule type="expression" dxfId="2491" priority="2507">
      <formula>AND($D35="MIN",$F35="")</formula>
    </cfRule>
    <cfRule type="containsBlanks" dxfId="2490" priority="2508">
      <formula>LEN(TRIM(F35))=0</formula>
    </cfRule>
  </conditionalFormatting>
  <conditionalFormatting sqref="G35">
    <cfRule type="expression" dxfId="2489" priority="2503">
      <formula>AND(OR($D35="GD&amp;T",$D35="MAX"),$G35&lt;&gt;"")</formula>
    </cfRule>
    <cfRule type="expression" dxfId="2488" priority="2504">
      <formula>AND(OR($D35="GD&amp;T",$D35="MAX"),$G35="")</formula>
    </cfRule>
    <cfRule type="containsBlanks" dxfId="2487" priority="2505">
      <formula>LEN(TRIM(G35))=0</formula>
    </cfRule>
  </conditionalFormatting>
  <conditionalFormatting sqref="F35">
    <cfRule type="expression" dxfId="2486" priority="2500">
      <formula>AND($D35="MIN",$F35&lt;&gt;"")</formula>
    </cfRule>
    <cfRule type="expression" dxfId="2485" priority="2501">
      <formula>AND($D35="MIN",$F35="")</formula>
    </cfRule>
    <cfRule type="containsBlanks" dxfId="2484" priority="2502">
      <formula>LEN(TRIM(F35))=0</formula>
    </cfRule>
  </conditionalFormatting>
  <conditionalFormatting sqref="G35">
    <cfRule type="expression" dxfId="2483" priority="2497">
      <formula>AND(OR($D35="GD&amp;T",$D35="MAX"),$G35&lt;&gt;"")</formula>
    </cfRule>
    <cfRule type="expression" dxfId="2482" priority="2498">
      <formula>AND(OR($D35="GD&amp;T",$D35="MAX"),$G35="")</formula>
    </cfRule>
    <cfRule type="containsBlanks" dxfId="2481" priority="2499">
      <formula>LEN(TRIM(G35))=0</formula>
    </cfRule>
  </conditionalFormatting>
  <conditionalFormatting sqref="F35">
    <cfRule type="expression" dxfId="2480" priority="2494">
      <formula>AND($D35="MIN",$F35&lt;&gt;"")</formula>
    </cfRule>
    <cfRule type="expression" dxfId="2479" priority="2495">
      <formula>AND($D35="MIN",$F35="")</formula>
    </cfRule>
    <cfRule type="containsBlanks" dxfId="2478" priority="2496">
      <formula>LEN(TRIM(F35))=0</formula>
    </cfRule>
  </conditionalFormatting>
  <conditionalFormatting sqref="G35">
    <cfRule type="expression" dxfId="2477" priority="2491">
      <formula>AND(OR($D35="GD&amp;T",$D35="MAX"),$G35&lt;&gt;"")</formula>
    </cfRule>
    <cfRule type="expression" dxfId="2476" priority="2492">
      <formula>AND(OR($D35="GD&amp;T",$D35="MAX"),$G35="")</formula>
    </cfRule>
    <cfRule type="containsBlanks" dxfId="2475" priority="2493">
      <formula>LEN(TRIM(G35))=0</formula>
    </cfRule>
  </conditionalFormatting>
  <conditionalFormatting sqref="F35">
    <cfRule type="expression" dxfId="2474" priority="2488">
      <formula>AND($D35="MIN",$F35&lt;&gt;"")</formula>
    </cfRule>
    <cfRule type="expression" dxfId="2473" priority="2489">
      <formula>AND($D35="MIN",$F35="")</formula>
    </cfRule>
    <cfRule type="containsBlanks" dxfId="2472" priority="2490">
      <formula>LEN(TRIM(F35))=0</formula>
    </cfRule>
  </conditionalFormatting>
  <conditionalFormatting sqref="G35">
    <cfRule type="expression" dxfId="2471" priority="2485">
      <formula>AND(OR($D35="GD&amp;T",$D35="MAX"),$G35&lt;&gt;"")</formula>
    </cfRule>
    <cfRule type="expression" dxfId="2470" priority="2486">
      <formula>AND(OR($D35="GD&amp;T",$D35="MAX"),$G35="")</formula>
    </cfRule>
    <cfRule type="containsBlanks" dxfId="2469" priority="2487">
      <formula>LEN(TRIM(G35))=0</formula>
    </cfRule>
  </conditionalFormatting>
  <conditionalFormatting sqref="F35">
    <cfRule type="expression" dxfId="2468" priority="2482">
      <formula>AND($D35="MIN",$F35&lt;&gt;"")</formula>
    </cfRule>
    <cfRule type="expression" dxfId="2467" priority="2483">
      <formula>AND($D35="MIN",$F35="")</formula>
    </cfRule>
    <cfRule type="containsBlanks" dxfId="2466" priority="2484">
      <formula>LEN(TRIM(F35))=0</formula>
    </cfRule>
  </conditionalFormatting>
  <conditionalFormatting sqref="G35">
    <cfRule type="expression" dxfId="2465" priority="2479">
      <formula>AND(OR($D35="GD&amp;T",$D35="MAX"),$G35&lt;&gt;"")</formula>
    </cfRule>
    <cfRule type="expression" dxfId="2464" priority="2480">
      <formula>AND(OR($D35="GD&amp;T",$D35="MAX"),$G35="")</formula>
    </cfRule>
    <cfRule type="containsBlanks" dxfId="2463" priority="2481">
      <formula>LEN(TRIM(G35))=0</formula>
    </cfRule>
  </conditionalFormatting>
  <conditionalFormatting sqref="F35">
    <cfRule type="expression" dxfId="2462" priority="2476">
      <formula>AND($D35="MIN",$F35&lt;&gt;"")</formula>
    </cfRule>
    <cfRule type="expression" dxfId="2461" priority="2477">
      <formula>AND($D35="MIN",$F35="")</formula>
    </cfRule>
    <cfRule type="containsBlanks" dxfId="2460" priority="2478">
      <formula>LEN(TRIM(F35))=0</formula>
    </cfRule>
  </conditionalFormatting>
  <conditionalFormatting sqref="F35">
    <cfRule type="expression" dxfId="2459" priority="2473">
      <formula>AND($D35="MIN",$F35&lt;&gt;"")</formula>
    </cfRule>
    <cfRule type="expression" dxfId="2458" priority="2474">
      <formula>AND($D35="MIN",$F35="")</formula>
    </cfRule>
    <cfRule type="containsBlanks" dxfId="2457" priority="2475">
      <formula>LEN(TRIM(F35))=0</formula>
    </cfRule>
  </conditionalFormatting>
  <conditionalFormatting sqref="F35">
    <cfRule type="expression" dxfId="2456" priority="2470">
      <formula>AND($D35="MIN",$F35&lt;&gt;"")</formula>
    </cfRule>
    <cfRule type="expression" dxfId="2455" priority="2471">
      <formula>AND($D35="MIN",$F35="")</formula>
    </cfRule>
    <cfRule type="containsBlanks" dxfId="2454" priority="2472">
      <formula>LEN(TRIM(F35))=0</formula>
    </cfRule>
  </conditionalFormatting>
  <conditionalFormatting sqref="F35">
    <cfRule type="expression" dxfId="2453" priority="2467">
      <formula>AND($D35="MIN",$F35&lt;&gt;"")</formula>
    </cfRule>
    <cfRule type="expression" dxfId="2452" priority="2468">
      <formula>AND($D35="MIN",$F35="")</formula>
    </cfRule>
    <cfRule type="containsBlanks" dxfId="2451" priority="2469">
      <formula>LEN(TRIM(F35))=0</formula>
    </cfRule>
  </conditionalFormatting>
  <conditionalFormatting sqref="F35">
    <cfRule type="expression" dxfId="2450" priority="2464">
      <formula>AND($D35="MIN",$F35&lt;&gt;"")</formula>
    </cfRule>
    <cfRule type="expression" dxfId="2449" priority="2465">
      <formula>AND($D35="MIN",$F35="")</formula>
    </cfRule>
    <cfRule type="containsBlanks" dxfId="2448" priority="2466">
      <formula>LEN(TRIM(F35))=0</formula>
    </cfRule>
  </conditionalFormatting>
  <conditionalFormatting sqref="F36">
    <cfRule type="expression" dxfId="2447" priority="2461">
      <formula>AND($D36="MIN",$F36&lt;&gt;"")</formula>
    </cfRule>
    <cfRule type="expression" dxfId="2446" priority="2462">
      <formula>AND($D36="MIN",$F36="")</formula>
    </cfRule>
    <cfRule type="containsBlanks" dxfId="2445" priority="2463">
      <formula>LEN(TRIM(F36))=0</formula>
    </cfRule>
  </conditionalFormatting>
  <conditionalFormatting sqref="G36">
    <cfRule type="expression" dxfId="2444" priority="2458">
      <formula>AND(OR($D36="GD&amp;T",$D36="MAX"),$G36&lt;&gt;"")</formula>
    </cfRule>
    <cfRule type="expression" dxfId="2443" priority="2459">
      <formula>AND(OR($D36="GD&amp;T",$D36="MAX"),$G36="")</formula>
    </cfRule>
    <cfRule type="containsBlanks" dxfId="2442" priority="2460">
      <formula>LEN(TRIM(G36))=0</formula>
    </cfRule>
  </conditionalFormatting>
  <conditionalFormatting sqref="F36">
    <cfRule type="expression" dxfId="2441" priority="2455">
      <formula>AND($D36="MIN",$F36&lt;&gt;"")</formula>
    </cfRule>
    <cfRule type="expression" dxfId="2440" priority="2456">
      <formula>AND($D36="MIN",$F36="")</formula>
    </cfRule>
    <cfRule type="containsBlanks" dxfId="2439" priority="2457">
      <formula>LEN(TRIM(F36))=0</formula>
    </cfRule>
  </conditionalFormatting>
  <conditionalFormatting sqref="G36">
    <cfRule type="expression" dxfId="2438" priority="2452">
      <formula>AND(OR($D36="GD&amp;T",$D36="MAX"),$G36&lt;&gt;"")</formula>
    </cfRule>
    <cfRule type="expression" dxfId="2437" priority="2453">
      <formula>AND(OR($D36="GD&amp;T",$D36="MAX"),$G36="")</formula>
    </cfRule>
    <cfRule type="containsBlanks" dxfId="2436" priority="2454">
      <formula>LEN(TRIM(G36))=0</formula>
    </cfRule>
  </conditionalFormatting>
  <conditionalFormatting sqref="F36">
    <cfRule type="expression" dxfId="2435" priority="2449">
      <formula>AND($D36="MIN",$F36&lt;&gt;"")</formula>
    </cfRule>
    <cfRule type="expression" dxfId="2434" priority="2450">
      <formula>AND($D36="MIN",$F36="")</formula>
    </cfRule>
    <cfRule type="containsBlanks" dxfId="2433" priority="2451">
      <formula>LEN(TRIM(F36))=0</formula>
    </cfRule>
  </conditionalFormatting>
  <conditionalFormatting sqref="G36">
    <cfRule type="expression" dxfId="2432" priority="2446">
      <formula>AND(OR($D36="GD&amp;T",$D36="MAX"),$G36&lt;&gt;"")</formula>
    </cfRule>
    <cfRule type="expression" dxfId="2431" priority="2447">
      <formula>AND(OR($D36="GD&amp;T",$D36="MAX"),$G36="")</formula>
    </cfRule>
    <cfRule type="containsBlanks" dxfId="2430" priority="2448">
      <formula>LEN(TRIM(G36))=0</formula>
    </cfRule>
  </conditionalFormatting>
  <conditionalFormatting sqref="F36">
    <cfRule type="expression" dxfId="2429" priority="2443">
      <formula>AND($D36="MIN",$F36&lt;&gt;"")</formula>
    </cfRule>
    <cfRule type="expression" dxfId="2428" priority="2444">
      <formula>AND($D36="MIN",$F36="")</formula>
    </cfRule>
    <cfRule type="containsBlanks" dxfId="2427" priority="2445">
      <formula>LEN(TRIM(F36))=0</formula>
    </cfRule>
  </conditionalFormatting>
  <conditionalFormatting sqref="G36">
    <cfRule type="expression" dxfId="2426" priority="2440">
      <formula>AND(OR($D36="GD&amp;T",$D36="MAX"),$G36&lt;&gt;"")</formula>
    </cfRule>
    <cfRule type="expression" dxfId="2425" priority="2441">
      <formula>AND(OR($D36="GD&amp;T",$D36="MAX"),$G36="")</formula>
    </cfRule>
    <cfRule type="containsBlanks" dxfId="2424" priority="2442">
      <formula>LEN(TRIM(G36))=0</formula>
    </cfRule>
  </conditionalFormatting>
  <conditionalFormatting sqref="G36">
    <cfRule type="expression" dxfId="2423" priority="2437">
      <formula>AND(OR($D36="GD&amp;T",$D36="MAX"),$G36&lt;&gt;"")</formula>
    </cfRule>
    <cfRule type="expression" dxfId="2422" priority="2438">
      <formula>AND(OR($D36="GD&amp;T",$D36="MAX"),$G36="")</formula>
    </cfRule>
    <cfRule type="containsBlanks" dxfId="2421" priority="2439">
      <formula>LEN(TRIM(G36))=0</formula>
    </cfRule>
  </conditionalFormatting>
  <conditionalFormatting sqref="G36">
    <cfRule type="expression" dxfId="2420" priority="2434">
      <formula>AND(OR($D36="GD&amp;T",$D36="MAX"),$G36&lt;&gt;"")</formula>
    </cfRule>
    <cfRule type="expression" dxfId="2419" priority="2435">
      <formula>AND(OR($D36="GD&amp;T",$D36="MAX"),$G36="")</formula>
    </cfRule>
    <cfRule type="containsBlanks" dxfId="2418" priority="2436">
      <formula>LEN(TRIM(G36))=0</formula>
    </cfRule>
  </conditionalFormatting>
  <conditionalFormatting sqref="G36">
    <cfRule type="expression" dxfId="2417" priority="2431">
      <formula>AND(OR($D36="GD&amp;T",$D36="MAX"),$G36&lt;&gt;"")</formula>
    </cfRule>
    <cfRule type="expression" dxfId="2416" priority="2432">
      <formula>AND(OR($D36="GD&amp;T",$D36="MAX"),$G36="")</formula>
    </cfRule>
    <cfRule type="containsBlanks" dxfId="2415" priority="2433">
      <formula>LEN(TRIM(G36))=0</formula>
    </cfRule>
  </conditionalFormatting>
  <conditionalFormatting sqref="G36">
    <cfRule type="expression" dxfId="2414" priority="2428">
      <formula>AND(OR($D36="GD&amp;T",$D36="MAX"),$G36&lt;&gt;"")</formula>
    </cfRule>
    <cfRule type="expression" dxfId="2413" priority="2429">
      <formula>AND(OR($D36="GD&amp;T",$D36="MAX"),$G36="")</formula>
    </cfRule>
    <cfRule type="containsBlanks" dxfId="2412" priority="2430">
      <formula>LEN(TRIM(G36))=0</formula>
    </cfRule>
  </conditionalFormatting>
  <conditionalFormatting sqref="G36">
    <cfRule type="expression" dxfId="2411" priority="2425">
      <formula>AND(OR($D36="GD&amp;T",$D36="MAX"),$G36&lt;&gt;"")</formula>
    </cfRule>
    <cfRule type="expression" dxfId="2410" priority="2426">
      <formula>AND(OR($D36="GD&amp;T",$D36="MAX"),$G36="")</formula>
    </cfRule>
    <cfRule type="containsBlanks" dxfId="2409" priority="2427">
      <formula>LEN(TRIM(G36))=0</formula>
    </cfRule>
  </conditionalFormatting>
  <conditionalFormatting sqref="F36">
    <cfRule type="expression" dxfId="2408" priority="2422">
      <formula>AND($D36="MIN",$F36&lt;&gt;"")</formula>
    </cfRule>
    <cfRule type="expression" dxfId="2407" priority="2423">
      <formula>AND($D36="MIN",$F36="")</formula>
    </cfRule>
    <cfRule type="containsBlanks" dxfId="2406" priority="2424">
      <formula>LEN(TRIM(F36))=0</formula>
    </cfRule>
  </conditionalFormatting>
  <conditionalFormatting sqref="F36">
    <cfRule type="expression" dxfId="2405" priority="2419">
      <formula>AND($D36="MIN",$F36&lt;&gt;"")</formula>
    </cfRule>
    <cfRule type="expression" dxfId="2404" priority="2420">
      <formula>AND($D36="MIN",$F36="")</formula>
    </cfRule>
    <cfRule type="containsBlanks" dxfId="2403" priority="2421">
      <formula>LEN(TRIM(F36))=0</formula>
    </cfRule>
  </conditionalFormatting>
  <conditionalFormatting sqref="F36">
    <cfRule type="expression" dxfId="2402" priority="2416">
      <formula>AND($D36="MIN",$F36&lt;&gt;"")</formula>
    </cfRule>
    <cfRule type="expression" dxfId="2401" priority="2417">
      <formula>AND($D36="MIN",$F36="")</formula>
    </cfRule>
    <cfRule type="containsBlanks" dxfId="2400" priority="2418">
      <formula>LEN(TRIM(F36))=0</formula>
    </cfRule>
  </conditionalFormatting>
  <conditionalFormatting sqref="F36">
    <cfRule type="expression" dxfId="2399" priority="2413">
      <formula>AND($D36="MIN",$F36&lt;&gt;"")</formula>
    </cfRule>
    <cfRule type="expression" dxfId="2398" priority="2414">
      <formula>AND($D36="MIN",$F36="")</formula>
    </cfRule>
    <cfRule type="containsBlanks" dxfId="2397" priority="2415">
      <formula>LEN(TRIM(F36))=0</formula>
    </cfRule>
  </conditionalFormatting>
  <conditionalFormatting sqref="F36">
    <cfRule type="expression" dxfId="2396" priority="2410">
      <formula>AND($D36="MIN",$F36&lt;&gt;"")</formula>
    </cfRule>
    <cfRule type="expression" dxfId="2395" priority="2411">
      <formula>AND($D36="MIN",$F36="")</formula>
    </cfRule>
    <cfRule type="containsBlanks" dxfId="2394" priority="2412">
      <formula>LEN(TRIM(F36))=0</formula>
    </cfRule>
  </conditionalFormatting>
  <conditionalFormatting sqref="F36">
    <cfRule type="expression" dxfId="2393" priority="2407">
      <formula>AND($D36="MIN",$F36&lt;&gt;"")</formula>
    </cfRule>
    <cfRule type="expression" dxfId="2392" priority="2408">
      <formula>AND($D36="MIN",$F36="")</formula>
    </cfRule>
    <cfRule type="containsBlanks" dxfId="2391" priority="2409">
      <formula>LEN(TRIM(F36))=0</formula>
    </cfRule>
  </conditionalFormatting>
  <conditionalFormatting sqref="G36">
    <cfRule type="expression" dxfId="2390" priority="2404">
      <formula>AND(OR($D36="GD&amp;T",$D36="MAX"),$G36&lt;&gt;"")</formula>
    </cfRule>
    <cfRule type="expression" dxfId="2389" priority="2405">
      <formula>AND(OR($D36="GD&amp;T",$D36="MAX"),$G36="")</formula>
    </cfRule>
    <cfRule type="containsBlanks" dxfId="2388" priority="2406">
      <formula>LEN(TRIM(G36))=0</formula>
    </cfRule>
  </conditionalFormatting>
  <conditionalFormatting sqref="F36">
    <cfRule type="expression" dxfId="2387" priority="2401">
      <formula>AND($D36="MIN",$F36&lt;&gt;"")</formula>
    </cfRule>
    <cfRule type="expression" dxfId="2386" priority="2402">
      <formula>AND($D36="MIN",$F36="")</formula>
    </cfRule>
    <cfRule type="containsBlanks" dxfId="2385" priority="2403">
      <formula>LEN(TRIM(F36))=0</formula>
    </cfRule>
  </conditionalFormatting>
  <conditionalFormatting sqref="G36">
    <cfRule type="expression" dxfId="2384" priority="2398">
      <formula>AND(OR($D36="GD&amp;T",$D36="MAX"),$G36&lt;&gt;"")</formula>
    </cfRule>
    <cfRule type="expression" dxfId="2383" priority="2399">
      <formula>AND(OR($D36="GD&amp;T",$D36="MAX"),$G36="")</formula>
    </cfRule>
    <cfRule type="containsBlanks" dxfId="2382" priority="2400">
      <formula>LEN(TRIM(G36))=0</formula>
    </cfRule>
  </conditionalFormatting>
  <conditionalFormatting sqref="F36">
    <cfRule type="expression" dxfId="2381" priority="2395">
      <formula>AND($D36="MIN",$F36&lt;&gt;"")</formula>
    </cfRule>
    <cfRule type="expression" dxfId="2380" priority="2396">
      <formula>AND($D36="MIN",$F36="")</formula>
    </cfRule>
    <cfRule type="containsBlanks" dxfId="2379" priority="2397">
      <formula>LEN(TRIM(F36))=0</formula>
    </cfRule>
  </conditionalFormatting>
  <conditionalFormatting sqref="G36">
    <cfRule type="expression" dxfId="2378" priority="2392">
      <formula>AND(OR($D36="GD&amp;T",$D36="MAX"),$G36&lt;&gt;"")</formula>
    </cfRule>
    <cfRule type="expression" dxfId="2377" priority="2393">
      <formula>AND(OR($D36="GD&amp;T",$D36="MAX"),$G36="")</formula>
    </cfRule>
    <cfRule type="containsBlanks" dxfId="2376" priority="2394">
      <formula>LEN(TRIM(G36))=0</formula>
    </cfRule>
  </conditionalFormatting>
  <conditionalFormatting sqref="F36">
    <cfRule type="expression" dxfId="2375" priority="2389">
      <formula>AND($D36="MIN",$F36&lt;&gt;"")</formula>
    </cfRule>
    <cfRule type="expression" dxfId="2374" priority="2390">
      <formula>AND($D36="MIN",$F36="")</formula>
    </cfRule>
    <cfRule type="containsBlanks" dxfId="2373" priority="2391">
      <formula>LEN(TRIM(F36))=0</formula>
    </cfRule>
  </conditionalFormatting>
  <conditionalFormatting sqref="G36">
    <cfRule type="expression" dxfId="2372" priority="2386">
      <formula>AND(OR($D36="GD&amp;T",$D36="MAX"),$G36&lt;&gt;"")</formula>
    </cfRule>
    <cfRule type="expression" dxfId="2371" priority="2387">
      <formula>AND(OR($D36="GD&amp;T",$D36="MAX"),$G36="")</formula>
    </cfRule>
    <cfRule type="containsBlanks" dxfId="2370" priority="2388">
      <formula>LEN(TRIM(G36))=0</formula>
    </cfRule>
  </conditionalFormatting>
  <conditionalFormatting sqref="F36">
    <cfRule type="expression" dxfId="2369" priority="2383">
      <formula>AND($D36="MIN",$F36&lt;&gt;"")</formula>
    </cfRule>
    <cfRule type="expression" dxfId="2368" priority="2384">
      <formula>AND($D36="MIN",$F36="")</formula>
    </cfRule>
    <cfRule type="containsBlanks" dxfId="2367" priority="2385">
      <formula>LEN(TRIM(F36))=0</formula>
    </cfRule>
  </conditionalFormatting>
  <conditionalFormatting sqref="G36">
    <cfRule type="expression" dxfId="2366" priority="2380">
      <formula>AND(OR($D36="GD&amp;T",$D36="MAX"),$G36&lt;&gt;"")</formula>
    </cfRule>
    <cfRule type="expression" dxfId="2365" priority="2381">
      <formula>AND(OR($D36="GD&amp;T",$D36="MAX"),$G36="")</formula>
    </cfRule>
    <cfRule type="containsBlanks" dxfId="2364" priority="2382">
      <formula>LEN(TRIM(G36))=0</formula>
    </cfRule>
  </conditionalFormatting>
  <conditionalFormatting sqref="F36">
    <cfRule type="expression" dxfId="2363" priority="2377">
      <formula>AND($D36="MIN",$F36&lt;&gt;"")</formula>
    </cfRule>
    <cfRule type="expression" dxfId="2362" priority="2378">
      <formula>AND($D36="MIN",$F36="")</formula>
    </cfRule>
    <cfRule type="containsBlanks" dxfId="2361" priority="2379">
      <formula>LEN(TRIM(F36))=0</formula>
    </cfRule>
  </conditionalFormatting>
  <conditionalFormatting sqref="G36">
    <cfRule type="expression" dxfId="2360" priority="2374">
      <formula>AND(OR($D36="GD&amp;T",$D36="MAX"),$G36&lt;&gt;"")</formula>
    </cfRule>
    <cfRule type="expression" dxfId="2359" priority="2375">
      <formula>AND(OR($D36="GD&amp;T",$D36="MAX"),$G36="")</formula>
    </cfRule>
    <cfRule type="containsBlanks" dxfId="2358" priority="2376">
      <formula>LEN(TRIM(G36))=0</formula>
    </cfRule>
  </conditionalFormatting>
  <conditionalFormatting sqref="F36">
    <cfRule type="expression" dxfId="2357" priority="2371">
      <formula>AND($D36="MIN",$F36&lt;&gt;"")</formula>
    </cfRule>
    <cfRule type="expression" dxfId="2356" priority="2372">
      <formula>AND($D36="MIN",$F36="")</formula>
    </cfRule>
    <cfRule type="containsBlanks" dxfId="2355" priority="2373">
      <formula>LEN(TRIM(F36))=0</formula>
    </cfRule>
  </conditionalFormatting>
  <conditionalFormatting sqref="G36">
    <cfRule type="expression" dxfId="2354" priority="2368">
      <formula>AND(OR($D36="GD&amp;T",$D36="MAX"),$G36&lt;&gt;"")</formula>
    </cfRule>
    <cfRule type="expression" dxfId="2353" priority="2369">
      <formula>AND(OR($D36="GD&amp;T",$D36="MAX"),$G36="")</formula>
    </cfRule>
    <cfRule type="containsBlanks" dxfId="2352" priority="2370">
      <formula>LEN(TRIM(G36))=0</formula>
    </cfRule>
  </conditionalFormatting>
  <conditionalFormatting sqref="F36">
    <cfRule type="expression" dxfId="2351" priority="2365">
      <formula>AND($D36="MIN",$F36&lt;&gt;"")</formula>
    </cfRule>
    <cfRule type="expression" dxfId="2350" priority="2366">
      <formula>AND($D36="MIN",$F36="")</formula>
    </cfRule>
    <cfRule type="containsBlanks" dxfId="2349" priority="2367">
      <formula>LEN(TRIM(F36))=0</formula>
    </cfRule>
  </conditionalFormatting>
  <conditionalFormatting sqref="G36">
    <cfRule type="expression" dxfId="2348" priority="2362">
      <formula>AND(OR($D36="GD&amp;T",$D36="MAX"),$G36&lt;&gt;"")</formula>
    </cfRule>
    <cfRule type="expression" dxfId="2347" priority="2363">
      <formula>AND(OR($D36="GD&amp;T",$D36="MAX"),$G36="")</formula>
    </cfRule>
    <cfRule type="containsBlanks" dxfId="2346" priority="2364">
      <formula>LEN(TRIM(G36))=0</formula>
    </cfRule>
  </conditionalFormatting>
  <conditionalFormatting sqref="F36">
    <cfRule type="expression" dxfId="2345" priority="2359">
      <formula>AND($D36="MIN",$F36&lt;&gt;"")</formula>
    </cfRule>
    <cfRule type="expression" dxfId="2344" priority="2360">
      <formula>AND($D36="MIN",$F36="")</formula>
    </cfRule>
    <cfRule type="containsBlanks" dxfId="2343" priority="2361">
      <formula>LEN(TRIM(F36))=0</formula>
    </cfRule>
  </conditionalFormatting>
  <conditionalFormatting sqref="F36">
    <cfRule type="expression" dxfId="2342" priority="2356">
      <formula>AND($D36="MIN",$F36&lt;&gt;"")</formula>
    </cfRule>
    <cfRule type="expression" dxfId="2341" priority="2357">
      <formula>AND($D36="MIN",$F36="")</formula>
    </cfRule>
    <cfRule type="containsBlanks" dxfId="2340" priority="2358">
      <formula>LEN(TRIM(F36))=0</formula>
    </cfRule>
  </conditionalFormatting>
  <conditionalFormatting sqref="F36">
    <cfRule type="expression" dxfId="2339" priority="2353">
      <formula>AND($D36="MIN",$F36&lt;&gt;"")</formula>
    </cfRule>
    <cfRule type="expression" dxfId="2338" priority="2354">
      <formula>AND($D36="MIN",$F36="")</formula>
    </cfRule>
    <cfRule type="containsBlanks" dxfId="2337" priority="2355">
      <formula>LEN(TRIM(F36))=0</formula>
    </cfRule>
  </conditionalFormatting>
  <conditionalFormatting sqref="F36">
    <cfRule type="expression" dxfId="2336" priority="2350">
      <formula>AND($D36="MIN",$F36&lt;&gt;"")</formula>
    </cfRule>
    <cfRule type="expression" dxfId="2335" priority="2351">
      <formula>AND($D36="MIN",$F36="")</formula>
    </cfRule>
    <cfRule type="containsBlanks" dxfId="2334" priority="2352">
      <formula>LEN(TRIM(F36))=0</formula>
    </cfRule>
  </conditionalFormatting>
  <conditionalFormatting sqref="F36">
    <cfRule type="expression" dxfId="2333" priority="2347">
      <formula>AND($D36="MIN",$F36&lt;&gt;"")</formula>
    </cfRule>
    <cfRule type="expression" dxfId="2332" priority="2348">
      <formula>AND($D36="MIN",$F36="")</formula>
    </cfRule>
    <cfRule type="containsBlanks" dxfId="2331" priority="2349">
      <formula>LEN(TRIM(F36))=0</formula>
    </cfRule>
  </conditionalFormatting>
  <conditionalFormatting sqref="F36">
    <cfRule type="expression" dxfId="2330" priority="2344">
      <formula>AND($D36="MIN",$F36&lt;&gt;"")</formula>
    </cfRule>
    <cfRule type="expression" dxfId="2329" priority="2345">
      <formula>AND($D36="MIN",$F36="")</formula>
    </cfRule>
    <cfRule type="containsBlanks" dxfId="2328" priority="2346">
      <formula>LEN(TRIM(F36))=0</formula>
    </cfRule>
  </conditionalFormatting>
  <conditionalFormatting sqref="G36">
    <cfRule type="expression" dxfId="2327" priority="2341">
      <formula>AND(OR($D36="GD&amp;T",$D36="MAX"),$G36&lt;&gt;"")</formula>
    </cfRule>
    <cfRule type="expression" dxfId="2326" priority="2342">
      <formula>AND(OR($D36="GD&amp;T",$D36="MAX"),$G36="")</formula>
    </cfRule>
    <cfRule type="containsBlanks" dxfId="2325" priority="2343">
      <formula>LEN(TRIM(G36))=0</formula>
    </cfRule>
  </conditionalFormatting>
  <conditionalFormatting sqref="F36">
    <cfRule type="expression" dxfId="2324" priority="2338">
      <formula>AND($D36="MIN",$F36&lt;&gt;"")</formula>
    </cfRule>
    <cfRule type="expression" dxfId="2323" priority="2339">
      <formula>AND($D36="MIN",$F36="")</formula>
    </cfRule>
    <cfRule type="containsBlanks" dxfId="2322" priority="2340">
      <formula>LEN(TRIM(F36))=0</formula>
    </cfRule>
  </conditionalFormatting>
  <conditionalFormatting sqref="G36">
    <cfRule type="expression" dxfId="2321" priority="2335">
      <formula>AND(OR($D36="GD&amp;T",$D36="MAX"),$G36&lt;&gt;"")</formula>
    </cfRule>
    <cfRule type="expression" dxfId="2320" priority="2336">
      <formula>AND(OR($D36="GD&amp;T",$D36="MAX"),$G36="")</formula>
    </cfRule>
    <cfRule type="containsBlanks" dxfId="2319" priority="2337">
      <formula>LEN(TRIM(G36))=0</formula>
    </cfRule>
  </conditionalFormatting>
  <conditionalFormatting sqref="F36">
    <cfRule type="expression" dxfId="2318" priority="2332">
      <formula>AND($D36="MIN",$F36&lt;&gt;"")</formula>
    </cfRule>
    <cfRule type="expression" dxfId="2317" priority="2333">
      <formula>AND($D36="MIN",$F36="")</formula>
    </cfRule>
    <cfRule type="containsBlanks" dxfId="2316" priority="2334">
      <formula>LEN(TRIM(F36))=0</formula>
    </cfRule>
  </conditionalFormatting>
  <conditionalFormatting sqref="G36">
    <cfRule type="expression" dxfId="2315" priority="2329">
      <formula>AND(OR($D36="GD&amp;T",$D36="MAX"),$G36&lt;&gt;"")</formula>
    </cfRule>
    <cfRule type="expression" dxfId="2314" priority="2330">
      <formula>AND(OR($D36="GD&amp;T",$D36="MAX"),$G36="")</formula>
    </cfRule>
    <cfRule type="containsBlanks" dxfId="2313" priority="2331">
      <formula>LEN(TRIM(G36))=0</formula>
    </cfRule>
  </conditionalFormatting>
  <conditionalFormatting sqref="F36">
    <cfRule type="expression" dxfId="2312" priority="2326">
      <formula>AND($D36="MIN",$F36&lt;&gt;"")</formula>
    </cfRule>
    <cfRule type="expression" dxfId="2311" priority="2327">
      <formula>AND($D36="MIN",$F36="")</formula>
    </cfRule>
    <cfRule type="containsBlanks" dxfId="2310" priority="2328">
      <formula>LEN(TRIM(F36))=0</formula>
    </cfRule>
  </conditionalFormatting>
  <conditionalFormatting sqref="G36">
    <cfRule type="expression" dxfId="2309" priority="2323">
      <formula>AND(OR($D36="GD&amp;T",$D36="MAX"),$G36&lt;&gt;"")</formula>
    </cfRule>
    <cfRule type="expression" dxfId="2308" priority="2324">
      <formula>AND(OR($D36="GD&amp;T",$D36="MAX"),$G36="")</formula>
    </cfRule>
    <cfRule type="containsBlanks" dxfId="2307" priority="2325">
      <formula>LEN(TRIM(G36))=0</formula>
    </cfRule>
  </conditionalFormatting>
  <conditionalFormatting sqref="G36">
    <cfRule type="expression" dxfId="2306" priority="2320">
      <formula>AND(OR($D36="GD&amp;T",$D36="MAX"),$G36&lt;&gt;"")</formula>
    </cfRule>
    <cfRule type="expression" dxfId="2305" priority="2321">
      <formula>AND(OR($D36="GD&amp;T",$D36="MAX"),$G36="")</formula>
    </cfRule>
    <cfRule type="containsBlanks" dxfId="2304" priority="2322">
      <formula>LEN(TRIM(G36))=0</formula>
    </cfRule>
  </conditionalFormatting>
  <conditionalFormatting sqref="G36">
    <cfRule type="expression" dxfId="2303" priority="2317">
      <formula>AND(OR($D36="GD&amp;T",$D36="MAX"),$G36&lt;&gt;"")</formula>
    </cfRule>
    <cfRule type="expression" dxfId="2302" priority="2318">
      <formula>AND(OR($D36="GD&amp;T",$D36="MAX"),$G36="")</formula>
    </cfRule>
    <cfRule type="containsBlanks" dxfId="2301" priority="2319">
      <formula>LEN(TRIM(G36))=0</formula>
    </cfRule>
  </conditionalFormatting>
  <conditionalFormatting sqref="G36">
    <cfRule type="expression" dxfId="2300" priority="2314">
      <formula>AND(OR($D36="GD&amp;T",$D36="MAX"),$G36&lt;&gt;"")</formula>
    </cfRule>
    <cfRule type="expression" dxfId="2299" priority="2315">
      <formula>AND(OR($D36="GD&amp;T",$D36="MAX"),$G36="")</formula>
    </cfRule>
    <cfRule type="containsBlanks" dxfId="2298" priority="2316">
      <formula>LEN(TRIM(G36))=0</formula>
    </cfRule>
  </conditionalFormatting>
  <conditionalFormatting sqref="G36">
    <cfRule type="expression" dxfId="2297" priority="2311">
      <formula>AND(OR($D36="GD&amp;T",$D36="MAX"),$G36&lt;&gt;"")</formula>
    </cfRule>
    <cfRule type="expression" dxfId="2296" priority="2312">
      <formula>AND(OR($D36="GD&amp;T",$D36="MAX"),$G36="")</formula>
    </cfRule>
    <cfRule type="containsBlanks" dxfId="2295" priority="2313">
      <formula>LEN(TRIM(G36))=0</formula>
    </cfRule>
  </conditionalFormatting>
  <conditionalFormatting sqref="G36">
    <cfRule type="expression" dxfId="2294" priority="2308">
      <formula>AND(OR($D36="GD&amp;T",$D36="MAX"),$G36&lt;&gt;"")</formula>
    </cfRule>
    <cfRule type="expression" dxfId="2293" priority="2309">
      <formula>AND(OR($D36="GD&amp;T",$D36="MAX"),$G36="")</formula>
    </cfRule>
    <cfRule type="containsBlanks" dxfId="2292" priority="2310">
      <formula>LEN(TRIM(G36))=0</formula>
    </cfRule>
  </conditionalFormatting>
  <conditionalFormatting sqref="F36">
    <cfRule type="expression" dxfId="2291" priority="2305">
      <formula>AND($D36="MIN",$F36&lt;&gt;"")</formula>
    </cfRule>
    <cfRule type="expression" dxfId="2290" priority="2306">
      <formula>AND($D36="MIN",$F36="")</formula>
    </cfRule>
    <cfRule type="containsBlanks" dxfId="2289" priority="2307">
      <formula>LEN(TRIM(F36))=0</formula>
    </cfRule>
  </conditionalFormatting>
  <conditionalFormatting sqref="F36">
    <cfRule type="expression" dxfId="2288" priority="2302">
      <formula>AND($D36="MIN",$F36&lt;&gt;"")</formula>
    </cfRule>
    <cfRule type="expression" dxfId="2287" priority="2303">
      <formula>AND($D36="MIN",$F36="")</formula>
    </cfRule>
    <cfRule type="containsBlanks" dxfId="2286" priority="2304">
      <formula>LEN(TRIM(F36))=0</formula>
    </cfRule>
  </conditionalFormatting>
  <conditionalFormatting sqref="F36">
    <cfRule type="expression" dxfId="2285" priority="2299">
      <formula>AND($D36="MIN",$F36&lt;&gt;"")</formula>
    </cfRule>
    <cfRule type="expression" dxfId="2284" priority="2300">
      <formula>AND($D36="MIN",$F36="")</formula>
    </cfRule>
    <cfRule type="containsBlanks" dxfId="2283" priority="2301">
      <formula>LEN(TRIM(F36))=0</formula>
    </cfRule>
  </conditionalFormatting>
  <conditionalFormatting sqref="F36">
    <cfRule type="expression" dxfId="2282" priority="2296">
      <formula>AND($D36="MIN",$F36&lt;&gt;"")</formula>
    </cfRule>
    <cfRule type="expression" dxfId="2281" priority="2297">
      <formula>AND($D36="MIN",$F36="")</formula>
    </cfRule>
    <cfRule type="containsBlanks" dxfId="2280" priority="2298">
      <formula>LEN(TRIM(F36))=0</formula>
    </cfRule>
  </conditionalFormatting>
  <conditionalFormatting sqref="F36">
    <cfRule type="expression" dxfId="2279" priority="2293">
      <formula>AND($D36="MIN",$F36&lt;&gt;"")</formula>
    </cfRule>
    <cfRule type="expression" dxfId="2278" priority="2294">
      <formula>AND($D36="MIN",$F36="")</formula>
    </cfRule>
    <cfRule type="containsBlanks" dxfId="2277" priority="2295">
      <formula>LEN(TRIM(F36))=0</formula>
    </cfRule>
  </conditionalFormatting>
  <conditionalFormatting sqref="F36">
    <cfRule type="expression" dxfId="2276" priority="2290">
      <formula>AND($D36="MIN",$F36&lt;&gt;"")</formula>
    </cfRule>
    <cfRule type="expression" dxfId="2275" priority="2291">
      <formula>AND($D36="MIN",$F36="")</formula>
    </cfRule>
    <cfRule type="containsBlanks" dxfId="2274" priority="2292">
      <formula>LEN(TRIM(F36))=0</formula>
    </cfRule>
  </conditionalFormatting>
  <conditionalFormatting sqref="G36">
    <cfRule type="expression" dxfId="2273" priority="2287">
      <formula>AND(OR($D36="GD&amp;T",$D36="MAX"),$G36&lt;&gt;"")</formula>
    </cfRule>
    <cfRule type="expression" dxfId="2272" priority="2288">
      <formula>AND(OR($D36="GD&amp;T",$D36="MAX"),$G36="")</formula>
    </cfRule>
    <cfRule type="containsBlanks" dxfId="2271" priority="2289">
      <formula>LEN(TRIM(G36))=0</formula>
    </cfRule>
  </conditionalFormatting>
  <conditionalFormatting sqref="F36">
    <cfRule type="expression" dxfId="2270" priority="2284">
      <formula>AND($D36="MIN",$F36&lt;&gt;"")</formula>
    </cfRule>
    <cfRule type="expression" dxfId="2269" priority="2285">
      <formula>AND($D36="MIN",$F36="")</formula>
    </cfRule>
    <cfRule type="containsBlanks" dxfId="2268" priority="2286">
      <formula>LEN(TRIM(F36))=0</formula>
    </cfRule>
  </conditionalFormatting>
  <conditionalFormatting sqref="G36">
    <cfRule type="expression" dxfId="2267" priority="2281">
      <formula>AND(OR($D36="GD&amp;T",$D36="MAX"),$G36&lt;&gt;"")</formula>
    </cfRule>
    <cfRule type="expression" dxfId="2266" priority="2282">
      <formula>AND(OR($D36="GD&amp;T",$D36="MAX"),$G36="")</formula>
    </cfRule>
    <cfRule type="containsBlanks" dxfId="2265" priority="2283">
      <formula>LEN(TRIM(G36))=0</formula>
    </cfRule>
  </conditionalFormatting>
  <conditionalFormatting sqref="F36">
    <cfRule type="expression" dxfId="2264" priority="2278">
      <formula>AND($D36="MIN",$F36&lt;&gt;"")</formula>
    </cfRule>
    <cfRule type="expression" dxfId="2263" priority="2279">
      <formula>AND($D36="MIN",$F36="")</formula>
    </cfRule>
    <cfRule type="containsBlanks" dxfId="2262" priority="2280">
      <formula>LEN(TRIM(F36))=0</formula>
    </cfRule>
  </conditionalFormatting>
  <conditionalFormatting sqref="G36">
    <cfRule type="expression" dxfId="2261" priority="2275">
      <formula>AND(OR($D36="GD&amp;T",$D36="MAX"),$G36&lt;&gt;"")</formula>
    </cfRule>
    <cfRule type="expression" dxfId="2260" priority="2276">
      <formula>AND(OR($D36="GD&amp;T",$D36="MAX"),$G36="")</formula>
    </cfRule>
    <cfRule type="containsBlanks" dxfId="2259" priority="2277">
      <formula>LEN(TRIM(G36))=0</formula>
    </cfRule>
  </conditionalFormatting>
  <conditionalFormatting sqref="F36">
    <cfRule type="expression" dxfId="2258" priority="2272">
      <formula>AND($D36="MIN",$F36&lt;&gt;"")</formula>
    </cfRule>
    <cfRule type="expression" dxfId="2257" priority="2273">
      <formula>AND($D36="MIN",$F36="")</formula>
    </cfRule>
    <cfRule type="containsBlanks" dxfId="2256" priority="2274">
      <formula>LEN(TRIM(F36))=0</formula>
    </cfRule>
  </conditionalFormatting>
  <conditionalFormatting sqref="G36">
    <cfRule type="expression" dxfId="2255" priority="2269">
      <formula>AND(OR($D36="GD&amp;T",$D36="MAX"),$G36&lt;&gt;"")</formula>
    </cfRule>
    <cfRule type="expression" dxfId="2254" priority="2270">
      <formula>AND(OR($D36="GD&amp;T",$D36="MAX"),$G36="")</formula>
    </cfRule>
    <cfRule type="containsBlanks" dxfId="2253" priority="2271">
      <formula>LEN(TRIM(G36))=0</formula>
    </cfRule>
  </conditionalFormatting>
  <conditionalFormatting sqref="F36">
    <cfRule type="expression" dxfId="2252" priority="2266">
      <formula>AND($D36="MIN",$F36&lt;&gt;"")</formula>
    </cfRule>
    <cfRule type="expression" dxfId="2251" priority="2267">
      <formula>AND($D36="MIN",$F36="")</formula>
    </cfRule>
    <cfRule type="containsBlanks" dxfId="2250" priority="2268">
      <formula>LEN(TRIM(F36))=0</formula>
    </cfRule>
  </conditionalFormatting>
  <conditionalFormatting sqref="G36">
    <cfRule type="expression" dxfId="2249" priority="2263">
      <formula>AND(OR($D36="GD&amp;T",$D36="MAX"),$G36&lt;&gt;"")</formula>
    </cfRule>
    <cfRule type="expression" dxfId="2248" priority="2264">
      <formula>AND(OR($D36="GD&amp;T",$D36="MAX"),$G36="")</formula>
    </cfRule>
    <cfRule type="containsBlanks" dxfId="2247" priority="2265">
      <formula>LEN(TRIM(G36))=0</formula>
    </cfRule>
  </conditionalFormatting>
  <conditionalFormatting sqref="F36">
    <cfRule type="expression" dxfId="2246" priority="2260">
      <formula>AND($D36="MIN",$F36&lt;&gt;"")</formula>
    </cfRule>
    <cfRule type="expression" dxfId="2245" priority="2261">
      <formula>AND($D36="MIN",$F36="")</formula>
    </cfRule>
    <cfRule type="containsBlanks" dxfId="2244" priority="2262">
      <formula>LEN(TRIM(F36))=0</formula>
    </cfRule>
  </conditionalFormatting>
  <conditionalFormatting sqref="G36">
    <cfRule type="expression" dxfId="2243" priority="2257">
      <formula>AND(OR($D36="GD&amp;T",$D36="MAX"),$G36&lt;&gt;"")</formula>
    </cfRule>
    <cfRule type="expression" dxfId="2242" priority="2258">
      <formula>AND(OR($D36="GD&amp;T",$D36="MAX"),$G36="")</formula>
    </cfRule>
    <cfRule type="containsBlanks" dxfId="2241" priority="2259">
      <formula>LEN(TRIM(G36))=0</formula>
    </cfRule>
  </conditionalFormatting>
  <conditionalFormatting sqref="F36">
    <cfRule type="expression" dxfId="2240" priority="2254">
      <formula>AND($D36="MIN",$F36&lt;&gt;"")</formula>
    </cfRule>
    <cfRule type="expression" dxfId="2239" priority="2255">
      <formula>AND($D36="MIN",$F36="")</formula>
    </cfRule>
    <cfRule type="containsBlanks" dxfId="2238" priority="2256">
      <formula>LEN(TRIM(F36))=0</formula>
    </cfRule>
  </conditionalFormatting>
  <conditionalFormatting sqref="G36">
    <cfRule type="expression" dxfId="2237" priority="2251">
      <formula>AND(OR($D36="GD&amp;T",$D36="MAX"),$G36&lt;&gt;"")</formula>
    </cfRule>
    <cfRule type="expression" dxfId="2236" priority="2252">
      <formula>AND(OR($D36="GD&amp;T",$D36="MAX"),$G36="")</formula>
    </cfRule>
    <cfRule type="containsBlanks" dxfId="2235" priority="2253">
      <formula>LEN(TRIM(G36))=0</formula>
    </cfRule>
  </conditionalFormatting>
  <conditionalFormatting sqref="F36">
    <cfRule type="expression" dxfId="2234" priority="2248">
      <formula>AND($D36="MIN",$F36&lt;&gt;"")</formula>
    </cfRule>
    <cfRule type="expression" dxfId="2233" priority="2249">
      <formula>AND($D36="MIN",$F36="")</formula>
    </cfRule>
    <cfRule type="containsBlanks" dxfId="2232" priority="2250">
      <formula>LEN(TRIM(F36))=0</formula>
    </cfRule>
  </conditionalFormatting>
  <conditionalFormatting sqref="G36">
    <cfRule type="expression" dxfId="2231" priority="2245">
      <formula>AND(OR($D36="GD&amp;T",$D36="MAX"),$G36&lt;&gt;"")</formula>
    </cfRule>
    <cfRule type="expression" dxfId="2230" priority="2246">
      <formula>AND(OR($D36="GD&amp;T",$D36="MAX"),$G36="")</formula>
    </cfRule>
    <cfRule type="containsBlanks" dxfId="2229" priority="2247">
      <formula>LEN(TRIM(G36))=0</formula>
    </cfRule>
  </conditionalFormatting>
  <conditionalFormatting sqref="F36">
    <cfRule type="expression" dxfId="2228" priority="2242">
      <formula>AND($D36="MIN",$F36&lt;&gt;"")</formula>
    </cfRule>
    <cfRule type="expression" dxfId="2227" priority="2243">
      <formula>AND($D36="MIN",$F36="")</formula>
    </cfRule>
    <cfRule type="containsBlanks" dxfId="2226" priority="2244">
      <formula>LEN(TRIM(F36))=0</formula>
    </cfRule>
  </conditionalFormatting>
  <conditionalFormatting sqref="F36">
    <cfRule type="expression" dxfId="2225" priority="2239">
      <formula>AND($D36="MIN",$F36&lt;&gt;"")</formula>
    </cfRule>
    <cfRule type="expression" dxfId="2224" priority="2240">
      <formula>AND($D36="MIN",$F36="")</formula>
    </cfRule>
    <cfRule type="containsBlanks" dxfId="2223" priority="2241">
      <formula>LEN(TRIM(F36))=0</formula>
    </cfRule>
  </conditionalFormatting>
  <conditionalFormatting sqref="F36">
    <cfRule type="expression" dxfId="2222" priority="2236">
      <formula>AND($D36="MIN",$F36&lt;&gt;"")</formula>
    </cfRule>
    <cfRule type="expression" dxfId="2221" priority="2237">
      <formula>AND($D36="MIN",$F36="")</formula>
    </cfRule>
    <cfRule type="containsBlanks" dxfId="2220" priority="2238">
      <formula>LEN(TRIM(F36))=0</formula>
    </cfRule>
  </conditionalFormatting>
  <conditionalFormatting sqref="F36">
    <cfRule type="expression" dxfId="2219" priority="2233">
      <formula>AND($D36="MIN",$F36&lt;&gt;"")</formula>
    </cfRule>
    <cfRule type="expression" dxfId="2218" priority="2234">
      <formula>AND($D36="MIN",$F36="")</formula>
    </cfRule>
    <cfRule type="containsBlanks" dxfId="2217" priority="2235">
      <formula>LEN(TRIM(F36))=0</formula>
    </cfRule>
  </conditionalFormatting>
  <conditionalFormatting sqref="F36">
    <cfRule type="expression" dxfId="2216" priority="2230">
      <formula>AND($D36="MIN",$F36&lt;&gt;"")</formula>
    </cfRule>
    <cfRule type="expression" dxfId="2215" priority="2231">
      <formula>AND($D36="MIN",$F36="")</formula>
    </cfRule>
    <cfRule type="containsBlanks" dxfId="2214" priority="2232">
      <formula>LEN(TRIM(F36))=0</formula>
    </cfRule>
  </conditionalFormatting>
  <conditionalFormatting sqref="F36">
    <cfRule type="expression" dxfId="2213" priority="2227">
      <formula>AND($D36="MIN",$F36&lt;&gt;"")</formula>
    </cfRule>
    <cfRule type="expression" dxfId="2212" priority="2228">
      <formula>AND($D36="MIN",$F36="")</formula>
    </cfRule>
    <cfRule type="containsBlanks" dxfId="2211" priority="2229">
      <formula>LEN(TRIM(F36))=0</formula>
    </cfRule>
  </conditionalFormatting>
  <conditionalFormatting sqref="G36">
    <cfRule type="expression" dxfId="2210" priority="2224">
      <formula>AND(OR($D36="GD&amp;T",$D36="MAX"),$G36&lt;&gt;"")</formula>
    </cfRule>
    <cfRule type="expression" dxfId="2209" priority="2225">
      <formula>AND(OR($D36="GD&amp;T",$D36="MAX"),$G36="")</formula>
    </cfRule>
    <cfRule type="containsBlanks" dxfId="2208" priority="2226">
      <formula>LEN(TRIM(G36))=0</formula>
    </cfRule>
  </conditionalFormatting>
  <conditionalFormatting sqref="F36">
    <cfRule type="expression" dxfId="2207" priority="2221">
      <formula>AND($D36="MIN",$F36&lt;&gt;"")</formula>
    </cfRule>
    <cfRule type="expression" dxfId="2206" priority="2222">
      <formula>AND($D36="MIN",$F36="")</formula>
    </cfRule>
    <cfRule type="containsBlanks" dxfId="2205" priority="2223">
      <formula>LEN(TRIM(F36))=0</formula>
    </cfRule>
  </conditionalFormatting>
  <conditionalFormatting sqref="G36">
    <cfRule type="expression" dxfId="2204" priority="2218">
      <formula>AND(OR($D36="GD&amp;T",$D36="MAX"),$G36&lt;&gt;"")</formula>
    </cfRule>
    <cfRule type="expression" dxfId="2203" priority="2219">
      <formula>AND(OR($D36="GD&amp;T",$D36="MAX"),$G36="")</formula>
    </cfRule>
    <cfRule type="containsBlanks" dxfId="2202" priority="2220">
      <formula>LEN(TRIM(G36))=0</formula>
    </cfRule>
  </conditionalFormatting>
  <conditionalFormatting sqref="F36">
    <cfRule type="expression" dxfId="2201" priority="2215">
      <formula>AND($D36="MIN",$F36&lt;&gt;"")</formula>
    </cfRule>
    <cfRule type="expression" dxfId="2200" priority="2216">
      <formula>AND($D36="MIN",$F36="")</formula>
    </cfRule>
    <cfRule type="containsBlanks" dxfId="2199" priority="2217">
      <formula>LEN(TRIM(F36))=0</formula>
    </cfRule>
  </conditionalFormatting>
  <conditionalFormatting sqref="G36">
    <cfRule type="expression" dxfId="2198" priority="2212">
      <formula>AND(OR($D36="GD&amp;T",$D36="MAX"),$G36&lt;&gt;"")</formula>
    </cfRule>
    <cfRule type="expression" dxfId="2197" priority="2213">
      <formula>AND(OR($D36="GD&amp;T",$D36="MAX"),$G36="")</formula>
    </cfRule>
    <cfRule type="containsBlanks" dxfId="2196" priority="2214">
      <formula>LEN(TRIM(G36))=0</formula>
    </cfRule>
  </conditionalFormatting>
  <conditionalFormatting sqref="F36">
    <cfRule type="expression" dxfId="2195" priority="2209">
      <formula>AND($D36="MIN",$F36&lt;&gt;"")</formula>
    </cfRule>
    <cfRule type="expression" dxfId="2194" priority="2210">
      <formula>AND($D36="MIN",$F36="")</formula>
    </cfRule>
    <cfRule type="containsBlanks" dxfId="2193" priority="2211">
      <formula>LEN(TRIM(F36))=0</formula>
    </cfRule>
  </conditionalFormatting>
  <conditionalFormatting sqref="G36">
    <cfRule type="expression" dxfId="2192" priority="2206">
      <formula>AND(OR($D36="GD&amp;T",$D36="MAX"),$G36&lt;&gt;"")</formula>
    </cfRule>
    <cfRule type="expression" dxfId="2191" priority="2207">
      <formula>AND(OR($D36="GD&amp;T",$D36="MAX"),$G36="")</formula>
    </cfRule>
    <cfRule type="containsBlanks" dxfId="2190" priority="2208">
      <formula>LEN(TRIM(G36))=0</formula>
    </cfRule>
  </conditionalFormatting>
  <conditionalFormatting sqref="G36">
    <cfRule type="expression" dxfId="2189" priority="2203">
      <formula>AND(OR($D36="GD&amp;T",$D36="MAX"),$G36&lt;&gt;"")</formula>
    </cfRule>
    <cfRule type="expression" dxfId="2188" priority="2204">
      <formula>AND(OR($D36="GD&amp;T",$D36="MAX"),$G36="")</formula>
    </cfRule>
    <cfRule type="containsBlanks" dxfId="2187" priority="2205">
      <formula>LEN(TRIM(G36))=0</formula>
    </cfRule>
  </conditionalFormatting>
  <conditionalFormatting sqref="G36">
    <cfRule type="expression" dxfId="2186" priority="2200">
      <formula>AND(OR($D36="GD&amp;T",$D36="MAX"),$G36&lt;&gt;"")</formula>
    </cfRule>
    <cfRule type="expression" dxfId="2185" priority="2201">
      <formula>AND(OR($D36="GD&amp;T",$D36="MAX"),$G36="")</formula>
    </cfRule>
    <cfRule type="containsBlanks" dxfId="2184" priority="2202">
      <formula>LEN(TRIM(G36))=0</formula>
    </cfRule>
  </conditionalFormatting>
  <conditionalFormatting sqref="G36">
    <cfRule type="expression" dxfId="2183" priority="2197">
      <formula>AND(OR($D36="GD&amp;T",$D36="MAX"),$G36&lt;&gt;"")</formula>
    </cfRule>
    <cfRule type="expression" dxfId="2182" priority="2198">
      <formula>AND(OR($D36="GD&amp;T",$D36="MAX"),$G36="")</formula>
    </cfRule>
    <cfRule type="containsBlanks" dxfId="2181" priority="2199">
      <formula>LEN(TRIM(G36))=0</formula>
    </cfRule>
  </conditionalFormatting>
  <conditionalFormatting sqref="G36">
    <cfRule type="expression" dxfId="2180" priority="2194">
      <formula>AND(OR($D36="GD&amp;T",$D36="MAX"),$G36&lt;&gt;"")</formula>
    </cfRule>
    <cfRule type="expression" dxfId="2179" priority="2195">
      <formula>AND(OR($D36="GD&amp;T",$D36="MAX"),$G36="")</formula>
    </cfRule>
    <cfRule type="containsBlanks" dxfId="2178" priority="2196">
      <formula>LEN(TRIM(G36))=0</formula>
    </cfRule>
  </conditionalFormatting>
  <conditionalFormatting sqref="G36">
    <cfRule type="expression" dxfId="2177" priority="2191">
      <formula>AND(OR($D36="GD&amp;T",$D36="MAX"),$G36&lt;&gt;"")</formula>
    </cfRule>
    <cfRule type="expression" dxfId="2176" priority="2192">
      <formula>AND(OR($D36="GD&amp;T",$D36="MAX"),$G36="")</formula>
    </cfRule>
    <cfRule type="containsBlanks" dxfId="2175" priority="2193">
      <formula>LEN(TRIM(G36))=0</formula>
    </cfRule>
  </conditionalFormatting>
  <conditionalFormatting sqref="F36">
    <cfRule type="expression" dxfId="2174" priority="2188">
      <formula>AND($D36="MIN",$F36&lt;&gt;"")</formula>
    </cfRule>
    <cfRule type="expression" dxfId="2173" priority="2189">
      <formula>AND($D36="MIN",$F36="")</formula>
    </cfRule>
    <cfRule type="containsBlanks" dxfId="2172" priority="2190">
      <formula>LEN(TRIM(F36))=0</formula>
    </cfRule>
  </conditionalFormatting>
  <conditionalFormatting sqref="F36">
    <cfRule type="expression" dxfId="2171" priority="2185">
      <formula>AND($D36="MIN",$F36&lt;&gt;"")</formula>
    </cfRule>
    <cfRule type="expression" dxfId="2170" priority="2186">
      <formula>AND($D36="MIN",$F36="")</formula>
    </cfRule>
    <cfRule type="containsBlanks" dxfId="2169" priority="2187">
      <formula>LEN(TRIM(F36))=0</formula>
    </cfRule>
  </conditionalFormatting>
  <conditionalFormatting sqref="F36">
    <cfRule type="expression" dxfId="2168" priority="2182">
      <formula>AND($D36="MIN",$F36&lt;&gt;"")</formula>
    </cfRule>
    <cfRule type="expression" dxfId="2167" priority="2183">
      <formula>AND($D36="MIN",$F36="")</formula>
    </cfRule>
    <cfRule type="containsBlanks" dxfId="2166" priority="2184">
      <formula>LEN(TRIM(F36))=0</formula>
    </cfRule>
  </conditionalFormatting>
  <conditionalFormatting sqref="F36">
    <cfRule type="expression" dxfId="2165" priority="2179">
      <formula>AND($D36="MIN",$F36&lt;&gt;"")</formula>
    </cfRule>
    <cfRule type="expression" dxfId="2164" priority="2180">
      <formula>AND($D36="MIN",$F36="")</formula>
    </cfRule>
    <cfRule type="containsBlanks" dxfId="2163" priority="2181">
      <formula>LEN(TRIM(F36))=0</formula>
    </cfRule>
  </conditionalFormatting>
  <conditionalFormatting sqref="F36">
    <cfRule type="expression" dxfId="2162" priority="2176">
      <formula>AND($D36="MIN",$F36&lt;&gt;"")</formula>
    </cfRule>
    <cfRule type="expression" dxfId="2161" priority="2177">
      <formula>AND($D36="MIN",$F36="")</formula>
    </cfRule>
    <cfRule type="containsBlanks" dxfId="2160" priority="2178">
      <formula>LEN(TRIM(F36))=0</formula>
    </cfRule>
  </conditionalFormatting>
  <conditionalFormatting sqref="F36">
    <cfRule type="expression" dxfId="2159" priority="2173">
      <formula>AND($D36="MIN",$F36&lt;&gt;"")</formula>
    </cfRule>
    <cfRule type="expression" dxfId="2158" priority="2174">
      <formula>AND($D36="MIN",$F36="")</formula>
    </cfRule>
    <cfRule type="containsBlanks" dxfId="2157" priority="2175">
      <formula>LEN(TRIM(F36))=0</formula>
    </cfRule>
  </conditionalFormatting>
  <conditionalFormatting sqref="G36">
    <cfRule type="expression" dxfId="2156" priority="2170">
      <formula>AND(OR($D36="GD&amp;T",$D36="MAX"),$G36&lt;&gt;"")</formula>
    </cfRule>
    <cfRule type="expression" dxfId="2155" priority="2171">
      <formula>AND(OR($D36="GD&amp;T",$D36="MAX"),$G36="")</formula>
    </cfRule>
    <cfRule type="containsBlanks" dxfId="2154" priority="2172">
      <formula>LEN(TRIM(G36))=0</formula>
    </cfRule>
  </conditionalFormatting>
  <conditionalFormatting sqref="F36">
    <cfRule type="expression" dxfId="2153" priority="2167">
      <formula>AND($D36="MIN",$F36&lt;&gt;"")</formula>
    </cfRule>
    <cfRule type="expression" dxfId="2152" priority="2168">
      <formula>AND($D36="MIN",$F36="")</formula>
    </cfRule>
    <cfRule type="containsBlanks" dxfId="2151" priority="2169">
      <formula>LEN(TRIM(F36))=0</formula>
    </cfRule>
  </conditionalFormatting>
  <conditionalFormatting sqref="G36">
    <cfRule type="expression" dxfId="2150" priority="2164">
      <formula>AND(OR($D36="GD&amp;T",$D36="MAX"),$G36&lt;&gt;"")</formula>
    </cfRule>
    <cfRule type="expression" dxfId="2149" priority="2165">
      <formula>AND(OR($D36="GD&amp;T",$D36="MAX"),$G36="")</formula>
    </cfRule>
    <cfRule type="containsBlanks" dxfId="2148" priority="2166">
      <formula>LEN(TRIM(G36))=0</formula>
    </cfRule>
  </conditionalFormatting>
  <conditionalFormatting sqref="F36">
    <cfRule type="expression" dxfId="2147" priority="2161">
      <formula>AND($D36="MIN",$F36&lt;&gt;"")</formula>
    </cfRule>
    <cfRule type="expression" dxfId="2146" priority="2162">
      <formula>AND($D36="MIN",$F36="")</formula>
    </cfRule>
    <cfRule type="containsBlanks" dxfId="2145" priority="2163">
      <formula>LEN(TRIM(F36))=0</formula>
    </cfRule>
  </conditionalFormatting>
  <conditionalFormatting sqref="G36">
    <cfRule type="expression" dxfId="2144" priority="2158">
      <formula>AND(OR($D36="GD&amp;T",$D36="MAX"),$G36&lt;&gt;"")</formula>
    </cfRule>
    <cfRule type="expression" dxfId="2143" priority="2159">
      <formula>AND(OR($D36="GD&amp;T",$D36="MAX"),$G36="")</formula>
    </cfRule>
    <cfRule type="containsBlanks" dxfId="2142" priority="2160">
      <formula>LEN(TRIM(G36))=0</formula>
    </cfRule>
  </conditionalFormatting>
  <conditionalFormatting sqref="F36">
    <cfRule type="expression" dxfId="2141" priority="2155">
      <formula>AND($D36="MIN",$F36&lt;&gt;"")</formula>
    </cfRule>
    <cfRule type="expression" dxfId="2140" priority="2156">
      <formula>AND($D36="MIN",$F36="")</formula>
    </cfRule>
    <cfRule type="containsBlanks" dxfId="2139" priority="2157">
      <formula>LEN(TRIM(F36))=0</formula>
    </cfRule>
  </conditionalFormatting>
  <conditionalFormatting sqref="G36">
    <cfRule type="expression" dxfId="2138" priority="2152">
      <formula>AND(OR($D36="GD&amp;T",$D36="MAX"),$G36&lt;&gt;"")</formula>
    </cfRule>
    <cfRule type="expression" dxfId="2137" priority="2153">
      <formula>AND(OR($D36="GD&amp;T",$D36="MAX"),$G36="")</formula>
    </cfRule>
    <cfRule type="containsBlanks" dxfId="2136" priority="2154">
      <formula>LEN(TRIM(G36))=0</formula>
    </cfRule>
  </conditionalFormatting>
  <conditionalFormatting sqref="F36">
    <cfRule type="expression" dxfId="2135" priority="2149">
      <formula>AND($D36="MIN",$F36&lt;&gt;"")</formula>
    </cfRule>
    <cfRule type="expression" dxfId="2134" priority="2150">
      <formula>AND($D36="MIN",$F36="")</formula>
    </cfRule>
    <cfRule type="containsBlanks" dxfId="2133" priority="2151">
      <formula>LEN(TRIM(F36))=0</formula>
    </cfRule>
  </conditionalFormatting>
  <conditionalFormatting sqref="G36">
    <cfRule type="expression" dxfId="2132" priority="2146">
      <formula>AND(OR($D36="GD&amp;T",$D36="MAX"),$G36&lt;&gt;"")</formula>
    </cfRule>
    <cfRule type="expression" dxfId="2131" priority="2147">
      <formula>AND(OR($D36="GD&amp;T",$D36="MAX"),$G36="")</formula>
    </cfRule>
    <cfRule type="containsBlanks" dxfId="2130" priority="2148">
      <formula>LEN(TRIM(G36))=0</formula>
    </cfRule>
  </conditionalFormatting>
  <conditionalFormatting sqref="F36">
    <cfRule type="expression" dxfId="2129" priority="2143">
      <formula>AND($D36="MIN",$F36&lt;&gt;"")</formula>
    </cfRule>
    <cfRule type="expression" dxfId="2128" priority="2144">
      <formula>AND($D36="MIN",$F36="")</formula>
    </cfRule>
    <cfRule type="containsBlanks" dxfId="2127" priority="2145">
      <formula>LEN(TRIM(F36))=0</formula>
    </cfRule>
  </conditionalFormatting>
  <conditionalFormatting sqref="G36">
    <cfRule type="expression" dxfId="2126" priority="2140">
      <formula>AND(OR($D36="GD&amp;T",$D36="MAX"),$G36&lt;&gt;"")</formula>
    </cfRule>
    <cfRule type="expression" dxfId="2125" priority="2141">
      <formula>AND(OR($D36="GD&amp;T",$D36="MAX"),$G36="")</formula>
    </cfRule>
    <cfRule type="containsBlanks" dxfId="2124" priority="2142">
      <formula>LEN(TRIM(G36))=0</formula>
    </cfRule>
  </conditionalFormatting>
  <conditionalFormatting sqref="F36">
    <cfRule type="expression" dxfId="2123" priority="2137">
      <formula>AND($D36="MIN",$F36&lt;&gt;"")</formula>
    </cfRule>
    <cfRule type="expression" dxfId="2122" priority="2138">
      <formula>AND($D36="MIN",$F36="")</formula>
    </cfRule>
    <cfRule type="containsBlanks" dxfId="2121" priority="2139">
      <formula>LEN(TRIM(F36))=0</formula>
    </cfRule>
  </conditionalFormatting>
  <conditionalFormatting sqref="G36">
    <cfRule type="expression" dxfId="2120" priority="2134">
      <formula>AND(OR($D36="GD&amp;T",$D36="MAX"),$G36&lt;&gt;"")</formula>
    </cfRule>
    <cfRule type="expression" dxfId="2119" priority="2135">
      <formula>AND(OR($D36="GD&amp;T",$D36="MAX"),$G36="")</formula>
    </cfRule>
    <cfRule type="containsBlanks" dxfId="2118" priority="2136">
      <formula>LEN(TRIM(G36))=0</formula>
    </cfRule>
  </conditionalFormatting>
  <conditionalFormatting sqref="F36">
    <cfRule type="expression" dxfId="2117" priority="2131">
      <formula>AND($D36="MIN",$F36&lt;&gt;"")</formula>
    </cfRule>
    <cfRule type="expression" dxfId="2116" priority="2132">
      <formula>AND($D36="MIN",$F36="")</formula>
    </cfRule>
    <cfRule type="containsBlanks" dxfId="2115" priority="2133">
      <formula>LEN(TRIM(F36))=0</formula>
    </cfRule>
  </conditionalFormatting>
  <conditionalFormatting sqref="G36">
    <cfRule type="expression" dxfId="2114" priority="2128">
      <formula>AND(OR($D36="GD&amp;T",$D36="MAX"),$G36&lt;&gt;"")</formula>
    </cfRule>
    <cfRule type="expression" dxfId="2113" priority="2129">
      <formula>AND(OR($D36="GD&amp;T",$D36="MAX"),$G36="")</formula>
    </cfRule>
    <cfRule type="containsBlanks" dxfId="2112" priority="2130">
      <formula>LEN(TRIM(G36))=0</formula>
    </cfRule>
  </conditionalFormatting>
  <conditionalFormatting sqref="F36">
    <cfRule type="expression" dxfId="2111" priority="2125">
      <formula>AND($D36="MIN",$F36&lt;&gt;"")</formula>
    </cfRule>
    <cfRule type="expression" dxfId="2110" priority="2126">
      <formula>AND($D36="MIN",$F36="")</formula>
    </cfRule>
    <cfRule type="containsBlanks" dxfId="2109" priority="2127">
      <formula>LEN(TRIM(F36))=0</formula>
    </cfRule>
  </conditionalFormatting>
  <conditionalFormatting sqref="F36">
    <cfRule type="expression" dxfId="2108" priority="2122">
      <formula>AND($D36="MIN",$F36&lt;&gt;"")</formula>
    </cfRule>
    <cfRule type="expression" dxfId="2107" priority="2123">
      <formula>AND($D36="MIN",$F36="")</formula>
    </cfRule>
    <cfRule type="containsBlanks" dxfId="2106" priority="2124">
      <formula>LEN(TRIM(F36))=0</formula>
    </cfRule>
  </conditionalFormatting>
  <conditionalFormatting sqref="F36">
    <cfRule type="expression" dxfId="2105" priority="2119">
      <formula>AND($D36="MIN",$F36&lt;&gt;"")</formula>
    </cfRule>
    <cfRule type="expression" dxfId="2104" priority="2120">
      <formula>AND($D36="MIN",$F36="")</formula>
    </cfRule>
    <cfRule type="containsBlanks" dxfId="2103" priority="2121">
      <formula>LEN(TRIM(F36))=0</formula>
    </cfRule>
  </conditionalFormatting>
  <conditionalFormatting sqref="F36">
    <cfRule type="expression" dxfId="2102" priority="2116">
      <formula>AND($D36="MIN",$F36&lt;&gt;"")</formula>
    </cfRule>
    <cfRule type="expression" dxfId="2101" priority="2117">
      <formula>AND($D36="MIN",$F36="")</formula>
    </cfRule>
    <cfRule type="containsBlanks" dxfId="2100" priority="2118">
      <formula>LEN(TRIM(F36))=0</formula>
    </cfRule>
  </conditionalFormatting>
  <conditionalFormatting sqref="F36">
    <cfRule type="expression" dxfId="2099" priority="2113">
      <formula>AND($D36="MIN",$F36&lt;&gt;"")</formula>
    </cfRule>
    <cfRule type="expression" dxfId="2098" priority="2114">
      <formula>AND($D36="MIN",$F36="")</formula>
    </cfRule>
    <cfRule type="containsBlanks" dxfId="2097" priority="2115">
      <formula>LEN(TRIM(F36))=0</formula>
    </cfRule>
  </conditionalFormatting>
  <conditionalFormatting sqref="F37">
    <cfRule type="expression" dxfId="2096" priority="2110">
      <formula>AND($D37="MIN",$F37&lt;&gt;"")</formula>
    </cfRule>
    <cfRule type="expression" dxfId="2095" priority="2111">
      <formula>AND($D37="MIN",$F37="")</formula>
    </cfRule>
    <cfRule type="containsBlanks" dxfId="2094" priority="2112">
      <formula>LEN(TRIM(F37))=0</formula>
    </cfRule>
  </conditionalFormatting>
  <conditionalFormatting sqref="G37">
    <cfRule type="expression" dxfId="2093" priority="2107">
      <formula>AND(OR($D37="GD&amp;T",$D37="MAX"),$G37&lt;&gt;"")</formula>
    </cfRule>
    <cfRule type="expression" dxfId="2092" priority="2108">
      <formula>AND(OR($D37="GD&amp;T",$D37="MAX"),$G37="")</formula>
    </cfRule>
    <cfRule type="containsBlanks" dxfId="2091" priority="2109">
      <formula>LEN(TRIM(G37))=0</formula>
    </cfRule>
  </conditionalFormatting>
  <conditionalFormatting sqref="F37">
    <cfRule type="expression" dxfId="2090" priority="2104">
      <formula>AND($D37="MIN",$F37&lt;&gt;"")</formula>
    </cfRule>
    <cfRule type="expression" dxfId="2089" priority="2105">
      <formula>AND($D37="MIN",$F37="")</formula>
    </cfRule>
    <cfRule type="containsBlanks" dxfId="2088" priority="2106">
      <formula>LEN(TRIM(F37))=0</formula>
    </cfRule>
  </conditionalFormatting>
  <conditionalFormatting sqref="G37">
    <cfRule type="expression" dxfId="2087" priority="2101">
      <formula>AND(OR($D37="GD&amp;T",$D37="MAX"),$G37&lt;&gt;"")</formula>
    </cfRule>
    <cfRule type="expression" dxfId="2086" priority="2102">
      <formula>AND(OR($D37="GD&amp;T",$D37="MAX"),$G37="")</formula>
    </cfRule>
    <cfRule type="containsBlanks" dxfId="2085" priority="2103">
      <formula>LEN(TRIM(G37))=0</formula>
    </cfRule>
  </conditionalFormatting>
  <conditionalFormatting sqref="F37">
    <cfRule type="expression" dxfId="2084" priority="2098">
      <formula>AND($D37="MIN",$F37&lt;&gt;"")</formula>
    </cfRule>
    <cfRule type="expression" dxfId="2083" priority="2099">
      <formula>AND($D37="MIN",$F37="")</formula>
    </cfRule>
    <cfRule type="containsBlanks" dxfId="2082" priority="2100">
      <formula>LEN(TRIM(F37))=0</formula>
    </cfRule>
  </conditionalFormatting>
  <conditionalFormatting sqref="G37">
    <cfRule type="expression" dxfId="2081" priority="2095">
      <formula>AND(OR($D37="GD&amp;T",$D37="MAX"),$G37&lt;&gt;"")</formula>
    </cfRule>
    <cfRule type="expression" dxfId="2080" priority="2096">
      <formula>AND(OR($D37="GD&amp;T",$D37="MAX"),$G37="")</formula>
    </cfRule>
    <cfRule type="containsBlanks" dxfId="2079" priority="2097">
      <formula>LEN(TRIM(G37))=0</formula>
    </cfRule>
  </conditionalFormatting>
  <conditionalFormatting sqref="F37">
    <cfRule type="expression" dxfId="2078" priority="2092">
      <formula>AND($D37="MIN",$F37&lt;&gt;"")</formula>
    </cfRule>
    <cfRule type="expression" dxfId="2077" priority="2093">
      <formula>AND($D37="MIN",$F37="")</formula>
    </cfRule>
    <cfRule type="containsBlanks" dxfId="2076" priority="2094">
      <formula>LEN(TRIM(F37))=0</formula>
    </cfRule>
  </conditionalFormatting>
  <conditionalFormatting sqref="G37">
    <cfRule type="expression" dxfId="2075" priority="2089">
      <formula>AND(OR($D37="GD&amp;T",$D37="MAX"),$G37&lt;&gt;"")</formula>
    </cfRule>
    <cfRule type="expression" dxfId="2074" priority="2090">
      <formula>AND(OR($D37="GD&amp;T",$D37="MAX"),$G37="")</formula>
    </cfRule>
    <cfRule type="containsBlanks" dxfId="2073" priority="2091">
      <formula>LEN(TRIM(G37))=0</formula>
    </cfRule>
  </conditionalFormatting>
  <conditionalFormatting sqref="G37">
    <cfRule type="expression" dxfId="2072" priority="2086">
      <formula>AND(OR($D37="GD&amp;T",$D37="MAX"),$G37&lt;&gt;"")</formula>
    </cfRule>
    <cfRule type="expression" dxfId="2071" priority="2087">
      <formula>AND(OR($D37="GD&amp;T",$D37="MAX"),$G37="")</formula>
    </cfRule>
    <cfRule type="containsBlanks" dxfId="2070" priority="2088">
      <formula>LEN(TRIM(G37))=0</formula>
    </cfRule>
  </conditionalFormatting>
  <conditionalFormatting sqref="G37">
    <cfRule type="expression" dxfId="2069" priority="2083">
      <formula>AND(OR($D37="GD&amp;T",$D37="MAX"),$G37&lt;&gt;"")</formula>
    </cfRule>
    <cfRule type="expression" dxfId="2068" priority="2084">
      <formula>AND(OR($D37="GD&amp;T",$D37="MAX"),$G37="")</formula>
    </cfRule>
    <cfRule type="containsBlanks" dxfId="2067" priority="2085">
      <formula>LEN(TRIM(G37))=0</formula>
    </cfRule>
  </conditionalFormatting>
  <conditionalFormatting sqref="G37">
    <cfRule type="expression" dxfId="2066" priority="2080">
      <formula>AND(OR($D37="GD&amp;T",$D37="MAX"),$G37&lt;&gt;"")</formula>
    </cfRule>
    <cfRule type="expression" dxfId="2065" priority="2081">
      <formula>AND(OR($D37="GD&amp;T",$D37="MAX"),$G37="")</formula>
    </cfRule>
    <cfRule type="containsBlanks" dxfId="2064" priority="2082">
      <formula>LEN(TRIM(G37))=0</formula>
    </cfRule>
  </conditionalFormatting>
  <conditionalFormatting sqref="G37">
    <cfRule type="expression" dxfId="2063" priority="2077">
      <formula>AND(OR($D37="GD&amp;T",$D37="MAX"),$G37&lt;&gt;"")</formula>
    </cfRule>
    <cfRule type="expression" dxfId="2062" priority="2078">
      <formula>AND(OR($D37="GD&amp;T",$D37="MAX"),$G37="")</formula>
    </cfRule>
    <cfRule type="containsBlanks" dxfId="2061" priority="2079">
      <formula>LEN(TRIM(G37))=0</formula>
    </cfRule>
  </conditionalFormatting>
  <conditionalFormatting sqref="G37">
    <cfRule type="expression" dxfId="2060" priority="2074">
      <formula>AND(OR($D37="GD&amp;T",$D37="MAX"),$G37&lt;&gt;"")</formula>
    </cfRule>
    <cfRule type="expression" dxfId="2059" priority="2075">
      <formula>AND(OR($D37="GD&amp;T",$D37="MAX"),$G37="")</formula>
    </cfRule>
    <cfRule type="containsBlanks" dxfId="2058" priority="2076">
      <formula>LEN(TRIM(G37))=0</formula>
    </cfRule>
  </conditionalFormatting>
  <conditionalFormatting sqref="F37">
    <cfRule type="expression" dxfId="2057" priority="2071">
      <formula>AND($D37="MIN",$F37&lt;&gt;"")</formula>
    </cfRule>
    <cfRule type="expression" dxfId="2056" priority="2072">
      <formula>AND($D37="MIN",$F37="")</formula>
    </cfRule>
    <cfRule type="containsBlanks" dxfId="2055" priority="2073">
      <formula>LEN(TRIM(F37))=0</formula>
    </cfRule>
  </conditionalFormatting>
  <conditionalFormatting sqref="F37">
    <cfRule type="expression" dxfId="2054" priority="2068">
      <formula>AND($D37="MIN",$F37&lt;&gt;"")</formula>
    </cfRule>
    <cfRule type="expression" dxfId="2053" priority="2069">
      <formula>AND($D37="MIN",$F37="")</formula>
    </cfRule>
    <cfRule type="containsBlanks" dxfId="2052" priority="2070">
      <formula>LEN(TRIM(F37))=0</formula>
    </cfRule>
  </conditionalFormatting>
  <conditionalFormatting sqref="F37">
    <cfRule type="expression" dxfId="2051" priority="2065">
      <formula>AND($D37="MIN",$F37&lt;&gt;"")</formula>
    </cfRule>
    <cfRule type="expression" dxfId="2050" priority="2066">
      <formula>AND($D37="MIN",$F37="")</formula>
    </cfRule>
    <cfRule type="containsBlanks" dxfId="2049" priority="2067">
      <formula>LEN(TRIM(F37))=0</formula>
    </cfRule>
  </conditionalFormatting>
  <conditionalFormatting sqref="F37">
    <cfRule type="expression" dxfId="2048" priority="2062">
      <formula>AND($D37="MIN",$F37&lt;&gt;"")</formula>
    </cfRule>
    <cfRule type="expression" dxfId="2047" priority="2063">
      <formula>AND($D37="MIN",$F37="")</formula>
    </cfRule>
    <cfRule type="containsBlanks" dxfId="2046" priority="2064">
      <formula>LEN(TRIM(F37))=0</formula>
    </cfRule>
  </conditionalFormatting>
  <conditionalFormatting sqref="F37">
    <cfRule type="expression" dxfId="2045" priority="2059">
      <formula>AND($D37="MIN",$F37&lt;&gt;"")</formula>
    </cfRule>
    <cfRule type="expression" dxfId="2044" priority="2060">
      <formula>AND($D37="MIN",$F37="")</formula>
    </cfRule>
    <cfRule type="containsBlanks" dxfId="2043" priority="2061">
      <formula>LEN(TRIM(F37))=0</formula>
    </cfRule>
  </conditionalFormatting>
  <conditionalFormatting sqref="F37">
    <cfRule type="expression" dxfId="2042" priority="2056">
      <formula>AND($D37="MIN",$F37&lt;&gt;"")</formula>
    </cfRule>
    <cfRule type="expression" dxfId="2041" priority="2057">
      <formula>AND($D37="MIN",$F37="")</formula>
    </cfRule>
    <cfRule type="containsBlanks" dxfId="2040" priority="2058">
      <formula>LEN(TRIM(F37))=0</formula>
    </cfRule>
  </conditionalFormatting>
  <conditionalFormatting sqref="G37">
    <cfRule type="expression" dxfId="2039" priority="2053">
      <formula>AND(OR($D37="GD&amp;T",$D37="MAX"),$G37&lt;&gt;"")</formula>
    </cfRule>
    <cfRule type="expression" dxfId="2038" priority="2054">
      <formula>AND(OR($D37="GD&amp;T",$D37="MAX"),$G37="")</formula>
    </cfRule>
    <cfRule type="containsBlanks" dxfId="2037" priority="2055">
      <formula>LEN(TRIM(G37))=0</formula>
    </cfRule>
  </conditionalFormatting>
  <conditionalFormatting sqref="F37">
    <cfRule type="expression" dxfId="2036" priority="2050">
      <formula>AND($D37="MIN",$F37&lt;&gt;"")</formula>
    </cfRule>
    <cfRule type="expression" dxfId="2035" priority="2051">
      <formula>AND($D37="MIN",$F37="")</formula>
    </cfRule>
    <cfRule type="containsBlanks" dxfId="2034" priority="2052">
      <formula>LEN(TRIM(F37))=0</formula>
    </cfRule>
  </conditionalFormatting>
  <conditionalFormatting sqref="G37">
    <cfRule type="expression" dxfId="2033" priority="2047">
      <formula>AND(OR($D37="GD&amp;T",$D37="MAX"),$G37&lt;&gt;"")</formula>
    </cfRule>
    <cfRule type="expression" dxfId="2032" priority="2048">
      <formula>AND(OR($D37="GD&amp;T",$D37="MAX"),$G37="")</formula>
    </cfRule>
    <cfRule type="containsBlanks" dxfId="2031" priority="2049">
      <formula>LEN(TRIM(G37))=0</formula>
    </cfRule>
  </conditionalFormatting>
  <conditionalFormatting sqref="F37">
    <cfRule type="expression" dxfId="2030" priority="2044">
      <formula>AND($D37="MIN",$F37&lt;&gt;"")</formula>
    </cfRule>
    <cfRule type="expression" dxfId="2029" priority="2045">
      <formula>AND($D37="MIN",$F37="")</formula>
    </cfRule>
    <cfRule type="containsBlanks" dxfId="2028" priority="2046">
      <formula>LEN(TRIM(F37))=0</formula>
    </cfRule>
  </conditionalFormatting>
  <conditionalFormatting sqref="G37">
    <cfRule type="expression" dxfId="2027" priority="2041">
      <formula>AND(OR($D37="GD&amp;T",$D37="MAX"),$G37&lt;&gt;"")</formula>
    </cfRule>
    <cfRule type="expression" dxfId="2026" priority="2042">
      <formula>AND(OR($D37="GD&amp;T",$D37="MAX"),$G37="")</formula>
    </cfRule>
    <cfRule type="containsBlanks" dxfId="2025" priority="2043">
      <formula>LEN(TRIM(G37))=0</formula>
    </cfRule>
  </conditionalFormatting>
  <conditionalFormatting sqref="F37">
    <cfRule type="expression" dxfId="2024" priority="2038">
      <formula>AND($D37="MIN",$F37&lt;&gt;"")</formula>
    </cfRule>
    <cfRule type="expression" dxfId="2023" priority="2039">
      <formula>AND($D37="MIN",$F37="")</formula>
    </cfRule>
    <cfRule type="containsBlanks" dxfId="2022" priority="2040">
      <formula>LEN(TRIM(F37))=0</formula>
    </cfRule>
  </conditionalFormatting>
  <conditionalFormatting sqref="G37">
    <cfRule type="expression" dxfId="2021" priority="2035">
      <formula>AND(OR($D37="GD&amp;T",$D37="MAX"),$G37&lt;&gt;"")</formula>
    </cfRule>
    <cfRule type="expression" dxfId="2020" priority="2036">
      <formula>AND(OR($D37="GD&amp;T",$D37="MAX"),$G37="")</formula>
    </cfRule>
    <cfRule type="containsBlanks" dxfId="2019" priority="2037">
      <formula>LEN(TRIM(G37))=0</formula>
    </cfRule>
  </conditionalFormatting>
  <conditionalFormatting sqref="F37">
    <cfRule type="expression" dxfId="2018" priority="2032">
      <formula>AND($D37="MIN",$F37&lt;&gt;"")</formula>
    </cfRule>
    <cfRule type="expression" dxfId="2017" priority="2033">
      <formula>AND($D37="MIN",$F37="")</formula>
    </cfRule>
    <cfRule type="containsBlanks" dxfId="2016" priority="2034">
      <formula>LEN(TRIM(F37))=0</formula>
    </cfRule>
  </conditionalFormatting>
  <conditionalFormatting sqref="G37">
    <cfRule type="expression" dxfId="2015" priority="2029">
      <formula>AND(OR($D37="GD&amp;T",$D37="MAX"),$G37&lt;&gt;"")</formula>
    </cfRule>
    <cfRule type="expression" dxfId="2014" priority="2030">
      <formula>AND(OR($D37="GD&amp;T",$D37="MAX"),$G37="")</formula>
    </cfRule>
    <cfRule type="containsBlanks" dxfId="2013" priority="2031">
      <formula>LEN(TRIM(G37))=0</formula>
    </cfRule>
  </conditionalFormatting>
  <conditionalFormatting sqref="F37">
    <cfRule type="expression" dxfId="2012" priority="2026">
      <formula>AND($D37="MIN",$F37&lt;&gt;"")</formula>
    </cfRule>
    <cfRule type="expression" dxfId="2011" priority="2027">
      <formula>AND($D37="MIN",$F37="")</formula>
    </cfRule>
    <cfRule type="containsBlanks" dxfId="2010" priority="2028">
      <formula>LEN(TRIM(F37))=0</formula>
    </cfRule>
  </conditionalFormatting>
  <conditionalFormatting sqref="G37">
    <cfRule type="expression" dxfId="2009" priority="2023">
      <formula>AND(OR($D37="GD&amp;T",$D37="MAX"),$G37&lt;&gt;"")</formula>
    </cfRule>
    <cfRule type="expression" dxfId="2008" priority="2024">
      <formula>AND(OR($D37="GD&amp;T",$D37="MAX"),$G37="")</formula>
    </cfRule>
    <cfRule type="containsBlanks" dxfId="2007" priority="2025">
      <formula>LEN(TRIM(G37))=0</formula>
    </cfRule>
  </conditionalFormatting>
  <conditionalFormatting sqref="F37">
    <cfRule type="expression" dxfId="2006" priority="2020">
      <formula>AND($D37="MIN",$F37&lt;&gt;"")</formula>
    </cfRule>
    <cfRule type="expression" dxfId="2005" priority="2021">
      <formula>AND($D37="MIN",$F37="")</formula>
    </cfRule>
    <cfRule type="containsBlanks" dxfId="2004" priority="2022">
      <formula>LEN(TRIM(F37))=0</formula>
    </cfRule>
  </conditionalFormatting>
  <conditionalFormatting sqref="G37">
    <cfRule type="expression" dxfId="2003" priority="2017">
      <formula>AND(OR($D37="GD&amp;T",$D37="MAX"),$G37&lt;&gt;"")</formula>
    </cfRule>
    <cfRule type="expression" dxfId="2002" priority="2018">
      <formula>AND(OR($D37="GD&amp;T",$D37="MAX"),$G37="")</formula>
    </cfRule>
    <cfRule type="containsBlanks" dxfId="2001" priority="2019">
      <formula>LEN(TRIM(G37))=0</formula>
    </cfRule>
  </conditionalFormatting>
  <conditionalFormatting sqref="F37">
    <cfRule type="expression" dxfId="2000" priority="2014">
      <formula>AND($D37="MIN",$F37&lt;&gt;"")</formula>
    </cfRule>
    <cfRule type="expression" dxfId="1999" priority="2015">
      <formula>AND($D37="MIN",$F37="")</formula>
    </cfRule>
    <cfRule type="containsBlanks" dxfId="1998" priority="2016">
      <formula>LEN(TRIM(F37))=0</formula>
    </cfRule>
  </conditionalFormatting>
  <conditionalFormatting sqref="G37">
    <cfRule type="expression" dxfId="1997" priority="2011">
      <formula>AND(OR($D37="GD&amp;T",$D37="MAX"),$G37&lt;&gt;"")</formula>
    </cfRule>
    <cfRule type="expression" dxfId="1996" priority="2012">
      <formula>AND(OR($D37="GD&amp;T",$D37="MAX"),$G37="")</formula>
    </cfRule>
    <cfRule type="containsBlanks" dxfId="1995" priority="2013">
      <formula>LEN(TRIM(G37))=0</formula>
    </cfRule>
  </conditionalFormatting>
  <conditionalFormatting sqref="F37">
    <cfRule type="expression" dxfId="1994" priority="2008">
      <formula>AND($D37="MIN",$F37&lt;&gt;"")</formula>
    </cfRule>
    <cfRule type="expression" dxfId="1993" priority="2009">
      <formula>AND($D37="MIN",$F37="")</formula>
    </cfRule>
    <cfRule type="containsBlanks" dxfId="1992" priority="2010">
      <formula>LEN(TRIM(F37))=0</formula>
    </cfRule>
  </conditionalFormatting>
  <conditionalFormatting sqref="F37">
    <cfRule type="expression" dxfId="1991" priority="2005">
      <formula>AND($D37="MIN",$F37&lt;&gt;"")</formula>
    </cfRule>
    <cfRule type="expression" dxfId="1990" priority="2006">
      <formula>AND($D37="MIN",$F37="")</formula>
    </cfRule>
    <cfRule type="containsBlanks" dxfId="1989" priority="2007">
      <formula>LEN(TRIM(F37))=0</formula>
    </cfRule>
  </conditionalFormatting>
  <conditionalFormatting sqref="F37">
    <cfRule type="expression" dxfId="1988" priority="2002">
      <formula>AND($D37="MIN",$F37&lt;&gt;"")</formula>
    </cfRule>
    <cfRule type="expression" dxfId="1987" priority="2003">
      <formula>AND($D37="MIN",$F37="")</formula>
    </cfRule>
    <cfRule type="containsBlanks" dxfId="1986" priority="2004">
      <formula>LEN(TRIM(F37))=0</formula>
    </cfRule>
  </conditionalFormatting>
  <conditionalFormatting sqref="F37">
    <cfRule type="expression" dxfId="1985" priority="1999">
      <formula>AND($D37="MIN",$F37&lt;&gt;"")</formula>
    </cfRule>
    <cfRule type="expression" dxfId="1984" priority="2000">
      <formula>AND($D37="MIN",$F37="")</formula>
    </cfRule>
    <cfRule type="containsBlanks" dxfId="1983" priority="2001">
      <formula>LEN(TRIM(F37))=0</formula>
    </cfRule>
  </conditionalFormatting>
  <conditionalFormatting sqref="F37">
    <cfRule type="expression" dxfId="1982" priority="1996">
      <formula>AND($D37="MIN",$F37&lt;&gt;"")</formula>
    </cfRule>
    <cfRule type="expression" dxfId="1981" priority="1997">
      <formula>AND($D37="MIN",$F37="")</formula>
    </cfRule>
    <cfRule type="containsBlanks" dxfId="1980" priority="1998">
      <formula>LEN(TRIM(F37))=0</formula>
    </cfRule>
  </conditionalFormatting>
  <conditionalFormatting sqref="F37">
    <cfRule type="expression" dxfId="1979" priority="1993">
      <formula>AND($D37="MIN",$F37&lt;&gt;"")</formula>
    </cfRule>
    <cfRule type="expression" dxfId="1978" priority="1994">
      <formula>AND($D37="MIN",$F37="")</formula>
    </cfRule>
    <cfRule type="containsBlanks" dxfId="1977" priority="1995">
      <formula>LEN(TRIM(F37))=0</formula>
    </cfRule>
  </conditionalFormatting>
  <conditionalFormatting sqref="G37">
    <cfRule type="expression" dxfId="1976" priority="1990">
      <formula>AND(OR($D37="GD&amp;T",$D37="MAX"),$G37&lt;&gt;"")</formula>
    </cfRule>
    <cfRule type="expression" dxfId="1975" priority="1991">
      <formula>AND(OR($D37="GD&amp;T",$D37="MAX"),$G37="")</formula>
    </cfRule>
    <cfRule type="containsBlanks" dxfId="1974" priority="1992">
      <formula>LEN(TRIM(G37))=0</formula>
    </cfRule>
  </conditionalFormatting>
  <conditionalFormatting sqref="F37">
    <cfRule type="expression" dxfId="1973" priority="1987">
      <formula>AND($D37="MIN",$F37&lt;&gt;"")</formula>
    </cfRule>
    <cfRule type="expression" dxfId="1972" priority="1988">
      <formula>AND($D37="MIN",$F37="")</formula>
    </cfRule>
    <cfRule type="containsBlanks" dxfId="1971" priority="1989">
      <formula>LEN(TRIM(F37))=0</formula>
    </cfRule>
  </conditionalFormatting>
  <conditionalFormatting sqref="G37">
    <cfRule type="expression" dxfId="1970" priority="1984">
      <formula>AND(OR($D37="GD&amp;T",$D37="MAX"),$G37&lt;&gt;"")</formula>
    </cfRule>
    <cfRule type="expression" dxfId="1969" priority="1985">
      <formula>AND(OR($D37="GD&amp;T",$D37="MAX"),$G37="")</formula>
    </cfRule>
    <cfRule type="containsBlanks" dxfId="1968" priority="1986">
      <formula>LEN(TRIM(G37))=0</formula>
    </cfRule>
  </conditionalFormatting>
  <conditionalFormatting sqref="F37">
    <cfRule type="expression" dxfId="1967" priority="1981">
      <formula>AND($D37="MIN",$F37&lt;&gt;"")</formula>
    </cfRule>
    <cfRule type="expression" dxfId="1966" priority="1982">
      <formula>AND($D37="MIN",$F37="")</formula>
    </cfRule>
    <cfRule type="containsBlanks" dxfId="1965" priority="1983">
      <formula>LEN(TRIM(F37))=0</formula>
    </cfRule>
  </conditionalFormatting>
  <conditionalFormatting sqref="G37">
    <cfRule type="expression" dxfId="1964" priority="1978">
      <formula>AND(OR($D37="GD&amp;T",$D37="MAX"),$G37&lt;&gt;"")</formula>
    </cfRule>
    <cfRule type="expression" dxfId="1963" priority="1979">
      <formula>AND(OR($D37="GD&amp;T",$D37="MAX"),$G37="")</formula>
    </cfRule>
    <cfRule type="containsBlanks" dxfId="1962" priority="1980">
      <formula>LEN(TRIM(G37))=0</formula>
    </cfRule>
  </conditionalFormatting>
  <conditionalFormatting sqref="F37">
    <cfRule type="expression" dxfId="1961" priority="1975">
      <formula>AND($D37="MIN",$F37&lt;&gt;"")</formula>
    </cfRule>
    <cfRule type="expression" dxfId="1960" priority="1976">
      <formula>AND($D37="MIN",$F37="")</formula>
    </cfRule>
    <cfRule type="containsBlanks" dxfId="1959" priority="1977">
      <formula>LEN(TRIM(F37))=0</formula>
    </cfRule>
  </conditionalFormatting>
  <conditionalFormatting sqref="G37">
    <cfRule type="expression" dxfId="1958" priority="1972">
      <formula>AND(OR($D37="GD&amp;T",$D37="MAX"),$G37&lt;&gt;"")</formula>
    </cfRule>
    <cfRule type="expression" dxfId="1957" priority="1973">
      <formula>AND(OR($D37="GD&amp;T",$D37="MAX"),$G37="")</formula>
    </cfRule>
    <cfRule type="containsBlanks" dxfId="1956" priority="1974">
      <formula>LEN(TRIM(G37))=0</formula>
    </cfRule>
  </conditionalFormatting>
  <conditionalFormatting sqref="G37">
    <cfRule type="expression" dxfId="1955" priority="1969">
      <formula>AND(OR($D37="GD&amp;T",$D37="MAX"),$G37&lt;&gt;"")</formula>
    </cfRule>
    <cfRule type="expression" dxfId="1954" priority="1970">
      <formula>AND(OR($D37="GD&amp;T",$D37="MAX"),$G37="")</formula>
    </cfRule>
    <cfRule type="containsBlanks" dxfId="1953" priority="1971">
      <formula>LEN(TRIM(G37))=0</formula>
    </cfRule>
  </conditionalFormatting>
  <conditionalFormatting sqref="G37">
    <cfRule type="expression" dxfId="1952" priority="1966">
      <formula>AND(OR($D37="GD&amp;T",$D37="MAX"),$G37&lt;&gt;"")</formula>
    </cfRule>
    <cfRule type="expression" dxfId="1951" priority="1967">
      <formula>AND(OR($D37="GD&amp;T",$D37="MAX"),$G37="")</formula>
    </cfRule>
    <cfRule type="containsBlanks" dxfId="1950" priority="1968">
      <formula>LEN(TRIM(G37))=0</formula>
    </cfRule>
  </conditionalFormatting>
  <conditionalFormatting sqref="G37">
    <cfRule type="expression" dxfId="1949" priority="1963">
      <formula>AND(OR($D37="GD&amp;T",$D37="MAX"),$G37&lt;&gt;"")</formula>
    </cfRule>
    <cfRule type="expression" dxfId="1948" priority="1964">
      <formula>AND(OR($D37="GD&amp;T",$D37="MAX"),$G37="")</formula>
    </cfRule>
    <cfRule type="containsBlanks" dxfId="1947" priority="1965">
      <formula>LEN(TRIM(G37))=0</formula>
    </cfRule>
  </conditionalFormatting>
  <conditionalFormatting sqref="G37">
    <cfRule type="expression" dxfId="1946" priority="1960">
      <formula>AND(OR($D37="GD&amp;T",$D37="MAX"),$G37&lt;&gt;"")</formula>
    </cfRule>
    <cfRule type="expression" dxfId="1945" priority="1961">
      <formula>AND(OR($D37="GD&amp;T",$D37="MAX"),$G37="")</formula>
    </cfRule>
    <cfRule type="containsBlanks" dxfId="1944" priority="1962">
      <formula>LEN(TRIM(G37))=0</formula>
    </cfRule>
  </conditionalFormatting>
  <conditionalFormatting sqref="G37">
    <cfRule type="expression" dxfId="1943" priority="1957">
      <formula>AND(OR($D37="GD&amp;T",$D37="MAX"),$G37&lt;&gt;"")</formula>
    </cfRule>
    <cfRule type="expression" dxfId="1942" priority="1958">
      <formula>AND(OR($D37="GD&amp;T",$D37="MAX"),$G37="")</formula>
    </cfRule>
    <cfRule type="containsBlanks" dxfId="1941" priority="1959">
      <formula>LEN(TRIM(G37))=0</formula>
    </cfRule>
  </conditionalFormatting>
  <conditionalFormatting sqref="F37">
    <cfRule type="expression" dxfId="1940" priority="1954">
      <formula>AND($D37="MIN",$F37&lt;&gt;"")</formula>
    </cfRule>
    <cfRule type="expression" dxfId="1939" priority="1955">
      <formula>AND($D37="MIN",$F37="")</formula>
    </cfRule>
    <cfRule type="containsBlanks" dxfId="1938" priority="1956">
      <formula>LEN(TRIM(F37))=0</formula>
    </cfRule>
  </conditionalFormatting>
  <conditionalFormatting sqref="F37">
    <cfRule type="expression" dxfId="1937" priority="1951">
      <formula>AND($D37="MIN",$F37&lt;&gt;"")</formula>
    </cfRule>
    <cfRule type="expression" dxfId="1936" priority="1952">
      <formula>AND($D37="MIN",$F37="")</formula>
    </cfRule>
    <cfRule type="containsBlanks" dxfId="1935" priority="1953">
      <formula>LEN(TRIM(F37))=0</formula>
    </cfRule>
  </conditionalFormatting>
  <conditionalFormatting sqref="F37">
    <cfRule type="expression" dxfId="1934" priority="1948">
      <formula>AND($D37="MIN",$F37&lt;&gt;"")</formula>
    </cfRule>
    <cfRule type="expression" dxfId="1933" priority="1949">
      <formula>AND($D37="MIN",$F37="")</formula>
    </cfRule>
    <cfRule type="containsBlanks" dxfId="1932" priority="1950">
      <formula>LEN(TRIM(F37))=0</formula>
    </cfRule>
  </conditionalFormatting>
  <conditionalFormatting sqref="F37">
    <cfRule type="expression" dxfId="1931" priority="1945">
      <formula>AND($D37="MIN",$F37&lt;&gt;"")</formula>
    </cfRule>
    <cfRule type="expression" dxfId="1930" priority="1946">
      <formula>AND($D37="MIN",$F37="")</formula>
    </cfRule>
    <cfRule type="containsBlanks" dxfId="1929" priority="1947">
      <formula>LEN(TRIM(F37))=0</formula>
    </cfRule>
  </conditionalFormatting>
  <conditionalFormatting sqref="F37">
    <cfRule type="expression" dxfId="1928" priority="1942">
      <formula>AND($D37="MIN",$F37&lt;&gt;"")</formula>
    </cfRule>
    <cfRule type="expression" dxfId="1927" priority="1943">
      <formula>AND($D37="MIN",$F37="")</formula>
    </cfRule>
    <cfRule type="containsBlanks" dxfId="1926" priority="1944">
      <formula>LEN(TRIM(F37))=0</formula>
    </cfRule>
  </conditionalFormatting>
  <conditionalFormatting sqref="F37">
    <cfRule type="expression" dxfId="1925" priority="1939">
      <formula>AND($D37="MIN",$F37&lt;&gt;"")</formula>
    </cfRule>
    <cfRule type="expression" dxfId="1924" priority="1940">
      <formula>AND($D37="MIN",$F37="")</formula>
    </cfRule>
    <cfRule type="containsBlanks" dxfId="1923" priority="1941">
      <formula>LEN(TRIM(F37))=0</formula>
    </cfRule>
  </conditionalFormatting>
  <conditionalFormatting sqref="G37">
    <cfRule type="expression" dxfId="1922" priority="1936">
      <formula>AND(OR($D37="GD&amp;T",$D37="MAX"),$G37&lt;&gt;"")</formula>
    </cfRule>
    <cfRule type="expression" dxfId="1921" priority="1937">
      <formula>AND(OR($D37="GD&amp;T",$D37="MAX"),$G37="")</formula>
    </cfRule>
    <cfRule type="containsBlanks" dxfId="1920" priority="1938">
      <formula>LEN(TRIM(G37))=0</formula>
    </cfRule>
  </conditionalFormatting>
  <conditionalFormatting sqref="F37">
    <cfRule type="expression" dxfId="1919" priority="1933">
      <formula>AND($D37="MIN",$F37&lt;&gt;"")</formula>
    </cfRule>
    <cfRule type="expression" dxfId="1918" priority="1934">
      <formula>AND($D37="MIN",$F37="")</formula>
    </cfRule>
    <cfRule type="containsBlanks" dxfId="1917" priority="1935">
      <formula>LEN(TRIM(F37))=0</formula>
    </cfRule>
  </conditionalFormatting>
  <conditionalFormatting sqref="G37">
    <cfRule type="expression" dxfId="1916" priority="1930">
      <formula>AND(OR($D37="GD&amp;T",$D37="MAX"),$G37&lt;&gt;"")</formula>
    </cfRule>
    <cfRule type="expression" dxfId="1915" priority="1931">
      <formula>AND(OR($D37="GD&amp;T",$D37="MAX"),$G37="")</formula>
    </cfRule>
    <cfRule type="containsBlanks" dxfId="1914" priority="1932">
      <formula>LEN(TRIM(G37))=0</formula>
    </cfRule>
  </conditionalFormatting>
  <conditionalFormatting sqref="F37">
    <cfRule type="expression" dxfId="1913" priority="1927">
      <formula>AND($D37="MIN",$F37&lt;&gt;"")</formula>
    </cfRule>
    <cfRule type="expression" dxfId="1912" priority="1928">
      <formula>AND($D37="MIN",$F37="")</formula>
    </cfRule>
    <cfRule type="containsBlanks" dxfId="1911" priority="1929">
      <formula>LEN(TRIM(F37))=0</formula>
    </cfRule>
  </conditionalFormatting>
  <conditionalFormatting sqref="G37">
    <cfRule type="expression" dxfId="1910" priority="1924">
      <formula>AND(OR($D37="GD&amp;T",$D37="MAX"),$G37&lt;&gt;"")</formula>
    </cfRule>
    <cfRule type="expression" dxfId="1909" priority="1925">
      <formula>AND(OR($D37="GD&amp;T",$D37="MAX"),$G37="")</formula>
    </cfRule>
    <cfRule type="containsBlanks" dxfId="1908" priority="1926">
      <formula>LEN(TRIM(G37))=0</formula>
    </cfRule>
  </conditionalFormatting>
  <conditionalFormatting sqref="F37">
    <cfRule type="expression" dxfId="1907" priority="1921">
      <formula>AND($D37="MIN",$F37&lt;&gt;"")</formula>
    </cfRule>
    <cfRule type="expression" dxfId="1906" priority="1922">
      <formula>AND($D37="MIN",$F37="")</formula>
    </cfRule>
    <cfRule type="containsBlanks" dxfId="1905" priority="1923">
      <formula>LEN(TRIM(F37))=0</formula>
    </cfRule>
  </conditionalFormatting>
  <conditionalFormatting sqref="G37">
    <cfRule type="expression" dxfId="1904" priority="1918">
      <formula>AND(OR($D37="GD&amp;T",$D37="MAX"),$G37&lt;&gt;"")</formula>
    </cfRule>
    <cfRule type="expression" dxfId="1903" priority="1919">
      <formula>AND(OR($D37="GD&amp;T",$D37="MAX"),$G37="")</formula>
    </cfRule>
    <cfRule type="containsBlanks" dxfId="1902" priority="1920">
      <formula>LEN(TRIM(G37))=0</formula>
    </cfRule>
  </conditionalFormatting>
  <conditionalFormatting sqref="F37">
    <cfRule type="expression" dxfId="1901" priority="1915">
      <formula>AND($D37="MIN",$F37&lt;&gt;"")</formula>
    </cfRule>
    <cfRule type="expression" dxfId="1900" priority="1916">
      <formula>AND($D37="MIN",$F37="")</formula>
    </cfRule>
    <cfRule type="containsBlanks" dxfId="1899" priority="1917">
      <formula>LEN(TRIM(F37))=0</formula>
    </cfRule>
  </conditionalFormatting>
  <conditionalFormatting sqref="G37">
    <cfRule type="expression" dxfId="1898" priority="1912">
      <formula>AND(OR($D37="GD&amp;T",$D37="MAX"),$G37&lt;&gt;"")</formula>
    </cfRule>
    <cfRule type="expression" dxfId="1897" priority="1913">
      <formula>AND(OR($D37="GD&amp;T",$D37="MAX"),$G37="")</formula>
    </cfRule>
    <cfRule type="containsBlanks" dxfId="1896" priority="1914">
      <formula>LEN(TRIM(G37))=0</formula>
    </cfRule>
  </conditionalFormatting>
  <conditionalFormatting sqref="F37">
    <cfRule type="expression" dxfId="1895" priority="1909">
      <formula>AND($D37="MIN",$F37&lt;&gt;"")</formula>
    </cfRule>
    <cfRule type="expression" dxfId="1894" priority="1910">
      <formula>AND($D37="MIN",$F37="")</formula>
    </cfRule>
    <cfRule type="containsBlanks" dxfId="1893" priority="1911">
      <formula>LEN(TRIM(F37))=0</formula>
    </cfRule>
  </conditionalFormatting>
  <conditionalFormatting sqref="G37">
    <cfRule type="expression" dxfId="1892" priority="1906">
      <formula>AND(OR($D37="GD&amp;T",$D37="MAX"),$G37&lt;&gt;"")</formula>
    </cfRule>
    <cfRule type="expression" dxfId="1891" priority="1907">
      <formula>AND(OR($D37="GD&amp;T",$D37="MAX"),$G37="")</formula>
    </cfRule>
    <cfRule type="containsBlanks" dxfId="1890" priority="1908">
      <formula>LEN(TRIM(G37))=0</formula>
    </cfRule>
  </conditionalFormatting>
  <conditionalFormatting sqref="F37">
    <cfRule type="expression" dxfId="1889" priority="1903">
      <formula>AND($D37="MIN",$F37&lt;&gt;"")</formula>
    </cfRule>
    <cfRule type="expression" dxfId="1888" priority="1904">
      <formula>AND($D37="MIN",$F37="")</formula>
    </cfRule>
    <cfRule type="containsBlanks" dxfId="1887" priority="1905">
      <formula>LEN(TRIM(F37))=0</formula>
    </cfRule>
  </conditionalFormatting>
  <conditionalFormatting sqref="G37">
    <cfRule type="expression" dxfId="1886" priority="1900">
      <formula>AND(OR($D37="GD&amp;T",$D37="MAX"),$G37&lt;&gt;"")</formula>
    </cfRule>
    <cfRule type="expression" dxfId="1885" priority="1901">
      <formula>AND(OR($D37="GD&amp;T",$D37="MAX"),$G37="")</formula>
    </cfRule>
    <cfRule type="containsBlanks" dxfId="1884" priority="1902">
      <formula>LEN(TRIM(G37))=0</formula>
    </cfRule>
  </conditionalFormatting>
  <conditionalFormatting sqref="F37">
    <cfRule type="expression" dxfId="1883" priority="1897">
      <formula>AND($D37="MIN",$F37&lt;&gt;"")</formula>
    </cfRule>
    <cfRule type="expression" dxfId="1882" priority="1898">
      <formula>AND($D37="MIN",$F37="")</formula>
    </cfRule>
    <cfRule type="containsBlanks" dxfId="1881" priority="1899">
      <formula>LEN(TRIM(F37))=0</formula>
    </cfRule>
  </conditionalFormatting>
  <conditionalFormatting sqref="G37">
    <cfRule type="expression" dxfId="1880" priority="1894">
      <formula>AND(OR($D37="GD&amp;T",$D37="MAX"),$G37&lt;&gt;"")</formula>
    </cfRule>
    <cfRule type="expression" dxfId="1879" priority="1895">
      <formula>AND(OR($D37="GD&amp;T",$D37="MAX"),$G37="")</formula>
    </cfRule>
    <cfRule type="containsBlanks" dxfId="1878" priority="1896">
      <formula>LEN(TRIM(G37))=0</formula>
    </cfRule>
  </conditionalFormatting>
  <conditionalFormatting sqref="F37">
    <cfRule type="expression" dxfId="1877" priority="1891">
      <formula>AND($D37="MIN",$F37&lt;&gt;"")</formula>
    </cfRule>
    <cfRule type="expression" dxfId="1876" priority="1892">
      <formula>AND($D37="MIN",$F37="")</formula>
    </cfRule>
    <cfRule type="containsBlanks" dxfId="1875" priority="1893">
      <formula>LEN(TRIM(F37))=0</formula>
    </cfRule>
  </conditionalFormatting>
  <conditionalFormatting sqref="F37">
    <cfRule type="expression" dxfId="1874" priority="1888">
      <formula>AND($D37="MIN",$F37&lt;&gt;"")</formula>
    </cfRule>
    <cfRule type="expression" dxfId="1873" priority="1889">
      <formula>AND($D37="MIN",$F37="")</formula>
    </cfRule>
    <cfRule type="containsBlanks" dxfId="1872" priority="1890">
      <formula>LEN(TRIM(F37))=0</formula>
    </cfRule>
  </conditionalFormatting>
  <conditionalFormatting sqref="F37">
    <cfRule type="expression" dxfId="1871" priority="1885">
      <formula>AND($D37="MIN",$F37&lt;&gt;"")</formula>
    </cfRule>
    <cfRule type="expression" dxfId="1870" priority="1886">
      <formula>AND($D37="MIN",$F37="")</formula>
    </cfRule>
    <cfRule type="containsBlanks" dxfId="1869" priority="1887">
      <formula>LEN(TRIM(F37))=0</formula>
    </cfRule>
  </conditionalFormatting>
  <conditionalFormatting sqref="F37">
    <cfRule type="expression" dxfId="1868" priority="1882">
      <formula>AND($D37="MIN",$F37&lt;&gt;"")</formula>
    </cfRule>
    <cfRule type="expression" dxfId="1867" priority="1883">
      <formula>AND($D37="MIN",$F37="")</formula>
    </cfRule>
    <cfRule type="containsBlanks" dxfId="1866" priority="1884">
      <formula>LEN(TRIM(F37))=0</formula>
    </cfRule>
  </conditionalFormatting>
  <conditionalFormatting sqref="F37">
    <cfRule type="expression" dxfId="1865" priority="1879">
      <formula>AND($D37="MIN",$F37&lt;&gt;"")</formula>
    </cfRule>
    <cfRule type="expression" dxfId="1864" priority="1880">
      <formula>AND($D37="MIN",$F37="")</formula>
    </cfRule>
    <cfRule type="containsBlanks" dxfId="1863" priority="1881">
      <formula>LEN(TRIM(F37))=0</formula>
    </cfRule>
  </conditionalFormatting>
  <conditionalFormatting sqref="F37">
    <cfRule type="expression" dxfId="1862" priority="1876">
      <formula>AND($D37="MIN",$F37&lt;&gt;"")</formula>
    </cfRule>
    <cfRule type="expression" dxfId="1861" priority="1877">
      <formula>AND($D37="MIN",$F37="")</formula>
    </cfRule>
    <cfRule type="containsBlanks" dxfId="1860" priority="1878">
      <formula>LEN(TRIM(F37))=0</formula>
    </cfRule>
  </conditionalFormatting>
  <conditionalFormatting sqref="G37">
    <cfRule type="expression" dxfId="1859" priority="1873">
      <formula>AND(OR($D37="GD&amp;T",$D37="MAX"),$G37&lt;&gt;"")</formula>
    </cfRule>
    <cfRule type="expression" dxfId="1858" priority="1874">
      <formula>AND(OR($D37="GD&amp;T",$D37="MAX"),$G37="")</formula>
    </cfRule>
    <cfRule type="containsBlanks" dxfId="1857" priority="1875">
      <formula>LEN(TRIM(G37))=0</formula>
    </cfRule>
  </conditionalFormatting>
  <conditionalFormatting sqref="F37">
    <cfRule type="expression" dxfId="1856" priority="1870">
      <formula>AND($D37="MIN",$F37&lt;&gt;"")</formula>
    </cfRule>
    <cfRule type="expression" dxfId="1855" priority="1871">
      <formula>AND($D37="MIN",$F37="")</formula>
    </cfRule>
    <cfRule type="containsBlanks" dxfId="1854" priority="1872">
      <formula>LEN(TRIM(F37))=0</formula>
    </cfRule>
  </conditionalFormatting>
  <conditionalFormatting sqref="G37">
    <cfRule type="expression" dxfId="1853" priority="1867">
      <formula>AND(OR($D37="GD&amp;T",$D37="MAX"),$G37&lt;&gt;"")</formula>
    </cfRule>
    <cfRule type="expression" dxfId="1852" priority="1868">
      <formula>AND(OR($D37="GD&amp;T",$D37="MAX"),$G37="")</formula>
    </cfRule>
    <cfRule type="containsBlanks" dxfId="1851" priority="1869">
      <formula>LEN(TRIM(G37))=0</formula>
    </cfRule>
  </conditionalFormatting>
  <conditionalFormatting sqref="F37">
    <cfRule type="expression" dxfId="1850" priority="1864">
      <formula>AND($D37="MIN",$F37&lt;&gt;"")</formula>
    </cfRule>
    <cfRule type="expression" dxfId="1849" priority="1865">
      <formula>AND($D37="MIN",$F37="")</formula>
    </cfRule>
    <cfRule type="containsBlanks" dxfId="1848" priority="1866">
      <formula>LEN(TRIM(F37))=0</formula>
    </cfRule>
  </conditionalFormatting>
  <conditionalFormatting sqref="G37">
    <cfRule type="expression" dxfId="1847" priority="1861">
      <formula>AND(OR($D37="GD&amp;T",$D37="MAX"),$G37&lt;&gt;"")</formula>
    </cfRule>
    <cfRule type="expression" dxfId="1846" priority="1862">
      <formula>AND(OR($D37="GD&amp;T",$D37="MAX"),$G37="")</formula>
    </cfRule>
    <cfRule type="containsBlanks" dxfId="1845" priority="1863">
      <formula>LEN(TRIM(G37))=0</formula>
    </cfRule>
  </conditionalFormatting>
  <conditionalFormatting sqref="F37">
    <cfRule type="expression" dxfId="1844" priority="1858">
      <formula>AND($D37="MIN",$F37&lt;&gt;"")</formula>
    </cfRule>
    <cfRule type="expression" dxfId="1843" priority="1859">
      <formula>AND($D37="MIN",$F37="")</formula>
    </cfRule>
    <cfRule type="containsBlanks" dxfId="1842" priority="1860">
      <formula>LEN(TRIM(F37))=0</formula>
    </cfRule>
  </conditionalFormatting>
  <conditionalFormatting sqref="G37">
    <cfRule type="expression" dxfId="1841" priority="1855">
      <formula>AND(OR($D37="GD&amp;T",$D37="MAX"),$G37&lt;&gt;"")</formula>
    </cfRule>
    <cfRule type="expression" dxfId="1840" priority="1856">
      <formula>AND(OR($D37="GD&amp;T",$D37="MAX"),$G37="")</formula>
    </cfRule>
    <cfRule type="containsBlanks" dxfId="1839" priority="1857">
      <formula>LEN(TRIM(G37))=0</formula>
    </cfRule>
  </conditionalFormatting>
  <conditionalFormatting sqref="G37">
    <cfRule type="expression" dxfId="1838" priority="1852">
      <formula>AND(OR($D37="GD&amp;T",$D37="MAX"),$G37&lt;&gt;"")</formula>
    </cfRule>
    <cfRule type="expression" dxfId="1837" priority="1853">
      <formula>AND(OR($D37="GD&amp;T",$D37="MAX"),$G37="")</formula>
    </cfRule>
    <cfRule type="containsBlanks" dxfId="1836" priority="1854">
      <formula>LEN(TRIM(G37))=0</formula>
    </cfRule>
  </conditionalFormatting>
  <conditionalFormatting sqref="G37">
    <cfRule type="expression" dxfId="1835" priority="1849">
      <formula>AND(OR($D37="GD&amp;T",$D37="MAX"),$G37&lt;&gt;"")</formula>
    </cfRule>
    <cfRule type="expression" dxfId="1834" priority="1850">
      <formula>AND(OR($D37="GD&amp;T",$D37="MAX"),$G37="")</formula>
    </cfRule>
    <cfRule type="containsBlanks" dxfId="1833" priority="1851">
      <formula>LEN(TRIM(G37))=0</formula>
    </cfRule>
  </conditionalFormatting>
  <conditionalFormatting sqref="G37">
    <cfRule type="expression" dxfId="1832" priority="1846">
      <formula>AND(OR($D37="GD&amp;T",$D37="MAX"),$G37&lt;&gt;"")</formula>
    </cfRule>
    <cfRule type="expression" dxfId="1831" priority="1847">
      <formula>AND(OR($D37="GD&amp;T",$D37="MAX"),$G37="")</formula>
    </cfRule>
    <cfRule type="containsBlanks" dxfId="1830" priority="1848">
      <formula>LEN(TRIM(G37))=0</formula>
    </cfRule>
  </conditionalFormatting>
  <conditionalFormatting sqref="G37">
    <cfRule type="expression" dxfId="1829" priority="1843">
      <formula>AND(OR($D37="GD&amp;T",$D37="MAX"),$G37&lt;&gt;"")</formula>
    </cfRule>
    <cfRule type="expression" dxfId="1828" priority="1844">
      <formula>AND(OR($D37="GD&amp;T",$D37="MAX"),$G37="")</formula>
    </cfRule>
    <cfRule type="containsBlanks" dxfId="1827" priority="1845">
      <formula>LEN(TRIM(G37))=0</formula>
    </cfRule>
  </conditionalFormatting>
  <conditionalFormatting sqref="G37">
    <cfRule type="expression" dxfId="1826" priority="1840">
      <formula>AND(OR($D37="GD&amp;T",$D37="MAX"),$G37&lt;&gt;"")</formula>
    </cfRule>
    <cfRule type="expression" dxfId="1825" priority="1841">
      <formula>AND(OR($D37="GD&amp;T",$D37="MAX"),$G37="")</formula>
    </cfRule>
    <cfRule type="containsBlanks" dxfId="1824" priority="1842">
      <formula>LEN(TRIM(G37))=0</formula>
    </cfRule>
  </conditionalFormatting>
  <conditionalFormatting sqref="F37">
    <cfRule type="expression" dxfId="1823" priority="1837">
      <formula>AND($D37="MIN",$F37&lt;&gt;"")</formula>
    </cfRule>
    <cfRule type="expression" dxfId="1822" priority="1838">
      <formula>AND($D37="MIN",$F37="")</formula>
    </cfRule>
    <cfRule type="containsBlanks" dxfId="1821" priority="1839">
      <formula>LEN(TRIM(F37))=0</formula>
    </cfRule>
  </conditionalFormatting>
  <conditionalFormatting sqref="F37">
    <cfRule type="expression" dxfId="1820" priority="1834">
      <formula>AND($D37="MIN",$F37&lt;&gt;"")</formula>
    </cfRule>
    <cfRule type="expression" dxfId="1819" priority="1835">
      <formula>AND($D37="MIN",$F37="")</formula>
    </cfRule>
    <cfRule type="containsBlanks" dxfId="1818" priority="1836">
      <formula>LEN(TRIM(F37))=0</formula>
    </cfRule>
  </conditionalFormatting>
  <conditionalFormatting sqref="F37">
    <cfRule type="expression" dxfId="1817" priority="1831">
      <formula>AND($D37="MIN",$F37&lt;&gt;"")</formula>
    </cfRule>
    <cfRule type="expression" dxfId="1816" priority="1832">
      <formula>AND($D37="MIN",$F37="")</formula>
    </cfRule>
    <cfRule type="containsBlanks" dxfId="1815" priority="1833">
      <formula>LEN(TRIM(F37))=0</formula>
    </cfRule>
  </conditionalFormatting>
  <conditionalFormatting sqref="F37">
    <cfRule type="expression" dxfId="1814" priority="1828">
      <formula>AND($D37="MIN",$F37&lt;&gt;"")</formula>
    </cfRule>
    <cfRule type="expression" dxfId="1813" priority="1829">
      <formula>AND($D37="MIN",$F37="")</formula>
    </cfRule>
    <cfRule type="containsBlanks" dxfId="1812" priority="1830">
      <formula>LEN(TRIM(F37))=0</formula>
    </cfRule>
  </conditionalFormatting>
  <conditionalFormatting sqref="F37">
    <cfRule type="expression" dxfId="1811" priority="1825">
      <formula>AND($D37="MIN",$F37&lt;&gt;"")</formula>
    </cfRule>
    <cfRule type="expression" dxfId="1810" priority="1826">
      <formula>AND($D37="MIN",$F37="")</formula>
    </cfRule>
    <cfRule type="containsBlanks" dxfId="1809" priority="1827">
      <formula>LEN(TRIM(F37))=0</formula>
    </cfRule>
  </conditionalFormatting>
  <conditionalFormatting sqref="F37">
    <cfRule type="expression" dxfId="1808" priority="1822">
      <formula>AND($D37="MIN",$F37&lt;&gt;"")</formula>
    </cfRule>
    <cfRule type="expression" dxfId="1807" priority="1823">
      <formula>AND($D37="MIN",$F37="")</formula>
    </cfRule>
    <cfRule type="containsBlanks" dxfId="1806" priority="1824">
      <formula>LEN(TRIM(F37))=0</formula>
    </cfRule>
  </conditionalFormatting>
  <conditionalFormatting sqref="G37">
    <cfRule type="expression" dxfId="1805" priority="1819">
      <formula>AND(OR($D37="GD&amp;T",$D37="MAX"),$G37&lt;&gt;"")</formula>
    </cfRule>
    <cfRule type="expression" dxfId="1804" priority="1820">
      <formula>AND(OR($D37="GD&amp;T",$D37="MAX"),$G37="")</formula>
    </cfRule>
    <cfRule type="containsBlanks" dxfId="1803" priority="1821">
      <formula>LEN(TRIM(G37))=0</formula>
    </cfRule>
  </conditionalFormatting>
  <conditionalFormatting sqref="F37">
    <cfRule type="expression" dxfId="1802" priority="1816">
      <formula>AND($D37="MIN",$F37&lt;&gt;"")</formula>
    </cfRule>
    <cfRule type="expression" dxfId="1801" priority="1817">
      <formula>AND($D37="MIN",$F37="")</formula>
    </cfRule>
    <cfRule type="containsBlanks" dxfId="1800" priority="1818">
      <formula>LEN(TRIM(F37))=0</formula>
    </cfRule>
  </conditionalFormatting>
  <conditionalFormatting sqref="G37">
    <cfRule type="expression" dxfId="1799" priority="1813">
      <formula>AND(OR($D37="GD&amp;T",$D37="MAX"),$G37&lt;&gt;"")</formula>
    </cfRule>
    <cfRule type="expression" dxfId="1798" priority="1814">
      <formula>AND(OR($D37="GD&amp;T",$D37="MAX"),$G37="")</formula>
    </cfRule>
    <cfRule type="containsBlanks" dxfId="1797" priority="1815">
      <formula>LEN(TRIM(G37))=0</formula>
    </cfRule>
  </conditionalFormatting>
  <conditionalFormatting sqref="F37">
    <cfRule type="expression" dxfId="1796" priority="1810">
      <formula>AND($D37="MIN",$F37&lt;&gt;"")</formula>
    </cfRule>
    <cfRule type="expression" dxfId="1795" priority="1811">
      <formula>AND($D37="MIN",$F37="")</formula>
    </cfRule>
    <cfRule type="containsBlanks" dxfId="1794" priority="1812">
      <formula>LEN(TRIM(F37))=0</formula>
    </cfRule>
  </conditionalFormatting>
  <conditionalFormatting sqref="G37">
    <cfRule type="expression" dxfId="1793" priority="1807">
      <formula>AND(OR($D37="GD&amp;T",$D37="MAX"),$G37&lt;&gt;"")</formula>
    </cfRule>
    <cfRule type="expression" dxfId="1792" priority="1808">
      <formula>AND(OR($D37="GD&amp;T",$D37="MAX"),$G37="")</formula>
    </cfRule>
    <cfRule type="containsBlanks" dxfId="1791" priority="1809">
      <formula>LEN(TRIM(G37))=0</formula>
    </cfRule>
  </conditionalFormatting>
  <conditionalFormatting sqref="F37">
    <cfRule type="expression" dxfId="1790" priority="1804">
      <formula>AND($D37="MIN",$F37&lt;&gt;"")</formula>
    </cfRule>
    <cfRule type="expression" dxfId="1789" priority="1805">
      <formula>AND($D37="MIN",$F37="")</formula>
    </cfRule>
    <cfRule type="containsBlanks" dxfId="1788" priority="1806">
      <formula>LEN(TRIM(F37))=0</formula>
    </cfRule>
  </conditionalFormatting>
  <conditionalFormatting sqref="G37">
    <cfRule type="expression" dxfId="1787" priority="1801">
      <formula>AND(OR($D37="GD&amp;T",$D37="MAX"),$G37&lt;&gt;"")</formula>
    </cfRule>
    <cfRule type="expression" dxfId="1786" priority="1802">
      <formula>AND(OR($D37="GD&amp;T",$D37="MAX"),$G37="")</formula>
    </cfRule>
    <cfRule type="containsBlanks" dxfId="1785" priority="1803">
      <formula>LEN(TRIM(G37))=0</formula>
    </cfRule>
  </conditionalFormatting>
  <conditionalFormatting sqref="F37">
    <cfRule type="expression" dxfId="1784" priority="1798">
      <formula>AND($D37="MIN",$F37&lt;&gt;"")</formula>
    </cfRule>
    <cfRule type="expression" dxfId="1783" priority="1799">
      <formula>AND($D37="MIN",$F37="")</formula>
    </cfRule>
    <cfRule type="containsBlanks" dxfId="1782" priority="1800">
      <formula>LEN(TRIM(F37))=0</formula>
    </cfRule>
  </conditionalFormatting>
  <conditionalFormatting sqref="G37">
    <cfRule type="expression" dxfId="1781" priority="1795">
      <formula>AND(OR($D37="GD&amp;T",$D37="MAX"),$G37&lt;&gt;"")</formula>
    </cfRule>
    <cfRule type="expression" dxfId="1780" priority="1796">
      <formula>AND(OR($D37="GD&amp;T",$D37="MAX"),$G37="")</formula>
    </cfRule>
    <cfRule type="containsBlanks" dxfId="1779" priority="1797">
      <formula>LEN(TRIM(G37))=0</formula>
    </cfRule>
  </conditionalFormatting>
  <conditionalFormatting sqref="F37">
    <cfRule type="expression" dxfId="1778" priority="1792">
      <formula>AND($D37="MIN",$F37&lt;&gt;"")</formula>
    </cfRule>
    <cfRule type="expression" dxfId="1777" priority="1793">
      <formula>AND($D37="MIN",$F37="")</formula>
    </cfRule>
    <cfRule type="containsBlanks" dxfId="1776" priority="1794">
      <formula>LEN(TRIM(F37))=0</formula>
    </cfRule>
  </conditionalFormatting>
  <conditionalFormatting sqref="G37">
    <cfRule type="expression" dxfId="1775" priority="1789">
      <formula>AND(OR($D37="GD&amp;T",$D37="MAX"),$G37&lt;&gt;"")</formula>
    </cfRule>
    <cfRule type="expression" dxfId="1774" priority="1790">
      <formula>AND(OR($D37="GD&amp;T",$D37="MAX"),$G37="")</formula>
    </cfRule>
    <cfRule type="containsBlanks" dxfId="1773" priority="1791">
      <formula>LEN(TRIM(G37))=0</formula>
    </cfRule>
  </conditionalFormatting>
  <conditionalFormatting sqref="F37">
    <cfRule type="expression" dxfId="1772" priority="1786">
      <formula>AND($D37="MIN",$F37&lt;&gt;"")</formula>
    </cfRule>
    <cfRule type="expression" dxfId="1771" priority="1787">
      <formula>AND($D37="MIN",$F37="")</formula>
    </cfRule>
    <cfRule type="containsBlanks" dxfId="1770" priority="1788">
      <formula>LEN(TRIM(F37))=0</formula>
    </cfRule>
  </conditionalFormatting>
  <conditionalFormatting sqref="G37">
    <cfRule type="expression" dxfId="1769" priority="1783">
      <formula>AND(OR($D37="GD&amp;T",$D37="MAX"),$G37&lt;&gt;"")</formula>
    </cfRule>
    <cfRule type="expression" dxfId="1768" priority="1784">
      <formula>AND(OR($D37="GD&amp;T",$D37="MAX"),$G37="")</formula>
    </cfRule>
    <cfRule type="containsBlanks" dxfId="1767" priority="1785">
      <formula>LEN(TRIM(G37))=0</formula>
    </cfRule>
  </conditionalFormatting>
  <conditionalFormatting sqref="F37">
    <cfRule type="expression" dxfId="1766" priority="1780">
      <formula>AND($D37="MIN",$F37&lt;&gt;"")</formula>
    </cfRule>
    <cfRule type="expression" dxfId="1765" priority="1781">
      <formula>AND($D37="MIN",$F37="")</formula>
    </cfRule>
    <cfRule type="containsBlanks" dxfId="1764" priority="1782">
      <formula>LEN(TRIM(F37))=0</formula>
    </cfRule>
  </conditionalFormatting>
  <conditionalFormatting sqref="G37">
    <cfRule type="expression" dxfId="1763" priority="1777">
      <formula>AND(OR($D37="GD&amp;T",$D37="MAX"),$G37&lt;&gt;"")</formula>
    </cfRule>
    <cfRule type="expression" dxfId="1762" priority="1778">
      <formula>AND(OR($D37="GD&amp;T",$D37="MAX"),$G37="")</formula>
    </cfRule>
    <cfRule type="containsBlanks" dxfId="1761" priority="1779">
      <formula>LEN(TRIM(G37))=0</formula>
    </cfRule>
  </conditionalFormatting>
  <conditionalFormatting sqref="F37">
    <cfRule type="expression" dxfId="1760" priority="1774">
      <formula>AND($D37="MIN",$F37&lt;&gt;"")</formula>
    </cfRule>
    <cfRule type="expression" dxfId="1759" priority="1775">
      <formula>AND($D37="MIN",$F37="")</formula>
    </cfRule>
    <cfRule type="containsBlanks" dxfId="1758" priority="1776">
      <formula>LEN(TRIM(F37))=0</formula>
    </cfRule>
  </conditionalFormatting>
  <conditionalFormatting sqref="F37">
    <cfRule type="expression" dxfId="1757" priority="1771">
      <formula>AND($D37="MIN",$F37&lt;&gt;"")</formula>
    </cfRule>
    <cfRule type="expression" dxfId="1756" priority="1772">
      <formula>AND($D37="MIN",$F37="")</formula>
    </cfRule>
    <cfRule type="containsBlanks" dxfId="1755" priority="1773">
      <formula>LEN(TRIM(F37))=0</formula>
    </cfRule>
  </conditionalFormatting>
  <conditionalFormatting sqref="F37">
    <cfRule type="expression" dxfId="1754" priority="1768">
      <formula>AND($D37="MIN",$F37&lt;&gt;"")</formula>
    </cfRule>
    <cfRule type="expression" dxfId="1753" priority="1769">
      <formula>AND($D37="MIN",$F37="")</formula>
    </cfRule>
    <cfRule type="containsBlanks" dxfId="1752" priority="1770">
      <formula>LEN(TRIM(F37))=0</formula>
    </cfRule>
  </conditionalFormatting>
  <conditionalFormatting sqref="F37">
    <cfRule type="expression" dxfId="1751" priority="1765">
      <formula>AND($D37="MIN",$F37&lt;&gt;"")</formula>
    </cfRule>
    <cfRule type="expression" dxfId="1750" priority="1766">
      <formula>AND($D37="MIN",$F37="")</formula>
    </cfRule>
    <cfRule type="containsBlanks" dxfId="1749" priority="1767">
      <formula>LEN(TRIM(F37))=0</formula>
    </cfRule>
  </conditionalFormatting>
  <conditionalFormatting sqref="F37">
    <cfRule type="expression" dxfId="1748" priority="1762">
      <formula>AND($D37="MIN",$F37&lt;&gt;"")</formula>
    </cfRule>
    <cfRule type="expression" dxfId="1747" priority="1763">
      <formula>AND($D37="MIN",$F37="")</formula>
    </cfRule>
    <cfRule type="containsBlanks" dxfId="1746" priority="1764">
      <formula>LEN(TRIM(F37))=0</formula>
    </cfRule>
  </conditionalFormatting>
  <conditionalFormatting sqref="F38">
    <cfRule type="expression" dxfId="1745" priority="1759">
      <formula>AND($D38="MIN",$F38&lt;&gt;"")</formula>
    </cfRule>
    <cfRule type="expression" dxfId="1744" priority="1760">
      <formula>AND($D38="MIN",$F38="")</formula>
    </cfRule>
    <cfRule type="containsBlanks" dxfId="1743" priority="1761">
      <formula>LEN(TRIM(F38))=0</formula>
    </cfRule>
  </conditionalFormatting>
  <conditionalFormatting sqref="G38">
    <cfRule type="expression" dxfId="1742" priority="1756">
      <formula>AND(OR($D38="GD&amp;T",$D38="MAX"),$G38&lt;&gt;"")</formula>
    </cfRule>
    <cfRule type="expression" dxfId="1741" priority="1757">
      <formula>AND(OR($D38="GD&amp;T",$D38="MAX"),$G38="")</formula>
    </cfRule>
    <cfRule type="containsBlanks" dxfId="1740" priority="1758">
      <formula>LEN(TRIM(G38))=0</formula>
    </cfRule>
  </conditionalFormatting>
  <conditionalFormatting sqref="F38">
    <cfRule type="expression" dxfId="1739" priority="1753">
      <formula>AND($D38="MIN",$F38&lt;&gt;"")</formula>
    </cfRule>
    <cfRule type="expression" dxfId="1738" priority="1754">
      <formula>AND($D38="MIN",$F38="")</formula>
    </cfRule>
    <cfRule type="containsBlanks" dxfId="1737" priority="1755">
      <formula>LEN(TRIM(F38))=0</formula>
    </cfRule>
  </conditionalFormatting>
  <conditionalFormatting sqref="G38">
    <cfRule type="expression" dxfId="1736" priority="1750">
      <formula>AND(OR($D38="GD&amp;T",$D38="MAX"),$G38&lt;&gt;"")</formula>
    </cfRule>
    <cfRule type="expression" dxfId="1735" priority="1751">
      <formula>AND(OR($D38="GD&amp;T",$D38="MAX"),$G38="")</formula>
    </cfRule>
    <cfRule type="containsBlanks" dxfId="1734" priority="1752">
      <formula>LEN(TRIM(G38))=0</formula>
    </cfRule>
  </conditionalFormatting>
  <conditionalFormatting sqref="F38">
    <cfRule type="expression" dxfId="1733" priority="1747">
      <formula>AND($D38="MIN",$F38&lt;&gt;"")</formula>
    </cfRule>
    <cfRule type="expression" dxfId="1732" priority="1748">
      <formula>AND($D38="MIN",$F38="")</formula>
    </cfRule>
    <cfRule type="containsBlanks" dxfId="1731" priority="1749">
      <formula>LEN(TRIM(F38))=0</formula>
    </cfRule>
  </conditionalFormatting>
  <conditionalFormatting sqref="G38">
    <cfRule type="expression" dxfId="1730" priority="1744">
      <formula>AND(OR($D38="GD&amp;T",$D38="MAX"),$G38&lt;&gt;"")</formula>
    </cfRule>
    <cfRule type="expression" dxfId="1729" priority="1745">
      <formula>AND(OR($D38="GD&amp;T",$D38="MAX"),$G38="")</formula>
    </cfRule>
    <cfRule type="containsBlanks" dxfId="1728" priority="1746">
      <formula>LEN(TRIM(G38))=0</formula>
    </cfRule>
  </conditionalFormatting>
  <conditionalFormatting sqref="F38">
    <cfRule type="expression" dxfId="1727" priority="1741">
      <formula>AND($D38="MIN",$F38&lt;&gt;"")</formula>
    </cfRule>
    <cfRule type="expression" dxfId="1726" priority="1742">
      <formula>AND($D38="MIN",$F38="")</formula>
    </cfRule>
    <cfRule type="containsBlanks" dxfId="1725" priority="1743">
      <formula>LEN(TRIM(F38))=0</formula>
    </cfRule>
  </conditionalFormatting>
  <conditionalFormatting sqref="G38">
    <cfRule type="expression" dxfId="1724" priority="1738">
      <formula>AND(OR($D38="GD&amp;T",$D38="MAX"),$G38&lt;&gt;"")</formula>
    </cfRule>
    <cfRule type="expression" dxfId="1723" priority="1739">
      <formula>AND(OR($D38="GD&amp;T",$D38="MAX"),$G38="")</formula>
    </cfRule>
    <cfRule type="containsBlanks" dxfId="1722" priority="1740">
      <formula>LEN(TRIM(G38))=0</formula>
    </cfRule>
  </conditionalFormatting>
  <conditionalFormatting sqref="G38">
    <cfRule type="expression" dxfId="1721" priority="1735">
      <formula>AND(OR($D38="GD&amp;T",$D38="MAX"),$G38&lt;&gt;"")</formula>
    </cfRule>
    <cfRule type="expression" dxfId="1720" priority="1736">
      <formula>AND(OR($D38="GD&amp;T",$D38="MAX"),$G38="")</formula>
    </cfRule>
    <cfRule type="containsBlanks" dxfId="1719" priority="1737">
      <formula>LEN(TRIM(G38))=0</formula>
    </cfRule>
  </conditionalFormatting>
  <conditionalFormatting sqref="G38">
    <cfRule type="expression" dxfId="1718" priority="1732">
      <formula>AND(OR($D38="GD&amp;T",$D38="MAX"),$G38&lt;&gt;"")</formula>
    </cfRule>
    <cfRule type="expression" dxfId="1717" priority="1733">
      <formula>AND(OR($D38="GD&amp;T",$D38="MAX"),$G38="")</formula>
    </cfRule>
    <cfRule type="containsBlanks" dxfId="1716" priority="1734">
      <formula>LEN(TRIM(G38))=0</formula>
    </cfRule>
  </conditionalFormatting>
  <conditionalFormatting sqref="G38">
    <cfRule type="expression" dxfId="1715" priority="1729">
      <formula>AND(OR($D38="GD&amp;T",$D38="MAX"),$G38&lt;&gt;"")</formula>
    </cfRule>
    <cfRule type="expression" dxfId="1714" priority="1730">
      <formula>AND(OR($D38="GD&amp;T",$D38="MAX"),$G38="")</formula>
    </cfRule>
    <cfRule type="containsBlanks" dxfId="1713" priority="1731">
      <formula>LEN(TRIM(G38))=0</formula>
    </cfRule>
  </conditionalFormatting>
  <conditionalFormatting sqref="G38">
    <cfRule type="expression" dxfId="1712" priority="1726">
      <formula>AND(OR($D38="GD&amp;T",$D38="MAX"),$G38&lt;&gt;"")</formula>
    </cfRule>
    <cfRule type="expression" dxfId="1711" priority="1727">
      <formula>AND(OR($D38="GD&amp;T",$D38="MAX"),$G38="")</formula>
    </cfRule>
    <cfRule type="containsBlanks" dxfId="1710" priority="1728">
      <formula>LEN(TRIM(G38))=0</formula>
    </cfRule>
  </conditionalFormatting>
  <conditionalFormatting sqref="G38">
    <cfRule type="expression" dxfId="1709" priority="1723">
      <formula>AND(OR($D38="GD&amp;T",$D38="MAX"),$G38&lt;&gt;"")</formula>
    </cfRule>
    <cfRule type="expression" dxfId="1708" priority="1724">
      <formula>AND(OR($D38="GD&amp;T",$D38="MAX"),$G38="")</formula>
    </cfRule>
    <cfRule type="containsBlanks" dxfId="1707" priority="1725">
      <formula>LEN(TRIM(G38))=0</formula>
    </cfRule>
  </conditionalFormatting>
  <conditionalFormatting sqref="F38">
    <cfRule type="expression" dxfId="1706" priority="1720">
      <formula>AND($D38="MIN",$F38&lt;&gt;"")</formula>
    </cfRule>
    <cfRule type="expression" dxfId="1705" priority="1721">
      <formula>AND($D38="MIN",$F38="")</formula>
    </cfRule>
    <cfRule type="containsBlanks" dxfId="1704" priority="1722">
      <formula>LEN(TRIM(F38))=0</formula>
    </cfRule>
  </conditionalFormatting>
  <conditionalFormatting sqref="F38">
    <cfRule type="expression" dxfId="1703" priority="1717">
      <formula>AND($D38="MIN",$F38&lt;&gt;"")</formula>
    </cfRule>
    <cfRule type="expression" dxfId="1702" priority="1718">
      <formula>AND($D38="MIN",$F38="")</formula>
    </cfRule>
    <cfRule type="containsBlanks" dxfId="1701" priority="1719">
      <formula>LEN(TRIM(F38))=0</formula>
    </cfRule>
  </conditionalFormatting>
  <conditionalFormatting sqref="F38">
    <cfRule type="expression" dxfId="1700" priority="1714">
      <formula>AND($D38="MIN",$F38&lt;&gt;"")</formula>
    </cfRule>
    <cfRule type="expression" dxfId="1699" priority="1715">
      <formula>AND($D38="MIN",$F38="")</formula>
    </cfRule>
    <cfRule type="containsBlanks" dxfId="1698" priority="1716">
      <formula>LEN(TRIM(F38))=0</formula>
    </cfRule>
  </conditionalFormatting>
  <conditionalFormatting sqref="F38">
    <cfRule type="expression" dxfId="1697" priority="1711">
      <formula>AND($D38="MIN",$F38&lt;&gt;"")</formula>
    </cfRule>
    <cfRule type="expression" dxfId="1696" priority="1712">
      <formula>AND($D38="MIN",$F38="")</formula>
    </cfRule>
    <cfRule type="containsBlanks" dxfId="1695" priority="1713">
      <formula>LEN(TRIM(F38))=0</formula>
    </cfRule>
  </conditionalFormatting>
  <conditionalFormatting sqref="F38">
    <cfRule type="expression" dxfId="1694" priority="1708">
      <formula>AND($D38="MIN",$F38&lt;&gt;"")</formula>
    </cfRule>
    <cfRule type="expression" dxfId="1693" priority="1709">
      <formula>AND($D38="MIN",$F38="")</formula>
    </cfRule>
    <cfRule type="containsBlanks" dxfId="1692" priority="1710">
      <formula>LEN(TRIM(F38))=0</formula>
    </cfRule>
  </conditionalFormatting>
  <conditionalFormatting sqref="F38">
    <cfRule type="expression" dxfId="1691" priority="1705">
      <formula>AND($D38="MIN",$F38&lt;&gt;"")</formula>
    </cfRule>
    <cfRule type="expression" dxfId="1690" priority="1706">
      <formula>AND($D38="MIN",$F38="")</formula>
    </cfRule>
    <cfRule type="containsBlanks" dxfId="1689" priority="1707">
      <formula>LEN(TRIM(F38))=0</formula>
    </cfRule>
  </conditionalFormatting>
  <conditionalFormatting sqref="G38">
    <cfRule type="expression" dxfId="1688" priority="1702">
      <formula>AND(OR($D38="GD&amp;T",$D38="MAX"),$G38&lt;&gt;"")</formula>
    </cfRule>
    <cfRule type="expression" dxfId="1687" priority="1703">
      <formula>AND(OR($D38="GD&amp;T",$D38="MAX"),$G38="")</formula>
    </cfRule>
    <cfRule type="containsBlanks" dxfId="1686" priority="1704">
      <formula>LEN(TRIM(G38))=0</formula>
    </cfRule>
  </conditionalFormatting>
  <conditionalFormatting sqref="F38">
    <cfRule type="expression" dxfId="1685" priority="1699">
      <formula>AND($D38="MIN",$F38&lt;&gt;"")</formula>
    </cfRule>
    <cfRule type="expression" dxfId="1684" priority="1700">
      <formula>AND($D38="MIN",$F38="")</formula>
    </cfRule>
    <cfRule type="containsBlanks" dxfId="1683" priority="1701">
      <formula>LEN(TRIM(F38))=0</formula>
    </cfRule>
  </conditionalFormatting>
  <conditionalFormatting sqref="G38">
    <cfRule type="expression" dxfId="1682" priority="1696">
      <formula>AND(OR($D38="GD&amp;T",$D38="MAX"),$G38&lt;&gt;"")</formula>
    </cfRule>
    <cfRule type="expression" dxfId="1681" priority="1697">
      <formula>AND(OR($D38="GD&amp;T",$D38="MAX"),$G38="")</formula>
    </cfRule>
    <cfRule type="containsBlanks" dxfId="1680" priority="1698">
      <formula>LEN(TRIM(G38))=0</formula>
    </cfRule>
  </conditionalFormatting>
  <conditionalFormatting sqref="F38">
    <cfRule type="expression" dxfId="1679" priority="1693">
      <formula>AND($D38="MIN",$F38&lt;&gt;"")</formula>
    </cfRule>
    <cfRule type="expression" dxfId="1678" priority="1694">
      <formula>AND($D38="MIN",$F38="")</formula>
    </cfRule>
    <cfRule type="containsBlanks" dxfId="1677" priority="1695">
      <formula>LEN(TRIM(F38))=0</formula>
    </cfRule>
  </conditionalFormatting>
  <conditionalFormatting sqref="G38">
    <cfRule type="expression" dxfId="1676" priority="1690">
      <formula>AND(OR($D38="GD&amp;T",$D38="MAX"),$G38&lt;&gt;"")</formula>
    </cfRule>
    <cfRule type="expression" dxfId="1675" priority="1691">
      <formula>AND(OR($D38="GD&amp;T",$D38="MAX"),$G38="")</formula>
    </cfRule>
    <cfRule type="containsBlanks" dxfId="1674" priority="1692">
      <formula>LEN(TRIM(G38))=0</formula>
    </cfRule>
  </conditionalFormatting>
  <conditionalFormatting sqref="F38">
    <cfRule type="expression" dxfId="1673" priority="1687">
      <formula>AND($D38="MIN",$F38&lt;&gt;"")</formula>
    </cfRule>
    <cfRule type="expression" dxfId="1672" priority="1688">
      <formula>AND($D38="MIN",$F38="")</formula>
    </cfRule>
    <cfRule type="containsBlanks" dxfId="1671" priority="1689">
      <formula>LEN(TRIM(F38))=0</formula>
    </cfRule>
  </conditionalFormatting>
  <conditionalFormatting sqref="G38">
    <cfRule type="expression" dxfId="1670" priority="1684">
      <formula>AND(OR($D38="GD&amp;T",$D38="MAX"),$G38&lt;&gt;"")</formula>
    </cfRule>
    <cfRule type="expression" dxfId="1669" priority="1685">
      <formula>AND(OR($D38="GD&amp;T",$D38="MAX"),$G38="")</formula>
    </cfRule>
    <cfRule type="containsBlanks" dxfId="1668" priority="1686">
      <formula>LEN(TRIM(G38))=0</formula>
    </cfRule>
  </conditionalFormatting>
  <conditionalFormatting sqref="G38">
    <cfRule type="expression" dxfId="1667" priority="1681">
      <formula>AND(OR($D38="GD&amp;T",$D38="MAX"),$G38&lt;&gt;"")</formula>
    </cfRule>
    <cfRule type="expression" dxfId="1666" priority="1682">
      <formula>AND(OR($D38="GD&amp;T",$D38="MAX"),$G38="")</formula>
    </cfRule>
    <cfRule type="containsBlanks" dxfId="1665" priority="1683">
      <formula>LEN(TRIM(G38))=0</formula>
    </cfRule>
  </conditionalFormatting>
  <conditionalFormatting sqref="G38">
    <cfRule type="expression" dxfId="1664" priority="1678">
      <formula>AND(OR($D38="GD&amp;T",$D38="MAX"),$G38&lt;&gt;"")</formula>
    </cfRule>
    <cfRule type="expression" dxfId="1663" priority="1679">
      <formula>AND(OR($D38="GD&amp;T",$D38="MAX"),$G38="")</formula>
    </cfRule>
    <cfRule type="containsBlanks" dxfId="1662" priority="1680">
      <formula>LEN(TRIM(G38))=0</formula>
    </cfRule>
  </conditionalFormatting>
  <conditionalFormatting sqref="G38">
    <cfRule type="expression" dxfId="1661" priority="1675">
      <formula>AND(OR($D38="GD&amp;T",$D38="MAX"),$G38&lt;&gt;"")</formula>
    </cfRule>
    <cfRule type="expression" dxfId="1660" priority="1676">
      <formula>AND(OR($D38="GD&amp;T",$D38="MAX"),$G38="")</formula>
    </cfRule>
    <cfRule type="containsBlanks" dxfId="1659" priority="1677">
      <formula>LEN(TRIM(G38))=0</formula>
    </cfRule>
  </conditionalFormatting>
  <conditionalFormatting sqref="G38">
    <cfRule type="expression" dxfId="1658" priority="1672">
      <formula>AND(OR($D38="GD&amp;T",$D38="MAX"),$G38&lt;&gt;"")</formula>
    </cfRule>
    <cfRule type="expression" dxfId="1657" priority="1673">
      <formula>AND(OR($D38="GD&amp;T",$D38="MAX"),$G38="")</formula>
    </cfRule>
    <cfRule type="containsBlanks" dxfId="1656" priority="1674">
      <formula>LEN(TRIM(G38))=0</formula>
    </cfRule>
  </conditionalFormatting>
  <conditionalFormatting sqref="G38">
    <cfRule type="expression" dxfId="1655" priority="1669">
      <formula>AND(OR($D38="GD&amp;T",$D38="MAX"),$G38&lt;&gt;"")</formula>
    </cfRule>
    <cfRule type="expression" dxfId="1654" priority="1670">
      <formula>AND(OR($D38="GD&amp;T",$D38="MAX"),$G38="")</formula>
    </cfRule>
    <cfRule type="containsBlanks" dxfId="1653" priority="1671">
      <formula>LEN(TRIM(G38))=0</formula>
    </cfRule>
  </conditionalFormatting>
  <conditionalFormatting sqref="F38">
    <cfRule type="expression" dxfId="1652" priority="1666">
      <formula>AND($D38="MIN",$F38&lt;&gt;"")</formula>
    </cfRule>
    <cfRule type="expression" dxfId="1651" priority="1667">
      <formula>AND($D38="MIN",$F38="")</formula>
    </cfRule>
    <cfRule type="containsBlanks" dxfId="1650" priority="1668">
      <formula>LEN(TRIM(F38))=0</formula>
    </cfRule>
  </conditionalFormatting>
  <conditionalFormatting sqref="F38">
    <cfRule type="expression" dxfId="1649" priority="1663">
      <formula>AND($D38="MIN",$F38&lt;&gt;"")</formula>
    </cfRule>
    <cfRule type="expression" dxfId="1648" priority="1664">
      <formula>AND($D38="MIN",$F38="")</formula>
    </cfRule>
    <cfRule type="containsBlanks" dxfId="1647" priority="1665">
      <formula>LEN(TRIM(F38))=0</formula>
    </cfRule>
  </conditionalFormatting>
  <conditionalFormatting sqref="F38">
    <cfRule type="expression" dxfId="1646" priority="1660">
      <formula>AND($D38="MIN",$F38&lt;&gt;"")</formula>
    </cfRule>
    <cfRule type="expression" dxfId="1645" priority="1661">
      <formula>AND($D38="MIN",$F38="")</formula>
    </cfRule>
    <cfRule type="containsBlanks" dxfId="1644" priority="1662">
      <formula>LEN(TRIM(F38))=0</formula>
    </cfRule>
  </conditionalFormatting>
  <conditionalFormatting sqref="F38">
    <cfRule type="expression" dxfId="1643" priority="1657">
      <formula>AND($D38="MIN",$F38&lt;&gt;"")</formula>
    </cfRule>
    <cfRule type="expression" dxfId="1642" priority="1658">
      <formula>AND($D38="MIN",$F38="")</formula>
    </cfRule>
    <cfRule type="containsBlanks" dxfId="1641" priority="1659">
      <formula>LEN(TRIM(F38))=0</formula>
    </cfRule>
  </conditionalFormatting>
  <conditionalFormatting sqref="F38">
    <cfRule type="expression" dxfId="1640" priority="1654">
      <formula>AND($D38="MIN",$F38&lt;&gt;"")</formula>
    </cfRule>
    <cfRule type="expression" dxfId="1639" priority="1655">
      <formula>AND($D38="MIN",$F38="")</formula>
    </cfRule>
    <cfRule type="containsBlanks" dxfId="1638" priority="1656">
      <formula>LEN(TRIM(F38))=0</formula>
    </cfRule>
  </conditionalFormatting>
  <conditionalFormatting sqref="F38">
    <cfRule type="expression" dxfId="1637" priority="1651">
      <formula>AND($D38="MIN",$F38&lt;&gt;"")</formula>
    </cfRule>
    <cfRule type="expression" dxfId="1636" priority="1652">
      <formula>AND($D38="MIN",$F38="")</formula>
    </cfRule>
    <cfRule type="containsBlanks" dxfId="1635" priority="1653">
      <formula>LEN(TRIM(F38))=0</formula>
    </cfRule>
  </conditionalFormatting>
  <conditionalFormatting sqref="G38">
    <cfRule type="expression" dxfId="1634" priority="1648">
      <formula>AND(OR($D38="GD&amp;T",$D38="MAX"),$G38&lt;&gt;"")</formula>
    </cfRule>
    <cfRule type="expression" dxfId="1633" priority="1649">
      <formula>AND(OR($D38="GD&amp;T",$D38="MAX"),$G38="")</formula>
    </cfRule>
    <cfRule type="containsBlanks" dxfId="1632" priority="1650">
      <formula>LEN(TRIM(G38))=0</formula>
    </cfRule>
  </conditionalFormatting>
  <conditionalFormatting sqref="F38">
    <cfRule type="expression" dxfId="1631" priority="1645">
      <formula>AND($D38="MIN",$F38&lt;&gt;"")</formula>
    </cfRule>
    <cfRule type="expression" dxfId="1630" priority="1646">
      <formula>AND($D38="MIN",$F38="")</formula>
    </cfRule>
    <cfRule type="containsBlanks" dxfId="1629" priority="1647">
      <formula>LEN(TRIM(F38))=0</formula>
    </cfRule>
  </conditionalFormatting>
  <conditionalFormatting sqref="G38">
    <cfRule type="expression" dxfId="1628" priority="1642">
      <formula>AND(OR($D38="GD&amp;T",$D38="MAX"),$G38&lt;&gt;"")</formula>
    </cfRule>
    <cfRule type="expression" dxfId="1627" priority="1643">
      <formula>AND(OR($D38="GD&amp;T",$D38="MAX"),$G38="")</formula>
    </cfRule>
    <cfRule type="containsBlanks" dxfId="1626" priority="1644">
      <formula>LEN(TRIM(G38))=0</formula>
    </cfRule>
  </conditionalFormatting>
  <conditionalFormatting sqref="F38">
    <cfRule type="expression" dxfId="1625" priority="1639">
      <formula>AND($D38="MIN",$F38&lt;&gt;"")</formula>
    </cfRule>
    <cfRule type="expression" dxfId="1624" priority="1640">
      <formula>AND($D38="MIN",$F38="")</formula>
    </cfRule>
    <cfRule type="containsBlanks" dxfId="1623" priority="1641">
      <formula>LEN(TRIM(F38))=0</formula>
    </cfRule>
  </conditionalFormatting>
  <conditionalFormatting sqref="G38">
    <cfRule type="expression" dxfId="1622" priority="1636">
      <formula>AND(OR($D38="GD&amp;T",$D38="MAX"),$G38&lt;&gt;"")</formula>
    </cfRule>
    <cfRule type="expression" dxfId="1621" priority="1637">
      <formula>AND(OR($D38="GD&amp;T",$D38="MAX"),$G38="")</formula>
    </cfRule>
    <cfRule type="containsBlanks" dxfId="1620" priority="1638">
      <formula>LEN(TRIM(G38))=0</formula>
    </cfRule>
  </conditionalFormatting>
  <conditionalFormatting sqref="F38">
    <cfRule type="expression" dxfId="1619" priority="1633">
      <formula>AND($D38="MIN",$F38&lt;&gt;"")</formula>
    </cfRule>
    <cfRule type="expression" dxfId="1618" priority="1634">
      <formula>AND($D38="MIN",$F38="")</formula>
    </cfRule>
    <cfRule type="containsBlanks" dxfId="1617" priority="1635">
      <formula>LEN(TRIM(F38))=0</formula>
    </cfRule>
  </conditionalFormatting>
  <conditionalFormatting sqref="G38">
    <cfRule type="expression" dxfId="1616" priority="1630">
      <formula>AND(OR($D38="GD&amp;T",$D38="MAX"),$G38&lt;&gt;"")</formula>
    </cfRule>
    <cfRule type="expression" dxfId="1615" priority="1631">
      <formula>AND(OR($D38="GD&amp;T",$D38="MAX"),$G38="")</formula>
    </cfRule>
    <cfRule type="containsBlanks" dxfId="1614" priority="1632">
      <formula>LEN(TRIM(G38))=0</formula>
    </cfRule>
  </conditionalFormatting>
  <conditionalFormatting sqref="F38">
    <cfRule type="expression" dxfId="1613" priority="1627">
      <formula>AND($D38="MIN",$F38&lt;&gt;"")</formula>
    </cfRule>
    <cfRule type="expression" dxfId="1612" priority="1628">
      <formula>AND($D38="MIN",$F38="")</formula>
    </cfRule>
    <cfRule type="containsBlanks" dxfId="1611" priority="1629">
      <formula>LEN(TRIM(F38))=0</formula>
    </cfRule>
  </conditionalFormatting>
  <conditionalFormatting sqref="G38">
    <cfRule type="expression" dxfId="1610" priority="1624">
      <formula>AND(OR($D38="GD&amp;T",$D38="MAX"),$G38&lt;&gt;"")</formula>
    </cfRule>
    <cfRule type="expression" dxfId="1609" priority="1625">
      <formula>AND(OR($D38="GD&amp;T",$D38="MAX"),$G38="")</formula>
    </cfRule>
    <cfRule type="containsBlanks" dxfId="1608" priority="1626">
      <formula>LEN(TRIM(G38))=0</formula>
    </cfRule>
  </conditionalFormatting>
  <conditionalFormatting sqref="F38">
    <cfRule type="expression" dxfId="1607" priority="1621">
      <formula>AND($D38="MIN",$F38&lt;&gt;"")</formula>
    </cfRule>
    <cfRule type="expression" dxfId="1606" priority="1622">
      <formula>AND($D38="MIN",$F38="")</formula>
    </cfRule>
    <cfRule type="containsBlanks" dxfId="1605" priority="1623">
      <formula>LEN(TRIM(F38))=0</formula>
    </cfRule>
  </conditionalFormatting>
  <conditionalFormatting sqref="G38">
    <cfRule type="expression" dxfId="1604" priority="1618">
      <formula>AND(OR($D38="GD&amp;T",$D38="MAX"),$G38&lt;&gt;"")</formula>
    </cfRule>
    <cfRule type="expression" dxfId="1603" priority="1619">
      <formula>AND(OR($D38="GD&amp;T",$D38="MAX"),$G38="")</formula>
    </cfRule>
    <cfRule type="containsBlanks" dxfId="1602" priority="1620">
      <formula>LEN(TRIM(G38))=0</formula>
    </cfRule>
  </conditionalFormatting>
  <conditionalFormatting sqref="F38">
    <cfRule type="expression" dxfId="1601" priority="1615">
      <formula>AND($D38="MIN",$F38&lt;&gt;"")</formula>
    </cfRule>
    <cfRule type="expression" dxfId="1600" priority="1616">
      <formula>AND($D38="MIN",$F38="")</formula>
    </cfRule>
    <cfRule type="containsBlanks" dxfId="1599" priority="1617">
      <formula>LEN(TRIM(F38))=0</formula>
    </cfRule>
  </conditionalFormatting>
  <conditionalFormatting sqref="G38">
    <cfRule type="expression" dxfId="1598" priority="1612">
      <formula>AND(OR($D38="GD&amp;T",$D38="MAX"),$G38&lt;&gt;"")</formula>
    </cfRule>
    <cfRule type="expression" dxfId="1597" priority="1613">
      <formula>AND(OR($D38="GD&amp;T",$D38="MAX"),$G38="")</formula>
    </cfRule>
    <cfRule type="containsBlanks" dxfId="1596" priority="1614">
      <formula>LEN(TRIM(G38))=0</formula>
    </cfRule>
  </conditionalFormatting>
  <conditionalFormatting sqref="F38">
    <cfRule type="expression" dxfId="1595" priority="1609">
      <formula>AND($D38="MIN",$F38&lt;&gt;"")</formula>
    </cfRule>
    <cfRule type="expression" dxfId="1594" priority="1610">
      <formula>AND($D38="MIN",$F38="")</formula>
    </cfRule>
    <cfRule type="containsBlanks" dxfId="1593" priority="1611">
      <formula>LEN(TRIM(F38))=0</formula>
    </cfRule>
  </conditionalFormatting>
  <conditionalFormatting sqref="G38">
    <cfRule type="expression" dxfId="1592" priority="1606">
      <formula>AND(OR($D38="GD&amp;T",$D38="MAX"),$G38&lt;&gt;"")</formula>
    </cfRule>
    <cfRule type="expression" dxfId="1591" priority="1607">
      <formula>AND(OR($D38="GD&amp;T",$D38="MAX"),$G38="")</formula>
    </cfRule>
    <cfRule type="containsBlanks" dxfId="1590" priority="1608">
      <formula>LEN(TRIM(G38))=0</formula>
    </cfRule>
  </conditionalFormatting>
  <conditionalFormatting sqref="F38">
    <cfRule type="expression" dxfId="1589" priority="1603">
      <formula>AND($D38="MIN",$F38&lt;&gt;"")</formula>
    </cfRule>
    <cfRule type="expression" dxfId="1588" priority="1604">
      <formula>AND($D38="MIN",$F38="")</formula>
    </cfRule>
    <cfRule type="containsBlanks" dxfId="1587" priority="1605">
      <formula>LEN(TRIM(F38))=0</formula>
    </cfRule>
  </conditionalFormatting>
  <conditionalFormatting sqref="F38">
    <cfRule type="expression" dxfId="1586" priority="1600">
      <formula>AND($D38="MIN",$F38&lt;&gt;"")</formula>
    </cfRule>
    <cfRule type="expression" dxfId="1585" priority="1601">
      <formula>AND($D38="MIN",$F38="")</formula>
    </cfRule>
    <cfRule type="containsBlanks" dxfId="1584" priority="1602">
      <formula>LEN(TRIM(F38))=0</formula>
    </cfRule>
  </conditionalFormatting>
  <conditionalFormatting sqref="F38">
    <cfRule type="expression" dxfId="1583" priority="1597">
      <formula>AND($D38="MIN",$F38&lt;&gt;"")</formula>
    </cfRule>
    <cfRule type="expression" dxfId="1582" priority="1598">
      <formula>AND($D38="MIN",$F38="")</formula>
    </cfRule>
    <cfRule type="containsBlanks" dxfId="1581" priority="1599">
      <formula>LEN(TRIM(F38))=0</formula>
    </cfRule>
  </conditionalFormatting>
  <conditionalFormatting sqref="F38">
    <cfRule type="expression" dxfId="1580" priority="1594">
      <formula>AND($D38="MIN",$F38&lt;&gt;"")</formula>
    </cfRule>
    <cfRule type="expression" dxfId="1579" priority="1595">
      <formula>AND($D38="MIN",$F38="")</formula>
    </cfRule>
    <cfRule type="containsBlanks" dxfId="1578" priority="1596">
      <formula>LEN(TRIM(F38))=0</formula>
    </cfRule>
  </conditionalFormatting>
  <conditionalFormatting sqref="F38">
    <cfRule type="expression" dxfId="1577" priority="1591">
      <formula>AND($D38="MIN",$F38&lt;&gt;"")</formula>
    </cfRule>
    <cfRule type="expression" dxfId="1576" priority="1592">
      <formula>AND($D38="MIN",$F38="")</formula>
    </cfRule>
    <cfRule type="containsBlanks" dxfId="1575" priority="1593">
      <formula>LEN(TRIM(F38))=0</formula>
    </cfRule>
  </conditionalFormatting>
  <conditionalFormatting sqref="F38">
    <cfRule type="expression" dxfId="1574" priority="1588">
      <formula>AND($D38="MIN",$F38&lt;&gt;"")</formula>
    </cfRule>
    <cfRule type="expression" dxfId="1573" priority="1589">
      <formula>AND($D38="MIN",$F38="")</formula>
    </cfRule>
    <cfRule type="containsBlanks" dxfId="1572" priority="1590">
      <formula>LEN(TRIM(F38))=0</formula>
    </cfRule>
  </conditionalFormatting>
  <conditionalFormatting sqref="G38">
    <cfRule type="expression" dxfId="1571" priority="1585">
      <formula>AND(OR($D38="GD&amp;T",$D38="MAX"),$G38&lt;&gt;"")</formula>
    </cfRule>
    <cfRule type="expression" dxfId="1570" priority="1586">
      <formula>AND(OR($D38="GD&amp;T",$D38="MAX"),$G38="")</formula>
    </cfRule>
    <cfRule type="containsBlanks" dxfId="1569" priority="1587">
      <formula>LEN(TRIM(G38))=0</formula>
    </cfRule>
  </conditionalFormatting>
  <conditionalFormatting sqref="F38">
    <cfRule type="expression" dxfId="1568" priority="1582">
      <formula>AND($D38="MIN",$F38&lt;&gt;"")</formula>
    </cfRule>
    <cfRule type="expression" dxfId="1567" priority="1583">
      <formula>AND($D38="MIN",$F38="")</formula>
    </cfRule>
    <cfRule type="containsBlanks" dxfId="1566" priority="1584">
      <formula>LEN(TRIM(F38))=0</formula>
    </cfRule>
  </conditionalFormatting>
  <conditionalFormatting sqref="G38">
    <cfRule type="expression" dxfId="1565" priority="1579">
      <formula>AND(OR($D38="GD&amp;T",$D38="MAX"),$G38&lt;&gt;"")</formula>
    </cfRule>
    <cfRule type="expression" dxfId="1564" priority="1580">
      <formula>AND(OR($D38="GD&amp;T",$D38="MAX"),$G38="")</formula>
    </cfRule>
    <cfRule type="containsBlanks" dxfId="1563" priority="1581">
      <formula>LEN(TRIM(G38))=0</formula>
    </cfRule>
  </conditionalFormatting>
  <conditionalFormatting sqref="F38">
    <cfRule type="expression" dxfId="1562" priority="1576">
      <formula>AND($D38="MIN",$F38&lt;&gt;"")</formula>
    </cfRule>
    <cfRule type="expression" dxfId="1561" priority="1577">
      <formula>AND($D38="MIN",$F38="")</formula>
    </cfRule>
    <cfRule type="containsBlanks" dxfId="1560" priority="1578">
      <formula>LEN(TRIM(F38))=0</formula>
    </cfRule>
  </conditionalFormatting>
  <conditionalFormatting sqref="G38">
    <cfRule type="expression" dxfId="1559" priority="1573">
      <formula>AND(OR($D38="GD&amp;T",$D38="MAX"),$G38&lt;&gt;"")</formula>
    </cfRule>
    <cfRule type="expression" dxfId="1558" priority="1574">
      <formula>AND(OR($D38="GD&amp;T",$D38="MAX"),$G38="")</formula>
    </cfRule>
    <cfRule type="containsBlanks" dxfId="1557" priority="1575">
      <formula>LEN(TRIM(G38))=0</formula>
    </cfRule>
  </conditionalFormatting>
  <conditionalFormatting sqref="F38">
    <cfRule type="expression" dxfId="1556" priority="1570">
      <formula>AND($D38="MIN",$F38&lt;&gt;"")</formula>
    </cfRule>
    <cfRule type="expression" dxfId="1555" priority="1571">
      <formula>AND($D38="MIN",$F38="")</formula>
    </cfRule>
    <cfRule type="containsBlanks" dxfId="1554" priority="1572">
      <formula>LEN(TRIM(F38))=0</formula>
    </cfRule>
  </conditionalFormatting>
  <conditionalFormatting sqref="G38">
    <cfRule type="expression" dxfId="1553" priority="1567">
      <formula>AND(OR($D38="GD&amp;T",$D38="MAX"),$G38&lt;&gt;"")</formula>
    </cfRule>
    <cfRule type="expression" dxfId="1552" priority="1568">
      <formula>AND(OR($D38="GD&amp;T",$D38="MAX"),$G38="")</formula>
    </cfRule>
    <cfRule type="containsBlanks" dxfId="1551" priority="1569">
      <formula>LEN(TRIM(G38))=0</formula>
    </cfRule>
  </conditionalFormatting>
  <conditionalFormatting sqref="G38">
    <cfRule type="expression" dxfId="1550" priority="1564">
      <formula>AND(OR($D38="GD&amp;T",$D38="MAX"),$G38&lt;&gt;"")</formula>
    </cfRule>
    <cfRule type="expression" dxfId="1549" priority="1565">
      <formula>AND(OR($D38="GD&amp;T",$D38="MAX"),$G38="")</formula>
    </cfRule>
    <cfRule type="containsBlanks" dxfId="1548" priority="1566">
      <formula>LEN(TRIM(G38))=0</formula>
    </cfRule>
  </conditionalFormatting>
  <conditionalFormatting sqref="G38">
    <cfRule type="expression" dxfId="1547" priority="1561">
      <formula>AND(OR($D38="GD&amp;T",$D38="MAX"),$G38&lt;&gt;"")</formula>
    </cfRule>
    <cfRule type="expression" dxfId="1546" priority="1562">
      <formula>AND(OR($D38="GD&amp;T",$D38="MAX"),$G38="")</formula>
    </cfRule>
    <cfRule type="containsBlanks" dxfId="1545" priority="1563">
      <formula>LEN(TRIM(G38))=0</formula>
    </cfRule>
  </conditionalFormatting>
  <conditionalFormatting sqref="G38">
    <cfRule type="expression" dxfId="1544" priority="1558">
      <formula>AND(OR($D38="GD&amp;T",$D38="MAX"),$G38&lt;&gt;"")</formula>
    </cfRule>
    <cfRule type="expression" dxfId="1543" priority="1559">
      <formula>AND(OR($D38="GD&amp;T",$D38="MAX"),$G38="")</formula>
    </cfRule>
    <cfRule type="containsBlanks" dxfId="1542" priority="1560">
      <formula>LEN(TRIM(G38))=0</formula>
    </cfRule>
  </conditionalFormatting>
  <conditionalFormatting sqref="G38">
    <cfRule type="expression" dxfId="1541" priority="1555">
      <formula>AND(OR($D38="GD&amp;T",$D38="MAX"),$G38&lt;&gt;"")</formula>
    </cfRule>
    <cfRule type="expression" dxfId="1540" priority="1556">
      <formula>AND(OR($D38="GD&amp;T",$D38="MAX"),$G38="")</formula>
    </cfRule>
    <cfRule type="containsBlanks" dxfId="1539" priority="1557">
      <formula>LEN(TRIM(G38))=0</formula>
    </cfRule>
  </conditionalFormatting>
  <conditionalFormatting sqref="G38">
    <cfRule type="expression" dxfId="1538" priority="1552">
      <formula>AND(OR($D38="GD&amp;T",$D38="MAX"),$G38&lt;&gt;"")</formula>
    </cfRule>
    <cfRule type="expression" dxfId="1537" priority="1553">
      <formula>AND(OR($D38="GD&amp;T",$D38="MAX"),$G38="")</formula>
    </cfRule>
    <cfRule type="containsBlanks" dxfId="1536" priority="1554">
      <formula>LEN(TRIM(G38))=0</formula>
    </cfRule>
  </conditionalFormatting>
  <conditionalFormatting sqref="F38">
    <cfRule type="expression" dxfId="1535" priority="1549">
      <formula>AND($D38="MIN",$F38&lt;&gt;"")</formula>
    </cfRule>
    <cfRule type="expression" dxfId="1534" priority="1550">
      <formula>AND($D38="MIN",$F38="")</formula>
    </cfRule>
    <cfRule type="containsBlanks" dxfId="1533" priority="1551">
      <formula>LEN(TRIM(F38))=0</formula>
    </cfRule>
  </conditionalFormatting>
  <conditionalFormatting sqref="F38">
    <cfRule type="expression" dxfId="1532" priority="1546">
      <formula>AND($D38="MIN",$F38&lt;&gt;"")</formula>
    </cfRule>
    <cfRule type="expression" dxfId="1531" priority="1547">
      <formula>AND($D38="MIN",$F38="")</formula>
    </cfRule>
    <cfRule type="containsBlanks" dxfId="1530" priority="1548">
      <formula>LEN(TRIM(F38))=0</formula>
    </cfRule>
  </conditionalFormatting>
  <conditionalFormatting sqref="F38">
    <cfRule type="expression" dxfId="1529" priority="1543">
      <formula>AND($D38="MIN",$F38&lt;&gt;"")</formula>
    </cfRule>
    <cfRule type="expression" dxfId="1528" priority="1544">
      <formula>AND($D38="MIN",$F38="")</formula>
    </cfRule>
    <cfRule type="containsBlanks" dxfId="1527" priority="1545">
      <formula>LEN(TRIM(F38))=0</formula>
    </cfRule>
  </conditionalFormatting>
  <conditionalFormatting sqref="F38">
    <cfRule type="expression" dxfId="1526" priority="1540">
      <formula>AND($D38="MIN",$F38&lt;&gt;"")</formula>
    </cfRule>
    <cfRule type="expression" dxfId="1525" priority="1541">
      <formula>AND($D38="MIN",$F38="")</formula>
    </cfRule>
    <cfRule type="containsBlanks" dxfId="1524" priority="1542">
      <formula>LEN(TRIM(F38))=0</formula>
    </cfRule>
  </conditionalFormatting>
  <conditionalFormatting sqref="F38">
    <cfRule type="expression" dxfId="1523" priority="1537">
      <formula>AND($D38="MIN",$F38&lt;&gt;"")</formula>
    </cfRule>
    <cfRule type="expression" dxfId="1522" priority="1538">
      <formula>AND($D38="MIN",$F38="")</formula>
    </cfRule>
    <cfRule type="containsBlanks" dxfId="1521" priority="1539">
      <formula>LEN(TRIM(F38))=0</formula>
    </cfRule>
  </conditionalFormatting>
  <conditionalFormatting sqref="F38">
    <cfRule type="expression" dxfId="1520" priority="1534">
      <formula>AND($D38="MIN",$F38&lt;&gt;"")</formula>
    </cfRule>
    <cfRule type="expression" dxfId="1519" priority="1535">
      <formula>AND($D38="MIN",$F38="")</formula>
    </cfRule>
    <cfRule type="containsBlanks" dxfId="1518" priority="1536">
      <formula>LEN(TRIM(F38))=0</formula>
    </cfRule>
  </conditionalFormatting>
  <conditionalFormatting sqref="G38">
    <cfRule type="expression" dxfId="1517" priority="1531">
      <formula>AND(OR($D38="GD&amp;T",$D38="MAX"),$G38&lt;&gt;"")</formula>
    </cfRule>
    <cfRule type="expression" dxfId="1516" priority="1532">
      <formula>AND(OR($D38="GD&amp;T",$D38="MAX"),$G38="")</formula>
    </cfRule>
    <cfRule type="containsBlanks" dxfId="1515" priority="1533">
      <formula>LEN(TRIM(G38))=0</formula>
    </cfRule>
  </conditionalFormatting>
  <conditionalFormatting sqref="F38">
    <cfRule type="expression" dxfId="1514" priority="1528">
      <formula>AND($D38="MIN",$F38&lt;&gt;"")</formula>
    </cfRule>
    <cfRule type="expression" dxfId="1513" priority="1529">
      <formula>AND($D38="MIN",$F38="")</formula>
    </cfRule>
    <cfRule type="containsBlanks" dxfId="1512" priority="1530">
      <formula>LEN(TRIM(F38))=0</formula>
    </cfRule>
  </conditionalFormatting>
  <conditionalFormatting sqref="G38">
    <cfRule type="expression" dxfId="1511" priority="1525">
      <formula>AND(OR($D38="GD&amp;T",$D38="MAX"),$G38&lt;&gt;"")</formula>
    </cfRule>
    <cfRule type="expression" dxfId="1510" priority="1526">
      <formula>AND(OR($D38="GD&amp;T",$D38="MAX"),$G38="")</formula>
    </cfRule>
    <cfRule type="containsBlanks" dxfId="1509" priority="1527">
      <formula>LEN(TRIM(G38))=0</formula>
    </cfRule>
  </conditionalFormatting>
  <conditionalFormatting sqref="F38">
    <cfRule type="expression" dxfId="1508" priority="1522">
      <formula>AND($D38="MIN",$F38&lt;&gt;"")</formula>
    </cfRule>
    <cfRule type="expression" dxfId="1507" priority="1523">
      <formula>AND($D38="MIN",$F38="")</formula>
    </cfRule>
    <cfRule type="containsBlanks" dxfId="1506" priority="1524">
      <formula>LEN(TRIM(F38))=0</formula>
    </cfRule>
  </conditionalFormatting>
  <conditionalFormatting sqref="G38">
    <cfRule type="expression" dxfId="1505" priority="1519">
      <formula>AND(OR($D38="GD&amp;T",$D38="MAX"),$G38&lt;&gt;"")</formula>
    </cfRule>
    <cfRule type="expression" dxfId="1504" priority="1520">
      <formula>AND(OR($D38="GD&amp;T",$D38="MAX"),$G38="")</formula>
    </cfRule>
    <cfRule type="containsBlanks" dxfId="1503" priority="1521">
      <formula>LEN(TRIM(G38))=0</formula>
    </cfRule>
  </conditionalFormatting>
  <conditionalFormatting sqref="F38">
    <cfRule type="expression" dxfId="1502" priority="1516">
      <formula>AND($D38="MIN",$F38&lt;&gt;"")</formula>
    </cfRule>
    <cfRule type="expression" dxfId="1501" priority="1517">
      <formula>AND($D38="MIN",$F38="")</formula>
    </cfRule>
    <cfRule type="containsBlanks" dxfId="1500" priority="1518">
      <formula>LEN(TRIM(F38))=0</formula>
    </cfRule>
  </conditionalFormatting>
  <conditionalFormatting sqref="G38">
    <cfRule type="expression" dxfId="1499" priority="1513">
      <formula>AND(OR($D38="GD&amp;T",$D38="MAX"),$G38&lt;&gt;"")</formula>
    </cfRule>
    <cfRule type="expression" dxfId="1498" priority="1514">
      <formula>AND(OR($D38="GD&amp;T",$D38="MAX"),$G38="")</formula>
    </cfRule>
    <cfRule type="containsBlanks" dxfId="1497" priority="1515">
      <formula>LEN(TRIM(G38))=0</formula>
    </cfRule>
  </conditionalFormatting>
  <conditionalFormatting sqref="F38">
    <cfRule type="expression" dxfId="1496" priority="1510">
      <formula>AND($D38="MIN",$F38&lt;&gt;"")</formula>
    </cfRule>
    <cfRule type="expression" dxfId="1495" priority="1511">
      <formula>AND($D38="MIN",$F38="")</formula>
    </cfRule>
    <cfRule type="containsBlanks" dxfId="1494" priority="1512">
      <formula>LEN(TRIM(F38))=0</formula>
    </cfRule>
  </conditionalFormatting>
  <conditionalFormatting sqref="G38">
    <cfRule type="expression" dxfId="1493" priority="1507">
      <formula>AND(OR($D38="GD&amp;T",$D38="MAX"),$G38&lt;&gt;"")</formula>
    </cfRule>
    <cfRule type="expression" dxfId="1492" priority="1508">
      <formula>AND(OR($D38="GD&amp;T",$D38="MAX"),$G38="")</formula>
    </cfRule>
    <cfRule type="containsBlanks" dxfId="1491" priority="1509">
      <formula>LEN(TRIM(G38))=0</formula>
    </cfRule>
  </conditionalFormatting>
  <conditionalFormatting sqref="F38">
    <cfRule type="expression" dxfId="1490" priority="1504">
      <formula>AND($D38="MIN",$F38&lt;&gt;"")</formula>
    </cfRule>
    <cfRule type="expression" dxfId="1489" priority="1505">
      <formula>AND($D38="MIN",$F38="")</formula>
    </cfRule>
    <cfRule type="containsBlanks" dxfId="1488" priority="1506">
      <formula>LEN(TRIM(F38))=0</formula>
    </cfRule>
  </conditionalFormatting>
  <conditionalFormatting sqref="G38">
    <cfRule type="expression" dxfId="1487" priority="1501">
      <formula>AND(OR($D38="GD&amp;T",$D38="MAX"),$G38&lt;&gt;"")</formula>
    </cfRule>
    <cfRule type="expression" dxfId="1486" priority="1502">
      <formula>AND(OR($D38="GD&amp;T",$D38="MAX"),$G38="")</formula>
    </cfRule>
    <cfRule type="containsBlanks" dxfId="1485" priority="1503">
      <formula>LEN(TRIM(G38))=0</formula>
    </cfRule>
  </conditionalFormatting>
  <conditionalFormatting sqref="F38">
    <cfRule type="expression" dxfId="1484" priority="1498">
      <formula>AND($D38="MIN",$F38&lt;&gt;"")</formula>
    </cfRule>
    <cfRule type="expression" dxfId="1483" priority="1499">
      <formula>AND($D38="MIN",$F38="")</formula>
    </cfRule>
    <cfRule type="containsBlanks" dxfId="1482" priority="1500">
      <formula>LEN(TRIM(F38))=0</formula>
    </cfRule>
  </conditionalFormatting>
  <conditionalFormatting sqref="G38">
    <cfRule type="expression" dxfId="1481" priority="1495">
      <formula>AND(OR($D38="GD&amp;T",$D38="MAX"),$G38&lt;&gt;"")</formula>
    </cfRule>
    <cfRule type="expression" dxfId="1480" priority="1496">
      <formula>AND(OR($D38="GD&amp;T",$D38="MAX"),$G38="")</formula>
    </cfRule>
    <cfRule type="containsBlanks" dxfId="1479" priority="1497">
      <formula>LEN(TRIM(G38))=0</formula>
    </cfRule>
  </conditionalFormatting>
  <conditionalFormatting sqref="F38">
    <cfRule type="expression" dxfId="1478" priority="1492">
      <formula>AND($D38="MIN",$F38&lt;&gt;"")</formula>
    </cfRule>
    <cfRule type="expression" dxfId="1477" priority="1493">
      <formula>AND($D38="MIN",$F38="")</formula>
    </cfRule>
    <cfRule type="containsBlanks" dxfId="1476" priority="1494">
      <formula>LEN(TRIM(F38))=0</formula>
    </cfRule>
  </conditionalFormatting>
  <conditionalFormatting sqref="G38">
    <cfRule type="expression" dxfId="1475" priority="1489">
      <formula>AND(OR($D38="GD&amp;T",$D38="MAX"),$G38&lt;&gt;"")</formula>
    </cfRule>
    <cfRule type="expression" dxfId="1474" priority="1490">
      <formula>AND(OR($D38="GD&amp;T",$D38="MAX"),$G38="")</formula>
    </cfRule>
    <cfRule type="containsBlanks" dxfId="1473" priority="1491">
      <formula>LEN(TRIM(G38))=0</formula>
    </cfRule>
  </conditionalFormatting>
  <conditionalFormatting sqref="F38">
    <cfRule type="expression" dxfId="1472" priority="1486">
      <formula>AND($D38="MIN",$F38&lt;&gt;"")</formula>
    </cfRule>
    <cfRule type="expression" dxfId="1471" priority="1487">
      <formula>AND($D38="MIN",$F38="")</formula>
    </cfRule>
    <cfRule type="containsBlanks" dxfId="1470" priority="1488">
      <formula>LEN(TRIM(F38))=0</formula>
    </cfRule>
  </conditionalFormatting>
  <conditionalFormatting sqref="F38">
    <cfRule type="expression" dxfId="1469" priority="1483">
      <formula>AND($D38="MIN",$F38&lt;&gt;"")</formula>
    </cfRule>
    <cfRule type="expression" dxfId="1468" priority="1484">
      <formula>AND($D38="MIN",$F38="")</formula>
    </cfRule>
    <cfRule type="containsBlanks" dxfId="1467" priority="1485">
      <formula>LEN(TRIM(F38))=0</formula>
    </cfRule>
  </conditionalFormatting>
  <conditionalFormatting sqref="F38">
    <cfRule type="expression" dxfId="1466" priority="1480">
      <formula>AND($D38="MIN",$F38&lt;&gt;"")</formula>
    </cfRule>
    <cfRule type="expression" dxfId="1465" priority="1481">
      <formula>AND($D38="MIN",$F38="")</formula>
    </cfRule>
    <cfRule type="containsBlanks" dxfId="1464" priority="1482">
      <formula>LEN(TRIM(F38))=0</formula>
    </cfRule>
  </conditionalFormatting>
  <conditionalFormatting sqref="F38">
    <cfRule type="expression" dxfId="1463" priority="1477">
      <formula>AND($D38="MIN",$F38&lt;&gt;"")</formula>
    </cfRule>
    <cfRule type="expression" dxfId="1462" priority="1478">
      <formula>AND($D38="MIN",$F38="")</formula>
    </cfRule>
    <cfRule type="containsBlanks" dxfId="1461" priority="1479">
      <formula>LEN(TRIM(F38))=0</formula>
    </cfRule>
  </conditionalFormatting>
  <conditionalFormatting sqref="F38">
    <cfRule type="expression" dxfId="1460" priority="1474">
      <formula>AND($D38="MIN",$F38&lt;&gt;"")</formula>
    </cfRule>
    <cfRule type="expression" dxfId="1459" priority="1475">
      <formula>AND($D38="MIN",$F38="")</formula>
    </cfRule>
    <cfRule type="containsBlanks" dxfId="1458" priority="1476">
      <formula>LEN(TRIM(F38))=0</formula>
    </cfRule>
  </conditionalFormatting>
  <conditionalFormatting sqref="F38">
    <cfRule type="expression" dxfId="1457" priority="1471">
      <formula>AND($D38="MIN",$F38&lt;&gt;"")</formula>
    </cfRule>
    <cfRule type="expression" dxfId="1456" priority="1472">
      <formula>AND($D38="MIN",$F38="")</formula>
    </cfRule>
    <cfRule type="containsBlanks" dxfId="1455" priority="1473">
      <formula>LEN(TRIM(F38))=0</formula>
    </cfRule>
  </conditionalFormatting>
  <conditionalFormatting sqref="G38">
    <cfRule type="expression" dxfId="1454" priority="1468">
      <formula>AND(OR($D38="GD&amp;T",$D38="MAX"),$G38&lt;&gt;"")</formula>
    </cfRule>
    <cfRule type="expression" dxfId="1453" priority="1469">
      <formula>AND(OR($D38="GD&amp;T",$D38="MAX"),$G38="")</formula>
    </cfRule>
    <cfRule type="containsBlanks" dxfId="1452" priority="1470">
      <formula>LEN(TRIM(G38))=0</formula>
    </cfRule>
  </conditionalFormatting>
  <conditionalFormatting sqref="F38">
    <cfRule type="expression" dxfId="1451" priority="1465">
      <formula>AND($D38="MIN",$F38&lt;&gt;"")</formula>
    </cfRule>
    <cfRule type="expression" dxfId="1450" priority="1466">
      <formula>AND($D38="MIN",$F38="")</formula>
    </cfRule>
    <cfRule type="containsBlanks" dxfId="1449" priority="1467">
      <formula>LEN(TRIM(F38))=0</formula>
    </cfRule>
  </conditionalFormatting>
  <conditionalFormatting sqref="G38">
    <cfRule type="expression" dxfId="1448" priority="1462">
      <formula>AND(OR($D38="GD&amp;T",$D38="MAX"),$G38&lt;&gt;"")</formula>
    </cfRule>
    <cfRule type="expression" dxfId="1447" priority="1463">
      <formula>AND(OR($D38="GD&amp;T",$D38="MAX"),$G38="")</formula>
    </cfRule>
    <cfRule type="containsBlanks" dxfId="1446" priority="1464">
      <formula>LEN(TRIM(G38))=0</formula>
    </cfRule>
  </conditionalFormatting>
  <conditionalFormatting sqref="F38">
    <cfRule type="expression" dxfId="1445" priority="1459">
      <formula>AND($D38="MIN",$F38&lt;&gt;"")</formula>
    </cfRule>
    <cfRule type="expression" dxfId="1444" priority="1460">
      <formula>AND($D38="MIN",$F38="")</formula>
    </cfRule>
    <cfRule type="containsBlanks" dxfId="1443" priority="1461">
      <formula>LEN(TRIM(F38))=0</formula>
    </cfRule>
  </conditionalFormatting>
  <conditionalFormatting sqref="G38">
    <cfRule type="expression" dxfId="1442" priority="1456">
      <formula>AND(OR($D38="GD&amp;T",$D38="MAX"),$G38&lt;&gt;"")</formula>
    </cfRule>
    <cfRule type="expression" dxfId="1441" priority="1457">
      <formula>AND(OR($D38="GD&amp;T",$D38="MAX"),$G38="")</formula>
    </cfRule>
    <cfRule type="containsBlanks" dxfId="1440" priority="1458">
      <formula>LEN(TRIM(G38))=0</formula>
    </cfRule>
  </conditionalFormatting>
  <conditionalFormatting sqref="F38">
    <cfRule type="expression" dxfId="1439" priority="1453">
      <formula>AND($D38="MIN",$F38&lt;&gt;"")</formula>
    </cfRule>
    <cfRule type="expression" dxfId="1438" priority="1454">
      <formula>AND($D38="MIN",$F38="")</formula>
    </cfRule>
    <cfRule type="containsBlanks" dxfId="1437" priority="1455">
      <formula>LEN(TRIM(F38))=0</formula>
    </cfRule>
  </conditionalFormatting>
  <conditionalFormatting sqref="G38">
    <cfRule type="expression" dxfId="1436" priority="1450">
      <formula>AND(OR($D38="GD&amp;T",$D38="MAX"),$G38&lt;&gt;"")</formula>
    </cfRule>
    <cfRule type="expression" dxfId="1435" priority="1451">
      <formula>AND(OR($D38="GD&amp;T",$D38="MAX"),$G38="")</formula>
    </cfRule>
    <cfRule type="containsBlanks" dxfId="1434" priority="1452">
      <formula>LEN(TRIM(G38))=0</formula>
    </cfRule>
  </conditionalFormatting>
  <conditionalFormatting sqref="G38">
    <cfRule type="expression" dxfId="1433" priority="1447">
      <formula>AND(OR($D38="GD&amp;T",$D38="MAX"),$G38&lt;&gt;"")</formula>
    </cfRule>
    <cfRule type="expression" dxfId="1432" priority="1448">
      <formula>AND(OR($D38="GD&amp;T",$D38="MAX"),$G38="")</formula>
    </cfRule>
    <cfRule type="containsBlanks" dxfId="1431" priority="1449">
      <formula>LEN(TRIM(G38))=0</formula>
    </cfRule>
  </conditionalFormatting>
  <conditionalFormatting sqref="G38">
    <cfRule type="expression" dxfId="1430" priority="1444">
      <formula>AND(OR($D38="GD&amp;T",$D38="MAX"),$G38&lt;&gt;"")</formula>
    </cfRule>
    <cfRule type="expression" dxfId="1429" priority="1445">
      <formula>AND(OR($D38="GD&amp;T",$D38="MAX"),$G38="")</formula>
    </cfRule>
    <cfRule type="containsBlanks" dxfId="1428" priority="1446">
      <formula>LEN(TRIM(G38))=0</formula>
    </cfRule>
  </conditionalFormatting>
  <conditionalFormatting sqref="G38">
    <cfRule type="expression" dxfId="1427" priority="1441">
      <formula>AND(OR($D38="GD&amp;T",$D38="MAX"),$G38&lt;&gt;"")</formula>
    </cfRule>
    <cfRule type="expression" dxfId="1426" priority="1442">
      <formula>AND(OR($D38="GD&amp;T",$D38="MAX"),$G38="")</formula>
    </cfRule>
    <cfRule type="containsBlanks" dxfId="1425" priority="1443">
      <formula>LEN(TRIM(G38))=0</formula>
    </cfRule>
  </conditionalFormatting>
  <conditionalFormatting sqref="G38">
    <cfRule type="expression" dxfId="1424" priority="1438">
      <formula>AND(OR($D38="GD&amp;T",$D38="MAX"),$G38&lt;&gt;"")</formula>
    </cfRule>
    <cfRule type="expression" dxfId="1423" priority="1439">
      <formula>AND(OR($D38="GD&amp;T",$D38="MAX"),$G38="")</formula>
    </cfRule>
    <cfRule type="containsBlanks" dxfId="1422" priority="1440">
      <formula>LEN(TRIM(G38))=0</formula>
    </cfRule>
  </conditionalFormatting>
  <conditionalFormatting sqref="G38">
    <cfRule type="expression" dxfId="1421" priority="1435">
      <formula>AND(OR($D38="GD&amp;T",$D38="MAX"),$G38&lt;&gt;"")</formula>
    </cfRule>
    <cfRule type="expression" dxfId="1420" priority="1436">
      <formula>AND(OR($D38="GD&amp;T",$D38="MAX"),$G38="")</formula>
    </cfRule>
    <cfRule type="containsBlanks" dxfId="1419" priority="1437">
      <formula>LEN(TRIM(G38))=0</formula>
    </cfRule>
  </conditionalFormatting>
  <conditionalFormatting sqref="F38">
    <cfRule type="expression" dxfId="1418" priority="1432">
      <formula>AND($D38="MIN",$F38&lt;&gt;"")</formula>
    </cfRule>
    <cfRule type="expression" dxfId="1417" priority="1433">
      <formula>AND($D38="MIN",$F38="")</formula>
    </cfRule>
    <cfRule type="containsBlanks" dxfId="1416" priority="1434">
      <formula>LEN(TRIM(F38))=0</formula>
    </cfRule>
  </conditionalFormatting>
  <conditionalFormatting sqref="F38">
    <cfRule type="expression" dxfId="1415" priority="1429">
      <formula>AND($D38="MIN",$F38&lt;&gt;"")</formula>
    </cfRule>
    <cfRule type="expression" dxfId="1414" priority="1430">
      <formula>AND($D38="MIN",$F38="")</formula>
    </cfRule>
    <cfRule type="containsBlanks" dxfId="1413" priority="1431">
      <formula>LEN(TRIM(F38))=0</formula>
    </cfRule>
  </conditionalFormatting>
  <conditionalFormatting sqref="F38">
    <cfRule type="expression" dxfId="1412" priority="1426">
      <formula>AND($D38="MIN",$F38&lt;&gt;"")</formula>
    </cfRule>
    <cfRule type="expression" dxfId="1411" priority="1427">
      <formula>AND($D38="MIN",$F38="")</formula>
    </cfRule>
    <cfRule type="containsBlanks" dxfId="1410" priority="1428">
      <formula>LEN(TRIM(F38))=0</formula>
    </cfRule>
  </conditionalFormatting>
  <conditionalFormatting sqref="F38">
    <cfRule type="expression" dxfId="1409" priority="1423">
      <formula>AND($D38="MIN",$F38&lt;&gt;"")</formula>
    </cfRule>
    <cfRule type="expression" dxfId="1408" priority="1424">
      <formula>AND($D38="MIN",$F38="")</formula>
    </cfRule>
    <cfRule type="containsBlanks" dxfId="1407" priority="1425">
      <formula>LEN(TRIM(F38))=0</formula>
    </cfRule>
  </conditionalFormatting>
  <conditionalFormatting sqref="F38">
    <cfRule type="expression" dxfId="1406" priority="1420">
      <formula>AND($D38="MIN",$F38&lt;&gt;"")</formula>
    </cfRule>
    <cfRule type="expression" dxfId="1405" priority="1421">
      <formula>AND($D38="MIN",$F38="")</formula>
    </cfRule>
    <cfRule type="containsBlanks" dxfId="1404" priority="1422">
      <formula>LEN(TRIM(F38))=0</formula>
    </cfRule>
  </conditionalFormatting>
  <conditionalFormatting sqref="F38">
    <cfRule type="expression" dxfId="1403" priority="1417">
      <formula>AND($D38="MIN",$F38&lt;&gt;"")</formula>
    </cfRule>
    <cfRule type="expression" dxfId="1402" priority="1418">
      <formula>AND($D38="MIN",$F38="")</formula>
    </cfRule>
    <cfRule type="containsBlanks" dxfId="1401" priority="1419">
      <formula>LEN(TRIM(F38))=0</formula>
    </cfRule>
  </conditionalFormatting>
  <conditionalFormatting sqref="G38">
    <cfRule type="expression" dxfId="1400" priority="1414">
      <formula>AND(OR($D38="GD&amp;T",$D38="MAX"),$G38&lt;&gt;"")</formula>
    </cfRule>
    <cfRule type="expression" dxfId="1399" priority="1415">
      <formula>AND(OR($D38="GD&amp;T",$D38="MAX"),$G38="")</formula>
    </cfRule>
    <cfRule type="containsBlanks" dxfId="1398" priority="1416">
      <formula>LEN(TRIM(G38))=0</formula>
    </cfRule>
  </conditionalFormatting>
  <conditionalFormatting sqref="F38">
    <cfRule type="expression" dxfId="1397" priority="1411">
      <formula>AND($D38="MIN",$F38&lt;&gt;"")</formula>
    </cfRule>
    <cfRule type="expression" dxfId="1396" priority="1412">
      <formula>AND($D38="MIN",$F38="")</formula>
    </cfRule>
    <cfRule type="containsBlanks" dxfId="1395" priority="1413">
      <formula>LEN(TRIM(F38))=0</formula>
    </cfRule>
  </conditionalFormatting>
  <conditionalFormatting sqref="G38">
    <cfRule type="expression" dxfId="1394" priority="1408">
      <formula>AND(OR($D38="GD&amp;T",$D38="MAX"),$G38&lt;&gt;"")</formula>
    </cfRule>
    <cfRule type="expression" dxfId="1393" priority="1409">
      <formula>AND(OR($D38="GD&amp;T",$D38="MAX"),$G38="")</formula>
    </cfRule>
    <cfRule type="containsBlanks" dxfId="1392" priority="1410">
      <formula>LEN(TRIM(G38))=0</formula>
    </cfRule>
  </conditionalFormatting>
  <conditionalFormatting sqref="F38">
    <cfRule type="expression" dxfId="1391" priority="1405">
      <formula>AND($D38="MIN",$F38&lt;&gt;"")</formula>
    </cfRule>
    <cfRule type="expression" dxfId="1390" priority="1406">
      <formula>AND($D38="MIN",$F38="")</formula>
    </cfRule>
    <cfRule type="containsBlanks" dxfId="1389" priority="1407">
      <formula>LEN(TRIM(F38))=0</formula>
    </cfRule>
  </conditionalFormatting>
  <conditionalFormatting sqref="G38">
    <cfRule type="expression" dxfId="1388" priority="1402">
      <formula>AND(OR($D38="GD&amp;T",$D38="MAX"),$G38&lt;&gt;"")</formula>
    </cfRule>
    <cfRule type="expression" dxfId="1387" priority="1403">
      <formula>AND(OR($D38="GD&amp;T",$D38="MAX"),$G38="")</formula>
    </cfRule>
    <cfRule type="containsBlanks" dxfId="1386" priority="1404">
      <formula>LEN(TRIM(G38))=0</formula>
    </cfRule>
  </conditionalFormatting>
  <conditionalFormatting sqref="F38">
    <cfRule type="expression" dxfId="1385" priority="1399">
      <formula>AND($D38="MIN",$F38&lt;&gt;"")</formula>
    </cfRule>
    <cfRule type="expression" dxfId="1384" priority="1400">
      <formula>AND($D38="MIN",$F38="")</formula>
    </cfRule>
    <cfRule type="containsBlanks" dxfId="1383" priority="1401">
      <formula>LEN(TRIM(F38))=0</formula>
    </cfRule>
  </conditionalFormatting>
  <conditionalFormatting sqref="G38">
    <cfRule type="expression" dxfId="1382" priority="1396">
      <formula>AND(OR($D38="GD&amp;T",$D38="MAX"),$G38&lt;&gt;"")</formula>
    </cfRule>
    <cfRule type="expression" dxfId="1381" priority="1397">
      <formula>AND(OR($D38="GD&amp;T",$D38="MAX"),$G38="")</formula>
    </cfRule>
    <cfRule type="containsBlanks" dxfId="1380" priority="1398">
      <formula>LEN(TRIM(G38))=0</formula>
    </cfRule>
  </conditionalFormatting>
  <conditionalFormatting sqref="F38">
    <cfRule type="expression" dxfId="1379" priority="1393">
      <formula>AND($D38="MIN",$F38&lt;&gt;"")</formula>
    </cfRule>
    <cfRule type="expression" dxfId="1378" priority="1394">
      <formula>AND($D38="MIN",$F38="")</formula>
    </cfRule>
    <cfRule type="containsBlanks" dxfId="1377" priority="1395">
      <formula>LEN(TRIM(F38))=0</formula>
    </cfRule>
  </conditionalFormatting>
  <conditionalFormatting sqref="G38">
    <cfRule type="expression" dxfId="1376" priority="1390">
      <formula>AND(OR($D38="GD&amp;T",$D38="MAX"),$G38&lt;&gt;"")</formula>
    </cfRule>
    <cfRule type="expression" dxfId="1375" priority="1391">
      <formula>AND(OR($D38="GD&amp;T",$D38="MAX"),$G38="")</formula>
    </cfRule>
    <cfRule type="containsBlanks" dxfId="1374" priority="1392">
      <formula>LEN(TRIM(G38))=0</formula>
    </cfRule>
  </conditionalFormatting>
  <conditionalFormatting sqref="F38">
    <cfRule type="expression" dxfId="1373" priority="1387">
      <formula>AND($D38="MIN",$F38&lt;&gt;"")</formula>
    </cfRule>
    <cfRule type="expression" dxfId="1372" priority="1388">
      <formula>AND($D38="MIN",$F38="")</formula>
    </cfRule>
    <cfRule type="containsBlanks" dxfId="1371" priority="1389">
      <formula>LEN(TRIM(F38))=0</formula>
    </cfRule>
  </conditionalFormatting>
  <conditionalFormatting sqref="G38">
    <cfRule type="expression" dxfId="1370" priority="1384">
      <formula>AND(OR($D38="GD&amp;T",$D38="MAX"),$G38&lt;&gt;"")</formula>
    </cfRule>
    <cfRule type="expression" dxfId="1369" priority="1385">
      <formula>AND(OR($D38="GD&amp;T",$D38="MAX"),$G38="")</formula>
    </cfRule>
    <cfRule type="containsBlanks" dxfId="1368" priority="1386">
      <formula>LEN(TRIM(G38))=0</formula>
    </cfRule>
  </conditionalFormatting>
  <conditionalFormatting sqref="F38">
    <cfRule type="expression" dxfId="1367" priority="1381">
      <formula>AND($D38="MIN",$F38&lt;&gt;"")</formula>
    </cfRule>
    <cfRule type="expression" dxfId="1366" priority="1382">
      <formula>AND($D38="MIN",$F38="")</formula>
    </cfRule>
    <cfRule type="containsBlanks" dxfId="1365" priority="1383">
      <formula>LEN(TRIM(F38))=0</formula>
    </cfRule>
  </conditionalFormatting>
  <conditionalFormatting sqref="G38">
    <cfRule type="expression" dxfId="1364" priority="1378">
      <formula>AND(OR($D38="GD&amp;T",$D38="MAX"),$G38&lt;&gt;"")</formula>
    </cfRule>
    <cfRule type="expression" dxfId="1363" priority="1379">
      <formula>AND(OR($D38="GD&amp;T",$D38="MAX"),$G38="")</formula>
    </cfRule>
    <cfRule type="containsBlanks" dxfId="1362" priority="1380">
      <formula>LEN(TRIM(G38))=0</formula>
    </cfRule>
  </conditionalFormatting>
  <conditionalFormatting sqref="F38">
    <cfRule type="expression" dxfId="1361" priority="1375">
      <formula>AND($D38="MIN",$F38&lt;&gt;"")</formula>
    </cfRule>
    <cfRule type="expression" dxfId="1360" priority="1376">
      <formula>AND($D38="MIN",$F38="")</formula>
    </cfRule>
    <cfRule type="containsBlanks" dxfId="1359" priority="1377">
      <formula>LEN(TRIM(F38))=0</formula>
    </cfRule>
  </conditionalFormatting>
  <conditionalFormatting sqref="G38">
    <cfRule type="expression" dxfId="1358" priority="1372">
      <formula>AND(OR($D38="GD&amp;T",$D38="MAX"),$G38&lt;&gt;"")</formula>
    </cfRule>
    <cfRule type="expression" dxfId="1357" priority="1373">
      <formula>AND(OR($D38="GD&amp;T",$D38="MAX"),$G38="")</formula>
    </cfRule>
    <cfRule type="containsBlanks" dxfId="1356" priority="1374">
      <formula>LEN(TRIM(G38))=0</formula>
    </cfRule>
  </conditionalFormatting>
  <conditionalFormatting sqref="F38">
    <cfRule type="expression" dxfId="1355" priority="1369">
      <formula>AND($D38="MIN",$F38&lt;&gt;"")</formula>
    </cfRule>
    <cfRule type="expression" dxfId="1354" priority="1370">
      <formula>AND($D38="MIN",$F38="")</formula>
    </cfRule>
    <cfRule type="containsBlanks" dxfId="1353" priority="1371">
      <formula>LEN(TRIM(F38))=0</formula>
    </cfRule>
  </conditionalFormatting>
  <conditionalFormatting sqref="F38">
    <cfRule type="expression" dxfId="1352" priority="1366">
      <formula>AND($D38="MIN",$F38&lt;&gt;"")</formula>
    </cfRule>
    <cfRule type="expression" dxfId="1351" priority="1367">
      <formula>AND($D38="MIN",$F38="")</formula>
    </cfRule>
    <cfRule type="containsBlanks" dxfId="1350" priority="1368">
      <formula>LEN(TRIM(F38))=0</formula>
    </cfRule>
  </conditionalFormatting>
  <conditionalFormatting sqref="F38">
    <cfRule type="expression" dxfId="1349" priority="1363">
      <formula>AND($D38="MIN",$F38&lt;&gt;"")</formula>
    </cfRule>
    <cfRule type="expression" dxfId="1348" priority="1364">
      <formula>AND($D38="MIN",$F38="")</formula>
    </cfRule>
    <cfRule type="containsBlanks" dxfId="1347" priority="1365">
      <formula>LEN(TRIM(F38))=0</formula>
    </cfRule>
  </conditionalFormatting>
  <conditionalFormatting sqref="F38">
    <cfRule type="expression" dxfId="1346" priority="1360">
      <formula>AND($D38="MIN",$F38&lt;&gt;"")</formula>
    </cfRule>
    <cfRule type="expression" dxfId="1345" priority="1361">
      <formula>AND($D38="MIN",$F38="")</formula>
    </cfRule>
    <cfRule type="containsBlanks" dxfId="1344" priority="1362">
      <formula>LEN(TRIM(F38))=0</formula>
    </cfRule>
  </conditionalFormatting>
  <conditionalFormatting sqref="F38">
    <cfRule type="expression" dxfId="1343" priority="1357">
      <formula>AND($D38="MIN",$F38&lt;&gt;"")</formula>
    </cfRule>
    <cfRule type="expression" dxfId="1342" priority="1358">
      <formula>AND($D38="MIN",$F38="")</formula>
    </cfRule>
    <cfRule type="containsBlanks" dxfId="1341" priority="1359">
      <formula>LEN(TRIM(F38))=0</formula>
    </cfRule>
  </conditionalFormatting>
  <conditionalFormatting sqref="F39">
    <cfRule type="expression" dxfId="1340" priority="1354">
      <formula>AND($D39="MIN",$F39&lt;&gt;"")</formula>
    </cfRule>
    <cfRule type="expression" dxfId="1339" priority="1355">
      <formula>AND($D39="MIN",$F39="")</formula>
    </cfRule>
    <cfRule type="containsBlanks" dxfId="1338" priority="1356">
      <formula>LEN(TRIM(F39))=0</formula>
    </cfRule>
  </conditionalFormatting>
  <conditionalFormatting sqref="G39">
    <cfRule type="expression" dxfId="1337" priority="1351">
      <formula>AND(OR($D39="GD&amp;T",$D39="MAX"),$G39&lt;&gt;"")</formula>
    </cfRule>
    <cfRule type="expression" dxfId="1336" priority="1352">
      <formula>AND(OR($D39="GD&amp;T",$D39="MAX"),$G39="")</formula>
    </cfRule>
    <cfRule type="containsBlanks" dxfId="1335" priority="1353">
      <formula>LEN(TRIM(G39))=0</formula>
    </cfRule>
  </conditionalFormatting>
  <conditionalFormatting sqref="F39">
    <cfRule type="expression" dxfId="1334" priority="1348">
      <formula>AND($D39="MIN",$F39&lt;&gt;"")</formula>
    </cfRule>
    <cfRule type="expression" dxfId="1333" priority="1349">
      <formula>AND($D39="MIN",$F39="")</formula>
    </cfRule>
    <cfRule type="containsBlanks" dxfId="1332" priority="1350">
      <formula>LEN(TRIM(F39))=0</formula>
    </cfRule>
  </conditionalFormatting>
  <conditionalFormatting sqref="G39">
    <cfRule type="expression" dxfId="1331" priority="1345">
      <formula>AND(OR($D39="GD&amp;T",$D39="MAX"),$G39&lt;&gt;"")</formula>
    </cfRule>
    <cfRule type="expression" dxfId="1330" priority="1346">
      <formula>AND(OR($D39="GD&amp;T",$D39="MAX"),$G39="")</formula>
    </cfRule>
    <cfRule type="containsBlanks" dxfId="1329" priority="1347">
      <formula>LEN(TRIM(G39))=0</formula>
    </cfRule>
  </conditionalFormatting>
  <conditionalFormatting sqref="F39">
    <cfRule type="expression" dxfId="1328" priority="1342">
      <formula>AND($D39="MIN",$F39&lt;&gt;"")</formula>
    </cfRule>
    <cfRule type="expression" dxfId="1327" priority="1343">
      <formula>AND($D39="MIN",$F39="")</formula>
    </cfRule>
    <cfRule type="containsBlanks" dxfId="1326" priority="1344">
      <formula>LEN(TRIM(F39))=0</formula>
    </cfRule>
  </conditionalFormatting>
  <conditionalFormatting sqref="G39">
    <cfRule type="expression" dxfId="1325" priority="1339">
      <formula>AND(OR($D39="GD&amp;T",$D39="MAX"),$G39&lt;&gt;"")</formula>
    </cfRule>
    <cfRule type="expression" dxfId="1324" priority="1340">
      <formula>AND(OR($D39="GD&amp;T",$D39="MAX"),$G39="")</formula>
    </cfRule>
    <cfRule type="containsBlanks" dxfId="1323" priority="1341">
      <formula>LEN(TRIM(G39))=0</formula>
    </cfRule>
  </conditionalFormatting>
  <conditionalFormatting sqref="F39">
    <cfRule type="expression" dxfId="1322" priority="1336">
      <formula>AND($D39="MIN",$F39&lt;&gt;"")</formula>
    </cfRule>
    <cfRule type="expression" dxfId="1321" priority="1337">
      <formula>AND($D39="MIN",$F39="")</formula>
    </cfRule>
    <cfRule type="containsBlanks" dxfId="1320" priority="1338">
      <formula>LEN(TRIM(F39))=0</formula>
    </cfRule>
  </conditionalFormatting>
  <conditionalFormatting sqref="G39">
    <cfRule type="expression" dxfId="1319" priority="1333">
      <formula>AND(OR($D39="GD&amp;T",$D39="MAX"),$G39&lt;&gt;"")</formula>
    </cfRule>
    <cfRule type="expression" dxfId="1318" priority="1334">
      <formula>AND(OR($D39="GD&amp;T",$D39="MAX"),$G39="")</formula>
    </cfRule>
    <cfRule type="containsBlanks" dxfId="1317" priority="1335">
      <formula>LEN(TRIM(G39))=0</formula>
    </cfRule>
  </conditionalFormatting>
  <conditionalFormatting sqref="G39">
    <cfRule type="expression" dxfId="1316" priority="1330">
      <formula>AND(OR($D39="GD&amp;T",$D39="MAX"),$G39&lt;&gt;"")</formula>
    </cfRule>
    <cfRule type="expression" dxfId="1315" priority="1331">
      <formula>AND(OR($D39="GD&amp;T",$D39="MAX"),$G39="")</formula>
    </cfRule>
    <cfRule type="containsBlanks" dxfId="1314" priority="1332">
      <formula>LEN(TRIM(G39))=0</formula>
    </cfRule>
  </conditionalFormatting>
  <conditionalFormatting sqref="G39">
    <cfRule type="expression" dxfId="1313" priority="1327">
      <formula>AND(OR($D39="GD&amp;T",$D39="MAX"),$G39&lt;&gt;"")</formula>
    </cfRule>
    <cfRule type="expression" dxfId="1312" priority="1328">
      <formula>AND(OR($D39="GD&amp;T",$D39="MAX"),$G39="")</formula>
    </cfRule>
    <cfRule type="containsBlanks" dxfId="1311" priority="1329">
      <formula>LEN(TRIM(G39))=0</formula>
    </cfRule>
  </conditionalFormatting>
  <conditionalFormatting sqref="G39">
    <cfRule type="expression" dxfId="1310" priority="1324">
      <formula>AND(OR($D39="GD&amp;T",$D39="MAX"),$G39&lt;&gt;"")</formula>
    </cfRule>
    <cfRule type="expression" dxfId="1309" priority="1325">
      <formula>AND(OR($D39="GD&amp;T",$D39="MAX"),$G39="")</formula>
    </cfRule>
    <cfRule type="containsBlanks" dxfId="1308" priority="1326">
      <formula>LEN(TRIM(G39))=0</formula>
    </cfRule>
  </conditionalFormatting>
  <conditionalFormatting sqref="G39">
    <cfRule type="expression" dxfId="1307" priority="1321">
      <formula>AND(OR($D39="GD&amp;T",$D39="MAX"),$G39&lt;&gt;"")</formula>
    </cfRule>
    <cfRule type="expression" dxfId="1306" priority="1322">
      <formula>AND(OR($D39="GD&amp;T",$D39="MAX"),$G39="")</formula>
    </cfRule>
    <cfRule type="containsBlanks" dxfId="1305" priority="1323">
      <formula>LEN(TRIM(G39))=0</formula>
    </cfRule>
  </conditionalFormatting>
  <conditionalFormatting sqref="G39">
    <cfRule type="expression" dxfId="1304" priority="1318">
      <formula>AND(OR($D39="GD&amp;T",$D39="MAX"),$G39&lt;&gt;"")</formula>
    </cfRule>
    <cfRule type="expression" dxfId="1303" priority="1319">
      <formula>AND(OR($D39="GD&amp;T",$D39="MAX"),$G39="")</formula>
    </cfRule>
    <cfRule type="containsBlanks" dxfId="1302" priority="1320">
      <formula>LEN(TRIM(G39))=0</formula>
    </cfRule>
  </conditionalFormatting>
  <conditionalFormatting sqref="F39">
    <cfRule type="expression" dxfId="1301" priority="1315">
      <formula>AND($D39="MIN",$F39&lt;&gt;"")</formula>
    </cfRule>
    <cfRule type="expression" dxfId="1300" priority="1316">
      <formula>AND($D39="MIN",$F39="")</formula>
    </cfRule>
    <cfRule type="containsBlanks" dxfId="1299" priority="1317">
      <formula>LEN(TRIM(F39))=0</formula>
    </cfRule>
  </conditionalFormatting>
  <conditionalFormatting sqref="F39">
    <cfRule type="expression" dxfId="1298" priority="1312">
      <formula>AND($D39="MIN",$F39&lt;&gt;"")</formula>
    </cfRule>
    <cfRule type="expression" dxfId="1297" priority="1313">
      <formula>AND($D39="MIN",$F39="")</formula>
    </cfRule>
    <cfRule type="containsBlanks" dxfId="1296" priority="1314">
      <formula>LEN(TRIM(F39))=0</formula>
    </cfRule>
  </conditionalFormatting>
  <conditionalFormatting sqref="F39">
    <cfRule type="expression" dxfId="1295" priority="1309">
      <formula>AND($D39="MIN",$F39&lt;&gt;"")</formula>
    </cfRule>
    <cfRule type="expression" dxfId="1294" priority="1310">
      <formula>AND($D39="MIN",$F39="")</formula>
    </cfRule>
    <cfRule type="containsBlanks" dxfId="1293" priority="1311">
      <formula>LEN(TRIM(F39))=0</formula>
    </cfRule>
  </conditionalFormatting>
  <conditionalFormatting sqref="F39">
    <cfRule type="expression" dxfId="1292" priority="1306">
      <formula>AND($D39="MIN",$F39&lt;&gt;"")</formula>
    </cfRule>
    <cfRule type="expression" dxfId="1291" priority="1307">
      <formula>AND($D39="MIN",$F39="")</formula>
    </cfRule>
    <cfRule type="containsBlanks" dxfId="1290" priority="1308">
      <formula>LEN(TRIM(F39))=0</formula>
    </cfRule>
  </conditionalFormatting>
  <conditionalFormatting sqref="F39">
    <cfRule type="expression" dxfId="1289" priority="1303">
      <formula>AND($D39="MIN",$F39&lt;&gt;"")</formula>
    </cfRule>
    <cfRule type="expression" dxfId="1288" priority="1304">
      <formula>AND($D39="MIN",$F39="")</formula>
    </cfRule>
    <cfRule type="containsBlanks" dxfId="1287" priority="1305">
      <formula>LEN(TRIM(F39))=0</formula>
    </cfRule>
  </conditionalFormatting>
  <conditionalFormatting sqref="F39">
    <cfRule type="expression" dxfId="1286" priority="1300">
      <formula>AND($D39="MIN",$F39&lt;&gt;"")</formula>
    </cfRule>
    <cfRule type="expression" dxfId="1285" priority="1301">
      <formula>AND($D39="MIN",$F39="")</formula>
    </cfRule>
    <cfRule type="containsBlanks" dxfId="1284" priority="1302">
      <formula>LEN(TRIM(F39))=0</formula>
    </cfRule>
  </conditionalFormatting>
  <conditionalFormatting sqref="G39">
    <cfRule type="expression" dxfId="1283" priority="1297">
      <formula>AND(OR($D39="GD&amp;T",$D39="MAX"),$G39&lt;&gt;"")</formula>
    </cfRule>
    <cfRule type="expression" dxfId="1282" priority="1298">
      <formula>AND(OR($D39="GD&amp;T",$D39="MAX"),$G39="")</formula>
    </cfRule>
    <cfRule type="containsBlanks" dxfId="1281" priority="1299">
      <formula>LEN(TRIM(G39))=0</formula>
    </cfRule>
  </conditionalFormatting>
  <conditionalFormatting sqref="F39">
    <cfRule type="expression" dxfId="1280" priority="1294">
      <formula>AND($D39="MIN",$F39&lt;&gt;"")</formula>
    </cfRule>
    <cfRule type="expression" dxfId="1279" priority="1295">
      <formula>AND($D39="MIN",$F39="")</formula>
    </cfRule>
    <cfRule type="containsBlanks" dxfId="1278" priority="1296">
      <formula>LEN(TRIM(F39))=0</formula>
    </cfRule>
  </conditionalFormatting>
  <conditionalFormatting sqref="G39">
    <cfRule type="expression" dxfId="1277" priority="1291">
      <formula>AND(OR($D39="GD&amp;T",$D39="MAX"),$G39&lt;&gt;"")</formula>
    </cfRule>
    <cfRule type="expression" dxfId="1276" priority="1292">
      <formula>AND(OR($D39="GD&amp;T",$D39="MAX"),$G39="")</formula>
    </cfRule>
    <cfRule type="containsBlanks" dxfId="1275" priority="1293">
      <formula>LEN(TRIM(G39))=0</formula>
    </cfRule>
  </conditionalFormatting>
  <conditionalFormatting sqref="F39">
    <cfRule type="expression" dxfId="1274" priority="1288">
      <formula>AND($D39="MIN",$F39&lt;&gt;"")</formula>
    </cfRule>
    <cfRule type="expression" dxfId="1273" priority="1289">
      <formula>AND($D39="MIN",$F39="")</formula>
    </cfRule>
    <cfRule type="containsBlanks" dxfId="1272" priority="1290">
      <formula>LEN(TRIM(F39))=0</formula>
    </cfRule>
  </conditionalFormatting>
  <conditionalFormatting sqref="G39">
    <cfRule type="expression" dxfId="1271" priority="1285">
      <formula>AND(OR($D39="GD&amp;T",$D39="MAX"),$G39&lt;&gt;"")</formula>
    </cfRule>
    <cfRule type="expression" dxfId="1270" priority="1286">
      <formula>AND(OR($D39="GD&amp;T",$D39="MAX"),$G39="")</formula>
    </cfRule>
    <cfRule type="containsBlanks" dxfId="1269" priority="1287">
      <formula>LEN(TRIM(G39))=0</formula>
    </cfRule>
  </conditionalFormatting>
  <conditionalFormatting sqref="F39">
    <cfRule type="expression" dxfId="1268" priority="1282">
      <formula>AND($D39="MIN",$F39&lt;&gt;"")</formula>
    </cfRule>
    <cfRule type="expression" dxfId="1267" priority="1283">
      <formula>AND($D39="MIN",$F39="")</formula>
    </cfRule>
    <cfRule type="containsBlanks" dxfId="1266" priority="1284">
      <formula>LEN(TRIM(F39))=0</formula>
    </cfRule>
  </conditionalFormatting>
  <conditionalFormatting sqref="G39">
    <cfRule type="expression" dxfId="1265" priority="1279">
      <formula>AND(OR($D39="GD&amp;T",$D39="MAX"),$G39&lt;&gt;"")</formula>
    </cfRule>
    <cfRule type="expression" dxfId="1264" priority="1280">
      <formula>AND(OR($D39="GD&amp;T",$D39="MAX"),$G39="")</formula>
    </cfRule>
    <cfRule type="containsBlanks" dxfId="1263" priority="1281">
      <formula>LEN(TRIM(G39))=0</formula>
    </cfRule>
  </conditionalFormatting>
  <conditionalFormatting sqref="G39">
    <cfRule type="expression" dxfId="1262" priority="1276">
      <formula>AND(OR($D39="GD&amp;T",$D39="MAX"),$G39&lt;&gt;"")</formula>
    </cfRule>
    <cfRule type="expression" dxfId="1261" priority="1277">
      <formula>AND(OR($D39="GD&amp;T",$D39="MAX"),$G39="")</formula>
    </cfRule>
    <cfRule type="containsBlanks" dxfId="1260" priority="1278">
      <formula>LEN(TRIM(G39))=0</formula>
    </cfRule>
  </conditionalFormatting>
  <conditionalFormatting sqref="G39">
    <cfRule type="expression" dxfId="1259" priority="1273">
      <formula>AND(OR($D39="GD&amp;T",$D39="MAX"),$G39&lt;&gt;"")</formula>
    </cfRule>
    <cfRule type="expression" dxfId="1258" priority="1274">
      <formula>AND(OR($D39="GD&amp;T",$D39="MAX"),$G39="")</formula>
    </cfRule>
    <cfRule type="containsBlanks" dxfId="1257" priority="1275">
      <formula>LEN(TRIM(G39))=0</formula>
    </cfRule>
  </conditionalFormatting>
  <conditionalFormatting sqref="G39">
    <cfRule type="expression" dxfId="1256" priority="1270">
      <formula>AND(OR($D39="GD&amp;T",$D39="MAX"),$G39&lt;&gt;"")</formula>
    </cfRule>
    <cfRule type="expression" dxfId="1255" priority="1271">
      <formula>AND(OR($D39="GD&amp;T",$D39="MAX"),$G39="")</formula>
    </cfRule>
    <cfRule type="containsBlanks" dxfId="1254" priority="1272">
      <formula>LEN(TRIM(G39))=0</formula>
    </cfRule>
  </conditionalFormatting>
  <conditionalFormatting sqref="G39">
    <cfRule type="expression" dxfId="1253" priority="1267">
      <formula>AND(OR($D39="GD&amp;T",$D39="MAX"),$G39&lt;&gt;"")</formula>
    </cfRule>
    <cfRule type="expression" dxfId="1252" priority="1268">
      <formula>AND(OR($D39="GD&amp;T",$D39="MAX"),$G39="")</formula>
    </cfRule>
    <cfRule type="containsBlanks" dxfId="1251" priority="1269">
      <formula>LEN(TRIM(G39))=0</formula>
    </cfRule>
  </conditionalFormatting>
  <conditionalFormatting sqref="G39">
    <cfRule type="expression" dxfId="1250" priority="1264">
      <formula>AND(OR($D39="GD&amp;T",$D39="MAX"),$G39&lt;&gt;"")</formula>
    </cfRule>
    <cfRule type="expression" dxfId="1249" priority="1265">
      <formula>AND(OR($D39="GD&amp;T",$D39="MAX"),$G39="")</formula>
    </cfRule>
    <cfRule type="containsBlanks" dxfId="1248" priority="1266">
      <formula>LEN(TRIM(G39))=0</formula>
    </cfRule>
  </conditionalFormatting>
  <conditionalFormatting sqref="F39">
    <cfRule type="expression" dxfId="1247" priority="1261">
      <formula>AND($D39="MIN",$F39&lt;&gt;"")</formula>
    </cfRule>
    <cfRule type="expression" dxfId="1246" priority="1262">
      <formula>AND($D39="MIN",$F39="")</formula>
    </cfRule>
    <cfRule type="containsBlanks" dxfId="1245" priority="1263">
      <formula>LEN(TRIM(F39))=0</formula>
    </cfRule>
  </conditionalFormatting>
  <conditionalFormatting sqref="F39">
    <cfRule type="expression" dxfId="1244" priority="1258">
      <formula>AND($D39="MIN",$F39&lt;&gt;"")</formula>
    </cfRule>
    <cfRule type="expression" dxfId="1243" priority="1259">
      <formula>AND($D39="MIN",$F39="")</formula>
    </cfRule>
    <cfRule type="containsBlanks" dxfId="1242" priority="1260">
      <formula>LEN(TRIM(F39))=0</formula>
    </cfRule>
  </conditionalFormatting>
  <conditionalFormatting sqref="F39">
    <cfRule type="expression" dxfId="1241" priority="1255">
      <formula>AND($D39="MIN",$F39&lt;&gt;"")</formula>
    </cfRule>
    <cfRule type="expression" dxfId="1240" priority="1256">
      <formula>AND($D39="MIN",$F39="")</formula>
    </cfRule>
    <cfRule type="containsBlanks" dxfId="1239" priority="1257">
      <formula>LEN(TRIM(F39))=0</formula>
    </cfRule>
  </conditionalFormatting>
  <conditionalFormatting sqref="F39">
    <cfRule type="expression" dxfId="1238" priority="1252">
      <formula>AND($D39="MIN",$F39&lt;&gt;"")</formula>
    </cfRule>
    <cfRule type="expression" dxfId="1237" priority="1253">
      <formula>AND($D39="MIN",$F39="")</formula>
    </cfRule>
    <cfRule type="containsBlanks" dxfId="1236" priority="1254">
      <formula>LEN(TRIM(F39))=0</formula>
    </cfRule>
  </conditionalFormatting>
  <conditionalFormatting sqref="F39">
    <cfRule type="expression" dxfId="1235" priority="1249">
      <formula>AND($D39="MIN",$F39&lt;&gt;"")</formula>
    </cfRule>
    <cfRule type="expression" dxfId="1234" priority="1250">
      <formula>AND($D39="MIN",$F39="")</formula>
    </cfRule>
    <cfRule type="containsBlanks" dxfId="1233" priority="1251">
      <formula>LEN(TRIM(F39))=0</formula>
    </cfRule>
  </conditionalFormatting>
  <conditionalFormatting sqref="F39">
    <cfRule type="expression" dxfId="1232" priority="1246">
      <formula>AND($D39="MIN",$F39&lt;&gt;"")</formula>
    </cfRule>
    <cfRule type="expression" dxfId="1231" priority="1247">
      <formula>AND($D39="MIN",$F39="")</formula>
    </cfRule>
    <cfRule type="containsBlanks" dxfId="1230" priority="1248">
      <formula>LEN(TRIM(F39))=0</formula>
    </cfRule>
  </conditionalFormatting>
  <conditionalFormatting sqref="G39">
    <cfRule type="expression" dxfId="1229" priority="1243">
      <formula>AND(OR($D39="GD&amp;T",$D39="MAX"),$G39&lt;&gt;"")</formula>
    </cfRule>
    <cfRule type="expression" dxfId="1228" priority="1244">
      <formula>AND(OR($D39="GD&amp;T",$D39="MAX"),$G39="")</formula>
    </cfRule>
    <cfRule type="containsBlanks" dxfId="1227" priority="1245">
      <formula>LEN(TRIM(G39))=0</formula>
    </cfRule>
  </conditionalFormatting>
  <conditionalFormatting sqref="F39">
    <cfRule type="expression" dxfId="1226" priority="1240">
      <formula>AND($D39="MIN",$F39&lt;&gt;"")</formula>
    </cfRule>
    <cfRule type="expression" dxfId="1225" priority="1241">
      <formula>AND($D39="MIN",$F39="")</formula>
    </cfRule>
    <cfRule type="containsBlanks" dxfId="1224" priority="1242">
      <formula>LEN(TRIM(F39))=0</formula>
    </cfRule>
  </conditionalFormatting>
  <conditionalFormatting sqref="G39">
    <cfRule type="expression" dxfId="1223" priority="1237">
      <formula>AND(OR($D39="GD&amp;T",$D39="MAX"),$G39&lt;&gt;"")</formula>
    </cfRule>
    <cfRule type="expression" dxfId="1222" priority="1238">
      <formula>AND(OR($D39="GD&amp;T",$D39="MAX"),$G39="")</formula>
    </cfRule>
    <cfRule type="containsBlanks" dxfId="1221" priority="1239">
      <formula>LEN(TRIM(G39))=0</formula>
    </cfRule>
  </conditionalFormatting>
  <conditionalFormatting sqref="F39">
    <cfRule type="expression" dxfId="1220" priority="1234">
      <formula>AND($D39="MIN",$F39&lt;&gt;"")</formula>
    </cfRule>
    <cfRule type="expression" dxfId="1219" priority="1235">
      <formula>AND($D39="MIN",$F39="")</formula>
    </cfRule>
    <cfRule type="containsBlanks" dxfId="1218" priority="1236">
      <formula>LEN(TRIM(F39))=0</formula>
    </cfRule>
  </conditionalFormatting>
  <conditionalFormatting sqref="G39">
    <cfRule type="expression" dxfId="1217" priority="1231">
      <formula>AND(OR($D39="GD&amp;T",$D39="MAX"),$G39&lt;&gt;"")</formula>
    </cfRule>
    <cfRule type="expression" dxfId="1216" priority="1232">
      <formula>AND(OR($D39="GD&amp;T",$D39="MAX"),$G39="")</formula>
    </cfRule>
    <cfRule type="containsBlanks" dxfId="1215" priority="1233">
      <formula>LEN(TRIM(G39))=0</formula>
    </cfRule>
  </conditionalFormatting>
  <conditionalFormatting sqref="F39">
    <cfRule type="expression" dxfId="1214" priority="1228">
      <formula>AND($D39="MIN",$F39&lt;&gt;"")</formula>
    </cfRule>
    <cfRule type="expression" dxfId="1213" priority="1229">
      <formula>AND($D39="MIN",$F39="")</formula>
    </cfRule>
    <cfRule type="containsBlanks" dxfId="1212" priority="1230">
      <formula>LEN(TRIM(F39))=0</formula>
    </cfRule>
  </conditionalFormatting>
  <conditionalFormatting sqref="G39">
    <cfRule type="expression" dxfId="1211" priority="1225">
      <formula>AND(OR($D39="GD&amp;T",$D39="MAX"),$G39&lt;&gt;"")</formula>
    </cfRule>
    <cfRule type="expression" dxfId="1210" priority="1226">
      <formula>AND(OR($D39="GD&amp;T",$D39="MAX"),$G39="")</formula>
    </cfRule>
    <cfRule type="containsBlanks" dxfId="1209" priority="1227">
      <formula>LEN(TRIM(G39))=0</formula>
    </cfRule>
  </conditionalFormatting>
  <conditionalFormatting sqref="F39">
    <cfRule type="expression" dxfId="1208" priority="1222">
      <formula>AND($D39="MIN",$F39&lt;&gt;"")</formula>
    </cfRule>
    <cfRule type="expression" dxfId="1207" priority="1223">
      <formula>AND($D39="MIN",$F39="")</formula>
    </cfRule>
    <cfRule type="containsBlanks" dxfId="1206" priority="1224">
      <formula>LEN(TRIM(F39))=0</formula>
    </cfRule>
  </conditionalFormatting>
  <conditionalFormatting sqref="G39">
    <cfRule type="expression" dxfId="1205" priority="1219">
      <formula>AND(OR($D39="GD&amp;T",$D39="MAX"),$G39&lt;&gt;"")</formula>
    </cfRule>
    <cfRule type="expression" dxfId="1204" priority="1220">
      <formula>AND(OR($D39="GD&amp;T",$D39="MAX"),$G39="")</formula>
    </cfRule>
    <cfRule type="containsBlanks" dxfId="1203" priority="1221">
      <formula>LEN(TRIM(G39))=0</formula>
    </cfRule>
  </conditionalFormatting>
  <conditionalFormatting sqref="F39">
    <cfRule type="expression" dxfId="1202" priority="1216">
      <formula>AND($D39="MIN",$F39&lt;&gt;"")</formula>
    </cfRule>
    <cfRule type="expression" dxfId="1201" priority="1217">
      <formula>AND($D39="MIN",$F39="")</formula>
    </cfRule>
    <cfRule type="containsBlanks" dxfId="1200" priority="1218">
      <formula>LEN(TRIM(F39))=0</formula>
    </cfRule>
  </conditionalFormatting>
  <conditionalFormatting sqref="G39">
    <cfRule type="expression" dxfId="1199" priority="1213">
      <formula>AND(OR($D39="GD&amp;T",$D39="MAX"),$G39&lt;&gt;"")</formula>
    </cfRule>
    <cfRule type="expression" dxfId="1198" priority="1214">
      <formula>AND(OR($D39="GD&amp;T",$D39="MAX"),$G39="")</formula>
    </cfRule>
    <cfRule type="containsBlanks" dxfId="1197" priority="1215">
      <formula>LEN(TRIM(G39))=0</formula>
    </cfRule>
  </conditionalFormatting>
  <conditionalFormatting sqref="F39">
    <cfRule type="expression" dxfId="1196" priority="1210">
      <formula>AND($D39="MIN",$F39&lt;&gt;"")</formula>
    </cfRule>
    <cfRule type="expression" dxfId="1195" priority="1211">
      <formula>AND($D39="MIN",$F39="")</formula>
    </cfRule>
    <cfRule type="containsBlanks" dxfId="1194" priority="1212">
      <formula>LEN(TRIM(F39))=0</formula>
    </cfRule>
  </conditionalFormatting>
  <conditionalFormatting sqref="G39">
    <cfRule type="expression" dxfId="1193" priority="1207">
      <formula>AND(OR($D39="GD&amp;T",$D39="MAX"),$G39&lt;&gt;"")</formula>
    </cfRule>
    <cfRule type="expression" dxfId="1192" priority="1208">
      <formula>AND(OR($D39="GD&amp;T",$D39="MAX"),$G39="")</formula>
    </cfRule>
    <cfRule type="containsBlanks" dxfId="1191" priority="1209">
      <formula>LEN(TRIM(G39))=0</formula>
    </cfRule>
  </conditionalFormatting>
  <conditionalFormatting sqref="F39">
    <cfRule type="expression" dxfId="1190" priority="1204">
      <formula>AND($D39="MIN",$F39&lt;&gt;"")</formula>
    </cfRule>
    <cfRule type="expression" dxfId="1189" priority="1205">
      <formula>AND($D39="MIN",$F39="")</formula>
    </cfRule>
    <cfRule type="containsBlanks" dxfId="1188" priority="1206">
      <formula>LEN(TRIM(F39))=0</formula>
    </cfRule>
  </conditionalFormatting>
  <conditionalFormatting sqref="G39">
    <cfRule type="expression" dxfId="1187" priority="1201">
      <formula>AND(OR($D39="GD&amp;T",$D39="MAX"),$G39&lt;&gt;"")</formula>
    </cfRule>
    <cfRule type="expression" dxfId="1186" priority="1202">
      <formula>AND(OR($D39="GD&amp;T",$D39="MAX"),$G39="")</formula>
    </cfRule>
    <cfRule type="containsBlanks" dxfId="1185" priority="1203">
      <formula>LEN(TRIM(G39))=0</formula>
    </cfRule>
  </conditionalFormatting>
  <conditionalFormatting sqref="F39">
    <cfRule type="expression" dxfId="1184" priority="1198">
      <formula>AND($D39="MIN",$F39&lt;&gt;"")</formula>
    </cfRule>
    <cfRule type="expression" dxfId="1183" priority="1199">
      <formula>AND($D39="MIN",$F39="")</formula>
    </cfRule>
    <cfRule type="containsBlanks" dxfId="1182" priority="1200">
      <formula>LEN(TRIM(F39))=0</formula>
    </cfRule>
  </conditionalFormatting>
  <conditionalFormatting sqref="F39">
    <cfRule type="expression" dxfId="1181" priority="1195">
      <formula>AND($D39="MIN",$F39&lt;&gt;"")</formula>
    </cfRule>
    <cfRule type="expression" dxfId="1180" priority="1196">
      <formula>AND($D39="MIN",$F39="")</formula>
    </cfRule>
    <cfRule type="containsBlanks" dxfId="1179" priority="1197">
      <formula>LEN(TRIM(F39))=0</formula>
    </cfRule>
  </conditionalFormatting>
  <conditionalFormatting sqref="F39">
    <cfRule type="expression" dxfId="1178" priority="1192">
      <formula>AND($D39="MIN",$F39&lt;&gt;"")</formula>
    </cfRule>
    <cfRule type="expression" dxfId="1177" priority="1193">
      <formula>AND($D39="MIN",$F39="")</formula>
    </cfRule>
    <cfRule type="containsBlanks" dxfId="1176" priority="1194">
      <formula>LEN(TRIM(F39))=0</formula>
    </cfRule>
  </conditionalFormatting>
  <conditionalFormatting sqref="F39">
    <cfRule type="expression" dxfId="1175" priority="1189">
      <formula>AND($D39="MIN",$F39&lt;&gt;"")</formula>
    </cfRule>
    <cfRule type="expression" dxfId="1174" priority="1190">
      <formula>AND($D39="MIN",$F39="")</formula>
    </cfRule>
    <cfRule type="containsBlanks" dxfId="1173" priority="1191">
      <formula>LEN(TRIM(F39))=0</formula>
    </cfRule>
  </conditionalFormatting>
  <conditionalFormatting sqref="F39">
    <cfRule type="expression" dxfId="1172" priority="1186">
      <formula>AND($D39="MIN",$F39&lt;&gt;"")</formula>
    </cfRule>
    <cfRule type="expression" dxfId="1171" priority="1187">
      <formula>AND($D39="MIN",$F39="")</formula>
    </cfRule>
    <cfRule type="containsBlanks" dxfId="1170" priority="1188">
      <formula>LEN(TRIM(F39))=0</formula>
    </cfRule>
  </conditionalFormatting>
  <conditionalFormatting sqref="F39">
    <cfRule type="expression" dxfId="1169" priority="1183">
      <formula>AND($D39="MIN",$F39&lt;&gt;"")</formula>
    </cfRule>
    <cfRule type="expression" dxfId="1168" priority="1184">
      <formula>AND($D39="MIN",$F39="")</formula>
    </cfRule>
    <cfRule type="containsBlanks" dxfId="1167" priority="1185">
      <formula>LEN(TRIM(F39))=0</formula>
    </cfRule>
  </conditionalFormatting>
  <conditionalFormatting sqref="G39">
    <cfRule type="expression" dxfId="1166" priority="1180">
      <formula>AND(OR($D39="GD&amp;T",$D39="MAX"),$G39&lt;&gt;"")</formula>
    </cfRule>
    <cfRule type="expression" dxfId="1165" priority="1181">
      <formula>AND(OR($D39="GD&amp;T",$D39="MAX"),$G39="")</formula>
    </cfRule>
    <cfRule type="containsBlanks" dxfId="1164" priority="1182">
      <formula>LEN(TRIM(G39))=0</formula>
    </cfRule>
  </conditionalFormatting>
  <conditionalFormatting sqref="F39">
    <cfRule type="expression" dxfId="1163" priority="1177">
      <formula>AND($D39="MIN",$F39&lt;&gt;"")</formula>
    </cfRule>
    <cfRule type="expression" dxfId="1162" priority="1178">
      <formula>AND($D39="MIN",$F39="")</formula>
    </cfRule>
    <cfRule type="containsBlanks" dxfId="1161" priority="1179">
      <formula>LEN(TRIM(F39))=0</formula>
    </cfRule>
  </conditionalFormatting>
  <conditionalFormatting sqref="G39">
    <cfRule type="expression" dxfId="1160" priority="1174">
      <formula>AND(OR($D39="GD&amp;T",$D39="MAX"),$G39&lt;&gt;"")</formula>
    </cfRule>
    <cfRule type="expression" dxfId="1159" priority="1175">
      <formula>AND(OR($D39="GD&amp;T",$D39="MAX"),$G39="")</formula>
    </cfRule>
    <cfRule type="containsBlanks" dxfId="1158" priority="1176">
      <formula>LEN(TRIM(G39))=0</formula>
    </cfRule>
  </conditionalFormatting>
  <conditionalFormatting sqref="F39">
    <cfRule type="expression" dxfId="1157" priority="1171">
      <formula>AND($D39="MIN",$F39&lt;&gt;"")</formula>
    </cfRule>
    <cfRule type="expression" dxfId="1156" priority="1172">
      <formula>AND($D39="MIN",$F39="")</formula>
    </cfRule>
    <cfRule type="containsBlanks" dxfId="1155" priority="1173">
      <formula>LEN(TRIM(F39))=0</formula>
    </cfRule>
  </conditionalFormatting>
  <conditionalFormatting sqref="G39">
    <cfRule type="expression" dxfId="1154" priority="1168">
      <formula>AND(OR($D39="GD&amp;T",$D39="MAX"),$G39&lt;&gt;"")</formula>
    </cfRule>
    <cfRule type="expression" dxfId="1153" priority="1169">
      <formula>AND(OR($D39="GD&amp;T",$D39="MAX"),$G39="")</formula>
    </cfRule>
    <cfRule type="containsBlanks" dxfId="1152" priority="1170">
      <formula>LEN(TRIM(G39))=0</formula>
    </cfRule>
  </conditionalFormatting>
  <conditionalFormatting sqref="F39">
    <cfRule type="expression" dxfId="1151" priority="1165">
      <formula>AND($D39="MIN",$F39&lt;&gt;"")</formula>
    </cfRule>
    <cfRule type="expression" dxfId="1150" priority="1166">
      <formula>AND($D39="MIN",$F39="")</formula>
    </cfRule>
    <cfRule type="containsBlanks" dxfId="1149" priority="1167">
      <formula>LEN(TRIM(F39))=0</formula>
    </cfRule>
  </conditionalFormatting>
  <conditionalFormatting sqref="G39">
    <cfRule type="expression" dxfId="1148" priority="1162">
      <formula>AND(OR($D39="GD&amp;T",$D39="MAX"),$G39&lt;&gt;"")</formula>
    </cfRule>
    <cfRule type="expression" dxfId="1147" priority="1163">
      <formula>AND(OR($D39="GD&amp;T",$D39="MAX"),$G39="")</formula>
    </cfRule>
    <cfRule type="containsBlanks" dxfId="1146" priority="1164">
      <formula>LEN(TRIM(G39))=0</formula>
    </cfRule>
  </conditionalFormatting>
  <conditionalFormatting sqref="G39">
    <cfRule type="expression" dxfId="1145" priority="1159">
      <formula>AND(OR($D39="GD&amp;T",$D39="MAX"),$G39&lt;&gt;"")</formula>
    </cfRule>
    <cfRule type="expression" dxfId="1144" priority="1160">
      <formula>AND(OR($D39="GD&amp;T",$D39="MAX"),$G39="")</formula>
    </cfRule>
    <cfRule type="containsBlanks" dxfId="1143" priority="1161">
      <formula>LEN(TRIM(G39))=0</formula>
    </cfRule>
  </conditionalFormatting>
  <conditionalFormatting sqref="G39">
    <cfRule type="expression" dxfId="1142" priority="1156">
      <formula>AND(OR($D39="GD&amp;T",$D39="MAX"),$G39&lt;&gt;"")</formula>
    </cfRule>
    <cfRule type="expression" dxfId="1141" priority="1157">
      <formula>AND(OR($D39="GD&amp;T",$D39="MAX"),$G39="")</formula>
    </cfRule>
    <cfRule type="containsBlanks" dxfId="1140" priority="1158">
      <formula>LEN(TRIM(G39))=0</formula>
    </cfRule>
  </conditionalFormatting>
  <conditionalFormatting sqref="G39">
    <cfRule type="expression" dxfId="1139" priority="1153">
      <formula>AND(OR($D39="GD&amp;T",$D39="MAX"),$G39&lt;&gt;"")</formula>
    </cfRule>
    <cfRule type="expression" dxfId="1138" priority="1154">
      <formula>AND(OR($D39="GD&amp;T",$D39="MAX"),$G39="")</formula>
    </cfRule>
    <cfRule type="containsBlanks" dxfId="1137" priority="1155">
      <formula>LEN(TRIM(G39))=0</formula>
    </cfRule>
  </conditionalFormatting>
  <conditionalFormatting sqref="G39">
    <cfRule type="expression" dxfId="1136" priority="1150">
      <formula>AND(OR($D39="GD&amp;T",$D39="MAX"),$G39&lt;&gt;"")</formula>
    </cfRule>
    <cfRule type="expression" dxfId="1135" priority="1151">
      <formula>AND(OR($D39="GD&amp;T",$D39="MAX"),$G39="")</formula>
    </cfRule>
    <cfRule type="containsBlanks" dxfId="1134" priority="1152">
      <formula>LEN(TRIM(G39))=0</formula>
    </cfRule>
  </conditionalFormatting>
  <conditionalFormatting sqref="G39">
    <cfRule type="expression" dxfId="1133" priority="1147">
      <formula>AND(OR($D39="GD&amp;T",$D39="MAX"),$G39&lt;&gt;"")</formula>
    </cfRule>
    <cfRule type="expression" dxfId="1132" priority="1148">
      <formula>AND(OR($D39="GD&amp;T",$D39="MAX"),$G39="")</formula>
    </cfRule>
    <cfRule type="containsBlanks" dxfId="1131" priority="1149">
      <formula>LEN(TRIM(G39))=0</formula>
    </cfRule>
  </conditionalFormatting>
  <conditionalFormatting sqref="F39">
    <cfRule type="expression" dxfId="1130" priority="1144">
      <formula>AND($D39="MIN",$F39&lt;&gt;"")</formula>
    </cfRule>
    <cfRule type="expression" dxfId="1129" priority="1145">
      <formula>AND($D39="MIN",$F39="")</formula>
    </cfRule>
    <cfRule type="containsBlanks" dxfId="1128" priority="1146">
      <formula>LEN(TRIM(F39))=0</formula>
    </cfRule>
  </conditionalFormatting>
  <conditionalFormatting sqref="F39">
    <cfRule type="expression" dxfId="1127" priority="1141">
      <formula>AND($D39="MIN",$F39&lt;&gt;"")</formula>
    </cfRule>
    <cfRule type="expression" dxfId="1126" priority="1142">
      <formula>AND($D39="MIN",$F39="")</formula>
    </cfRule>
    <cfRule type="containsBlanks" dxfId="1125" priority="1143">
      <formula>LEN(TRIM(F39))=0</formula>
    </cfRule>
  </conditionalFormatting>
  <conditionalFormatting sqref="F39">
    <cfRule type="expression" dxfId="1124" priority="1138">
      <formula>AND($D39="MIN",$F39&lt;&gt;"")</formula>
    </cfRule>
    <cfRule type="expression" dxfId="1123" priority="1139">
      <formula>AND($D39="MIN",$F39="")</formula>
    </cfRule>
    <cfRule type="containsBlanks" dxfId="1122" priority="1140">
      <formula>LEN(TRIM(F39))=0</formula>
    </cfRule>
  </conditionalFormatting>
  <conditionalFormatting sqref="F39">
    <cfRule type="expression" dxfId="1121" priority="1135">
      <formula>AND($D39="MIN",$F39&lt;&gt;"")</formula>
    </cfRule>
    <cfRule type="expression" dxfId="1120" priority="1136">
      <formula>AND($D39="MIN",$F39="")</formula>
    </cfRule>
    <cfRule type="containsBlanks" dxfId="1119" priority="1137">
      <formula>LEN(TRIM(F39))=0</formula>
    </cfRule>
  </conditionalFormatting>
  <conditionalFormatting sqref="F39">
    <cfRule type="expression" dxfId="1118" priority="1132">
      <formula>AND($D39="MIN",$F39&lt;&gt;"")</formula>
    </cfRule>
    <cfRule type="expression" dxfId="1117" priority="1133">
      <formula>AND($D39="MIN",$F39="")</formula>
    </cfRule>
    <cfRule type="containsBlanks" dxfId="1116" priority="1134">
      <formula>LEN(TRIM(F39))=0</formula>
    </cfRule>
  </conditionalFormatting>
  <conditionalFormatting sqref="F39">
    <cfRule type="expression" dxfId="1115" priority="1129">
      <formula>AND($D39="MIN",$F39&lt;&gt;"")</formula>
    </cfRule>
    <cfRule type="expression" dxfId="1114" priority="1130">
      <formula>AND($D39="MIN",$F39="")</formula>
    </cfRule>
    <cfRule type="containsBlanks" dxfId="1113" priority="1131">
      <formula>LEN(TRIM(F39))=0</formula>
    </cfRule>
  </conditionalFormatting>
  <conditionalFormatting sqref="G39">
    <cfRule type="expression" dxfId="1112" priority="1126">
      <formula>AND(OR($D39="GD&amp;T",$D39="MAX"),$G39&lt;&gt;"")</formula>
    </cfRule>
    <cfRule type="expression" dxfId="1111" priority="1127">
      <formula>AND(OR($D39="GD&amp;T",$D39="MAX"),$G39="")</formula>
    </cfRule>
    <cfRule type="containsBlanks" dxfId="1110" priority="1128">
      <formula>LEN(TRIM(G39))=0</formula>
    </cfRule>
  </conditionalFormatting>
  <conditionalFormatting sqref="F39">
    <cfRule type="expression" dxfId="1109" priority="1123">
      <formula>AND($D39="MIN",$F39&lt;&gt;"")</formula>
    </cfRule>
    <cfRule type="expression" dxfId="1108" priority="1124">
      <formula>AND($D39="MIN",$F39="")</formula>
    </cfRule>
    <cfRule type="containsBlanks" dxfId="1107" priority="1125">
      <formula>LEN(TRIM(F39))=0</formula>
    </cfRule>
  </conditionalFormatting>
  <conditionalFormatting sqref="G39">
    <cfRule type="expression" dxfId="1106" priority="1120">
      <formula>AND(OR($D39="GD&amp;T",$D39="MAX"),$G39&lt;&gt;"")</formula>
    </cfRule>
    <cfRule type="expression" dxfId="1105" priority="1121">
      <formula>AND(OR($D39="GD&amp;T",$D39="MAX"),$G39="")</formula>
    </cfRule>
    <cfRule type="containsBlanks" dxfId="1104" priority="1122">
      <formula>LEN(TRIM(G39))=0</formula>
    </cfRule>
  </conditionalFormatting>
  <conditionalFormatting sqref="F39">
    <cfRule type="expression" dxfId="1103" priority="1117">
      <formula>AND($D39="MIN",$F39&lt;&gt;"")</formula>
    </cfRule>
    <cfRule type="expression" dxfId="1102" priority="1118">
      <formula>AND($D39="MIN",$F39="")</formula>
    </cfRule>
    <cfRule type="containsBlanks" dxfId="1101" priority="1119">
      <formula>LEN(TRIM(F39))=0</formula>
    </cfRule>
  </conditionalFormatting>
  <conditionalFormatting sqref="G39">
    <cfRule type="expression" dxfId="1100" priority="1114">
      <formula>AND(OR($D39="GD&amp;T",$D39="MAX"),$G39&lt;&gt;"")</formula>
    </cfRule>
    <cfRule type="expression" dxfId="1099" priority="1115">
      <formula>AND(OR($D39="GD&amp;T",$D39="MAX"),$G39="")</formula>
    </cfRule>
    <cfRule type="containsBlanks" dxfId="1098" priority="1116">
      <formula>LEN(TRIM(G39))=0</formula>
    </cfRule>
  </conditionalFormatting>
  <conditionalFormatting sqref="F39">
    <cfRule type="expression" dxfId="1097" priority="1111">
      <formula>AND($D39="MIN",$F39&lt;&gt;"")</formula>
    </cfRule>
    <cfRule type="expression" dxfId="1096" priority="1112">
      <formula>AND($D39="MIN",$F39="")</formula>
    </cfRule>
    <cfRule type="containsBlanks" dxfId="1095" priority="1113">
      <formula>LEN(TRIM(F39))=0</formula>
    </cfRule>
  </conditionalFormatting>
  <conditionalFormatting sqref="G39">
    <cfRule type="expression" dxfId="1094" priority="1108">
      <formula>AND(OR($D39="GD&amp;T",$D39="MAX"),$G39&lt;&gt;"")</formula>
    </cfRule>
    <cfRule type="expression" dxfId="1093" priority="1109">
      <formula>AND(OR($D39="GD&amp;T",$D39="MAX"),$G39="")</formula>
    </cfRule>
    <cfRule type="containsBlanks" dxfId="1092" priority="1110">
      <formula>LEN(TRIM(G39))=0</formula>
    </cfRule>
  </conditionalFormatting>
  <conditionalFormatting sqref="F39">
    <cfRule type="expression" dxfId="1091" priority="1105">
      <formula>AND($D39="MIN",$F39&lt;&gt;"")</formula>
    </cfRule>
    <cfRule type="expression" dxfId="1090" priority="1106">
      <formula>AND($D39="MIN",$F39="")</formula>
    </cfRule>
    <cfRule type="containsBlanks" dxfId="1089" priority="1107">
      <formula>LEN(TRIM(F39))=0</formula>
    </cfRule>
  </conditionalFormatting>
  <conditionalFormatting sqref="G39">
    <cfRule type="expression" dxfId="1088" priority="1102">
      <formula>AND(OR($D39="GD&amp;T",$D39="MAX"),$G39&lt;&gt;"")</formula>
    </cfRule>
    <cfRule type="expression" dxfId="1087" priority="1103">
      <formula>AND(OR($D39="GD&amp;T",$D39="MAX"),$G39="")</formula>
    </cfRule>
    <cfRule type="containsBlanks" dxfId="1086" priority="1104">
      <formula>LEN(TRIM(G39))=0</formula>
    </cfRule>
  </conditionalFormatting>
  <conditionalFormatting sqref="F39">
    <cfRule type="expression" dxfId="1085" priority="1099">
      <formula>AND($D39="MIN",$F39&lt;&gt;"")</formula>
    </cfRule>
    <cfRule type="expression" dxfId="1084" priority="1100">
      <formula>AND($D39="MIN",$F39="")</formula>
    </cfRule>
    <cfRule type="containsBlanks" dxfId="1083" priority="1101">
      <formula>LEN(TRIM(F39))=0</formula>
    </cfRule>
  </conditionalFormatting>
  <conditionalFormatting sqref="G39">
    <cfRule type="expression" dxfId="1082" priority="1096">
      <formula>AND(OR($D39="GD&amp;T",$D39="MAX"),$G39&lt;&gt;"")</formula>
    </cfRule>
    <cfRule type="expression" dxfId="1081" priority="1097">
      <formula>AND(OR($D39="GD&amp;T",$D39="MAX"),$G39="")</formula>
    </cfRule>
    <cfRule type="containsBlanks" dxfId="1080" priority="1098">
      <formula>LEN(TRIM(G39))=0</formula>
    </cfRule>
  </conditionalFormatting>
  <conditionalFormatting sqref="F39">
    <cfRule type="expression" dxfId="1079" priority="1093">
      <formula>AND($D39="MIN",$F39&lt;&gt;"")</formula>
    </cfRule>
    <cfRule type="expression" dxfId="1078" priority="1094">
      <formula>AND($D39="MIN",$F39="")</formula>
    </cfRule>
    <cfRule type="containsBlanks" dxfId="1077" priority="1095">
      <formula>LEN(TRIM(F39))=0</formula>
    </cfRule>
  </conditionalFormatting>
  <conditionalFormatting sqref="G39">
    <cfRule type="expression" dxfId="1076" priority="1090">
      <formula>AND(OR($D39="GD&amp;T",$D39="MAX"),$G39&lt;&gt;"")</formula>
    </cfRule>
    <cfRule type="expression" dxfId="1075" priority="1091">
      <formula>AND(OR($D39="GD&amp;T",$D39="MAX"),$G39="")</formula>
    </cfRule>
    <cfRule type="containsBlanks" dxfId="1074" priority="1092">
      <formula>LEN(TRIM(G39))=0</formula>
    </cfRule>
  </conditionalFormatting>
  <conditionalFormatting sqref="F39">
    <cfRule type="expression" dxfId="1073" priority="1087">
      <formula>AND($D39="MIN",$F39&lt;&gt;"")</formula>
    </cfRule>
    <cfRule type="expression" dxfId="1072" priority="1088">
      <formula>AND($D39="MIN",$F39="")</formula>
    </cfRule>
    <cfRule type="containsBlanks" dxfId="1071" priority="1089">
      <formula>LEN(TRIM(F39))=0</formula>
    </cfRule>
  </conditionalFormatting>
  <conditionalFormatting sqref="G39">
    <cfRule type="expression" dxfId="1070" priority="1084">
      <formula>AND(OR($D39="GD&amp;T",$D39="MAX"),$G39&lt;&gt;"")</formula>
    </cfRule>
    <cfRule type="expression" dxfId="1069" priority="1085">
      <formula>AND(OR($D39="GD&amp;T",$D39="MAX"),$G39="")</formula>
    </cfRule>
    <cfRule type="containsBlanks" dxfId="1068" priority="1086">
      <formula>LEN(TRIM(G39))=0</formula>
    </cfRule>
  </conditionalFormatting>
  <conditionalFormatting sqref="F39">
    <cfRule type="expression" dxfId="1067" priority="1081">
      <formula>AND($D39="MIN",$F39&lt;&gt;"")</formula>
    </cfRule>
    <cfRule type="expression" dxfId="1066" priority="1082">
      <formula>AND($D39="MIN",$F39="")</formula>
    </cfRule>
    <cfRule type="containsBlanks" dxfId="1065" priority="1083">
      <formula>LEN(TRIM(F39))=0</formula>
    </cfRule>
  </conditionalFormatting>
  <conditionalFormatting sqref="F39">
    <cfRule type="expression" dxfId="1064" priority="1078">
      <formula>AND($D39="MIN",$F39&lt;&gt;"")</formula>
    </cfRule>
    <cfRule type="expression" dxfId="1063" priority="1079">
      <formula>AND($D39="MIN",$F39="")</formula>
    </cfRule>
    <cfRule type="containsBlanks" dxfId="1062" priority="1080">
      <formula>LEN(TRIM(F39))=0</formula>
    </cfRule>
  </conditionalFormatting>
  <conditionalFormatting sqref="F39">
    <cfRule type="expression" dxfId="1061" priority="1075">
      <formula>AND($D39="MIN",$F39&lt;&gt;"")</formula>
    </cfRule>
    <cfRule type="expression" dxfId="1060" priority="1076">
      <formula>AND($D39="MIN",$F39="")</formula>
    </cfRule>
    <cfRule type="containsBlanks" dxfId="1059" priority="1077">
      <formula>LEN(TRIM(F39))=0</formula>
    </cfRule>
  </conditionalFormatting>
  <conditionalFormatting sqref="F39">
    <cfRule type="expression" dxfId="1058" priority="1072">
      <formula>AND($D39="MIN",$F39&lt;&gt;"")</formula>
    </cfRule>
    <cfRule type="expression" dxfId="1057" priority="1073">
      <formula>AND($D39="MIN",$F39="")</formula>
    </cfRule>
    <cfRule type="containsBlanks" dxfId="1056" priority="1074">
      <formula>LEN(TRIM(F39))=0</formula>
    </cfRule>
  </conditionalFormatting>
  <conditionalFormatting sqref="F39">
    <cfRule type="expression" dxfId="1055" priority="1069">
      <formula>AND($D39="MIN",$F39&lt;&gt;"")</formula>
    </cfRule>
    <cfRule type="expression" dxfId="1054" priority="1070">
      <formula>AND($D39="MIN",$F39="")</formula>
    </cfRule>
    <cfRule type="containsBlanks" dxfId="1053" priority="1071">
      <formula>LEN(TRIM(F39))=0</formula>
    </cfRule>
  </conditionalFormatting>
  <conditionalFormatting sqref="F39">
    <cfRule type="expression" dxfId="1052" priority="1066">
      <formula>AND($D39="MIN",$F39&lt;&gt;"")</formula>
    </cfRule>
    <cfRule type="expression" dxfId="1051" priority="1067">
      <formula>AND($D39="MIN",$F39="")</formula>
    </cfRule>
    <cfRule type="containsBlanks" dxfId="1050" priority="1068">
      <formula>LEN(TRIM(F39))=0</formula>
    </cfRule>
  </conditionalFormatting>
  <conditionalFormatting sqref="G39">
    <cfRule type="expression" dxfId="1049" priority="1063">
      <formula>AND(OR($D39="GD&amp;T",$D39="MAX"),$G39&lt;&gt;"")</formula>
    </cfRule>
    <cfRule type="expression" dxfId="1048" priority="1064">
      <formula>AND(OR($D39="GD&amp;T",$D39="MAX"),$G39="")</formula>
    </cfRule>
    <cfRule type="containsBlanks" dxfId="1047" priority="1065">
      <formula>LEN(TRIM(G39))=0</formula>
    </cfRule>
  </conditionalFormatting>
  <conditionalFormatting sqref="F39">
    <cfRule type="expression" dxfId="1046" priority="1060">
      <formula>AND($D39="MIN",$F39&lt;&gt;"")</formula>
    </cfRule>
    <cfRule type="expression" dxfId="1045" priority="1061">
      <formula>AND($D39="MIN",$F39="")</formula>
    </cfRule>
    <cfRule type="containsBlanks" dxfId="1044" priority="1062">
      <formula>LEN(TRIM(F39))=0</formula>
    </cfRule>
  </conditionalFormatting>
  <conditionalFormatting sqref="G39">
    <cfRule type="expression" dxfId="1043" priority="1057">
      <formula>AND(OR($D39="GD&amp;T",$D39="MAX"),$G39&lt;&gt;"")</formula>
    </cfRule>
    <cfRule type="expression" dxfId="1042" priority="1058">
      <formula>AND(OR($D39="GD&amp;T",$D39="MAX"),$G39="")</formula>
    </cfRule>
    <cfRule type="containsBlanks" dxfId="1041" priority="1059">
      <formula>LEN(TRIM(G39))=0</formula>
    </cfRule>
  </conditionalFormatting>
  <conditionalFormatting sqref="F39">
    <cfRule type="expression" dxfId="1040" priority="1054">
      <formula>AND($D39="MIN",$F39&lt;&gt;"")</formula>
    </cfRule>
    <cfRule type="expression" dxfId="1039" priority="1055">
      <formula>AND($D39="MIN",$F39="")</formula>
    </cfRule>
    <cfRule type="containsBlanks" dxfId="1038" priority="1056">
      <formula>LEN(TRIM(F39))=0</formula>
    </cfRule>
  </conditionalFormatting>
  <conditionalFormatting sqref="G39">
    <cfRule type="expression" dxfId="1037" priority="1051">
      <formula>AND(OR($D39="GD&amp;T",$D39="MAX"),$G39&lt;&gt;"")</formula>
    </cfRule>
    <cfRule type="expression" dxfId="1036" priority="1052">
      <formula>AND(OR($D39="GD&amp;T",$D39="MAX"),$G39="")</formula>
    </cfRule>
    <cfRule type="containsBlanks" dxfId="1035" priority="1053">
      <formula>LEN(TRIM(G39))=0</formula>
    </cfRule>
  </conditionalFormatting>
  <conditionalFormatting sqref="F39">
    <cfRule type="expression" dxfId="1034" priority="1048">
      <formula>AND($D39="MIN",$F39&lt;&gt;"")</formula>
    </cfRule>
    <cfRule type="expression" dxfId="1033" priority="1049">
      <formula>AND($D39="MIN",$F39="")</formula>
    </cfRule>
    <cfRule type="containsBlanks" dxfId="1032" priority="1050">
      <formula>LEN(TRIM(F39))=0</formula>
    </cfRule>
  </conditionalFormatting>
  <conditionalFormatting sqref="G39">
    <cfRule type="expression" dxfId="1031" priority="1045">
      <formula>AND(OR($D39="GD&amp;T",$D39="MAX"),$G39&lt;&gt;"")</formula>
    </cfRule>
    <cfRule type="expression" dxfId="1030" priority="1046">
      <formula>AND(OR($D39="GD&amp;T",$D39="MAX"),$G39="")</formula>
    </cfRule>
    <cfRule type="containsBlanks" dxfId="1029" priority="1047">
      <formula>LEN(TRIM(G39))=0</formula>
    </cfRule>
  </conditionalFormatting>
  <conditionalFormatting sqref="G39">
    <cfRule type="expression" dxfId="1028" priority="1042">
      <formula>AND(OR($D39="GD&amp;T",$D39="MAX"),$G39&lt;&gt;"")</formula>
    </cfRule>
    <cfRule type="expression" dxfId="1027" priority="1043">
      <formula>AND(OR($D39="GD&amp;T",$D39="MAX"),$G39="")</formula>
    </cfRule>
    <cfRule type="containsBlanks" dxfId="1026" priority="1044">
      <formula>LEN(TRIM(G39))=0</formula>
    </cfRule>
  </conditionalFormatting>
  <conditionalFormatting sqref="G39">
    <cfRule type="expression" dxfId="1025" priority="1039">
      <formula>AND(OR($D39="GD&amp;T",$D39="MAX"),$G39&lt;&gt;"")</formula>
    </cfRule>
    <cfRule type="expression" dxfId="1024" priority="1040">
      <formula>AND(OR($D39="GD&amp;T",$D39="MAX"),$G39="")</formula>
    </cfRule>
    <cfRule type="containsBlanks" dxfId="1023" priority="1041">
      <formula>LEN(TRIM(G39))=0</formula>
    </cfRule>
  </conditionalFormatting>
  <conditionalFormatting sqref="G39">
    <cfRule type="expression" dxfId="1022" priority="1036">
      <formula>AND(OR($D39="GD&amp;T",$D39="MAX"),$G39&lt;&gt;"")</formula>
    </cfRule>
    <cfRule type="expression" dxfId="1021" priority="1037">
      <formula>AND(OR($D39="GD&amp;T",$D39="MAX"),$G39="")</formula>
    </cfRule>
    <cfRule type="containsBlanks" dxfId="1020" priority="1038">
      <formula>LEN(TRIM(G39))=0</formula>
    </cfRule>
  </conditionalFormatting>
  <conditionalFormatting sqref="G39">
    <cfRule type="expression" dxfId="1019" priority="1033">
      <formula>AND(OR($D39="GD&amp;T",$D39="MAX"),$G39&lt;&gt;"")</formula>
    </cfRule>
    <cfRule type="expression" dxfId="1018" priority="1034">
      <formula>AND(OR($D39="GD&amp;T",$D39="MAX"),$G39="")</formula>
    </cfRule>
    <cfRule type="containsBlanks" dxfId="1017" priority="1035">
      <formula>LEN(TRIM(G39))=0</formula>
    </cfRule>
  </conditionalFormatting>
  <conditionalFormatting sqref="G39">
    <cfRule type="expression" dxfId="1016" priority="1030">
      <formula>AND(OR($D39="GD&amp;T",$D39="MAX"),$G39&lt;&gt;"")</formula>
    </cfRule>
    <cfRule type="expression" dxfId="1015" priority="1031">
      <formula>AND(OR($D39="GD&amp;T",$D39="MAX"),$G39="")</formula>
    </cfRule>
    <cfRule type="containsBlanks" dxfId="1014" priority="1032">
      <formula>LEN(TRIM(G39))=0</formula>
    </cfRule>
  </conditionalFormatting>
  <conditionalFormatting sqref="F39">
    <cfRule type="expression" dxfId="1013" priority="1027">
      <formula>AND($D39="MIN",$F39&lt;&gt;"")</formula>
    </cfRule>
    <cfRule type="expression" dxfId="1012" priority="1028">
      <formula>AND($D39="MIN",$F39="")</formula>
    </cfRule>
    <cfRule type="containsBlanks" dxfId="1011" priority="1029">
      <formula>LEN(TRIM(F39))=0</formula>
    </cfRule>
  </conditionalFormatting>
  <conditionalFormatting sqref="F39">
    <cfRule type="expression" dxfId="1010" priority="1024">
      <formula>AND($D39="MIN",$F39&lt;&gt;"")</formula>
    </cfRule>
    <cfRule type="expression" dxfId="1009" priority="1025">
      <formula>AND($D39="MIN",$F39="")</formula>
    </cfRule>
    <cfRule type="containsBlanks" dxfId="1008" priority="1026">
      <formula>LEN(TRIM(F39))=0</formula>
    </cfRule>
  </conditionalFormatting>
  <conditionalFormatting sqref="F39">
    <cfRule type="expression" dxfId="1007" priority="1021">
      <formula>AND($D39="MIN",$F39&lt;&gt;"")</formula>
    </cfRule>
    <cfRule type="expression" dxfId="1006" priority="1022">
      <formula>AND($D39="MIN",$F39="")</formula>
    </cfRule>
    <cfRule type="containsBlanks" dxfId="1005" priority="1023">
      <formula>LEN(TRIM(F39))=0</formula>
    </cfRule>
  </conditionalFormatting>
  <conditionalFormatting sqref="F39">
    <cfRule type="expression" dxfId="1004" priority="1018">
      <formula>AND($D39="MIN",$F39&lt;&gt;"")</formula>
    </cfRule>
    <cfRule type="expression" dxfId="1003" priority="1019">
      <formula>AND($D39="MIN",$F39="")</formula>
    </cfRule>
    <cfRule type="containsBlanks" dxfId="1002" priority="1020">
      <formula>LEN(TRIM(F39))=0</formula>
    </cfRule>
  </conditionalFormatting>
  <conditionalFormatting sqref="F39">
    <cfRule type="expression" dxfId="1001" priority="1015">
      <formula>AND($D39="MIN",$F39&lt;&gt;"")</formula>
    </cfRule>
    <cfRule type="expression" dxfId="1000" priority="1016">
      <formula>AND($D39="MIN",$F39="")</formula>
    </cfRule>
    <cfRule type="containsBlanks" dxfId="999" priority="1017">
      <formula>LEN(TRIM(F39))=0</formula>
    </cfRule>
  </conditionalFormatting>
  <conditionalFormatting sqref="F39">
    <cfRule type="expression" dxfId="998" priority="1012">
      <formula>AND($D39="MIN",$F39&lt;&gt;"")</formula>
    </cfRule>
    <cfRule type="expression" dxfId="997" priority="1013">
      <formula>AND($D39="MIN",$F39="")</formula>
    </cfRule>
    <cfRule type="containsBlanks" dxfId="996" priority="1014">
      <formula>LEN(TRIM(F39))=0</formula>
    </cfRule>
  </conditionalFormatting>
  <conditionalFormatting sqref="G39">
    <cfRule type="expression" dxfId="995" priority="1009">
      <formula>AND(OR($D39="GD&amp;T",$D39="MAX"),$G39&lt;&gt;"")</formula>
    </cfRule>
    <cfRule type="expression" dxfId="994" priority="1010">
      <formula>AND(OR($D39="GD&amp;T",$D39="MAX"),$G39="")</formula>
    </cfRule>
    <cfRule type="containsBlanks" dxfId="993" priority="1011">
      <formula>LEN(TRIM(G39))=0</formula>
    </cfRule>
  </conditionalFormatting>
  <conditionalFormatting sqref="F39">
    <cfRule type="expression" dxfId="992" priority="1006">
      <formula>AND($D39="MIN",$F39&lt;&gt;"")</formula>
    </cfRule>
    <cfRule type="expression" dxfId="991" priority="1007">
      <formula>AND($D39="MIN",$F39="")</formula>
    </cfRule>
    <cfRule type="containsBlanks" dxfId="990" priority="1008">
      <formula>LEN(TRIM(F39))=0</formula>
    </cfRule>
  </conditionalFormatting>
  <conditionalFormatting sqref="G39">
    <cfRule type="expression" dxfId="989" priority="1003">
      <formula>AND(OR($D39="GD&amp;T",$D39="MAX"),$G39&lt;&gt;"")</formula>
    </cfRule>
    <cfRule type="expression" dxfId="988" priority="1004">
      <formula>AND(OR($D39="GD&amp;T",$D39="MAX"),$G39="")</formula>
    </cfRule>
    <cfRule type="containsBlanks" dxfId="987" priority="1005">
      <formula>LEN(TRIM(G39))=0</formula>
    </cfRule>
  </conditionalFormatting>
  <conditionalFormatting sqref="F39">
    <cfRule type="expression" dxfId="986" priority="1000">
      <formula>AND($D39="MIN",$F39&lt;&gt;"")</formula>
    </cfRule>
    <cfRule type="expression" dxfId="985" priority="1001">
      <formula>AND($D39="MIN",$F39="")</formula>
    </cfRule>
    <cfRule type="containsBlanks" dxfId="984" priority="1002">
      <formula>LEN(TRIM(F39))=0</formula>
    </cfRule>
  </conditionalFormatting>
  <conditionalFormatting sqref="G39">
    <cfRule type="expression" dxfId="983" priority="997">
      <formula>AND(OR($D39="GD&amp;T",$D39="MAX"),$G39&lt;&gt;"")</formula>
    </cfRule>
    <cfRule type="expression" dxfId="982" priority="998">
      <formula>AND(OR($D39="GD&amp;T",$D39="MAX"),$G39="")</formula>
    </cfRule>
    <cfRule type="containsBlanks" dxfId="981" priority="999">
      <formula>LEN(TRIM(G39))=0</formula>
    </cfRule>
  </conditionalFormatting>
  <conditionalFormatting sqref="F39">
    <cfRule type="expression" dxfId="980" priority="994">
      <formula>AND($D39="MIN",$F39&lt;&gt;"")</formula>
    </cfRule>
    <cfRule type="expression" dxfId="979" priority="995">
      <formula>AND($D39="MIN",$F39="")</formula>
    </cfRule>
    <cfRule type="containsBlanks" dxfId="978" priority="996">
      <formula>LEN(TRIM(F39))=0</formula>
    </cfRule>
  </conditionalFormatting>
  <conditionalFormatting sqref="G39">
    <cfRule type="expression" dxfId="977" priority="991">
      <formula>AND(OR($D39="GD&amp;T",$D39="MAX"),$G39&lt;&gt;"")</formula>
    </cfRule>
    <cfRule type="expression" dxfId="976" priority="992">
      <formula>AND(OR($D39="GD&amp;T",$D39="MAX"),$G39="")</formula>
    </cfRule>
    <cfRule type="containsBlanks" dxfId="975" priority="993">
      <formula>LEN(TRIM(G39))=0</formula>
    </cfRule>
  </conditionalFormatting>
  <conditionalFormatting sqref="F39">
    <cfRule type="expression" dxfId="974" priority="988">
      <formula>AND($D39="MIN",$F39&lt;&gt;"")</formula>
    </cfRule>
    <cfRule type="expression" dxfId="973" priority="989">
      <formula>AND($D39="MIN",$F39="")</formula>
    </cfRule>
    <cfRule type="containsBlanks" dxfId="972" priority="990">
      <formula>LEN(TRIM(F39))=0</formula>
    </cfRule>
  </conditionalFormatting>
  <conditionalFormatting sqref="G39">
    <cfRule type="expression" dxfId="971" priority="985">
      <formula>AND(OR($D39="GD&amp;T",$D39="MAX"),$G39&lt;&gt;"")</formula>
    </cfRule>
    <cfRule type="expression" dxfId="970" priority="986">
      <formula>AND(OR($D39="GD&amp;T",$D39="MAX"),$G39="")</formula>
    </cfRule>
    <cfRule type="containsBlanks" dxfId="969" priority="987">
      <formula>LEN(TRIM(G39))=0</formula>
    </cfRule>
  </conditionalFormatting>
  <conditionalFormatting sqref="F39">
    <cfRule type="expression" dxfId="968" priority="982">
      <formula>AND($D39="MIN",$F39&lt;&gt;"")</formula>
    </cfRule>
    <cfRule type="expression" dxfId="967" priority="983">
      <formula>AND($D39="MIN",$F39="")</formula>
    </cfRule>
    <cfRule type="containsBlanks" dxfId="966" priority="984">
      <formula>LEN(TRIM(F39))=0</formula>
    </cfRule>
  </conditionalFormatting>
  <conditionalFormatting sqref="G39">
    <cfRule type="expression" dxfId="965" priority="979">
      <formula>AND(OR($D39="GD&amp;T",$D39="MAX"),$G39&lt;&gt;"")</formula>
    </cfRule>
    <cfRule type="expression" dxfId="964" priority="980">
      <formula>AND(OR($D39="GD&amp;T",$D39="MAX"),$G39="")</formula>
    </cfRule>
    <cfRule type="containsBlanks" dxfId="963" priority="981">
      <formula>LEN(TRIM(G39))=0</formula>
    </cfRule>
  </conditionalFormatting>
  <conditionalFormatting sqref="F39">
    <cfRule type="expression" dxfId="962" priority="976">
      <formula>AND($D39="MIN",$F39&lt;&gt;"")</formula>
    </cfRule>
    <cfRule type="expression" dxfId="961" priority="977">
      <formula>AND($D39="MIN",$F39="")</formula>
    </cfRule>
    <cfRule type="containsBlanks" dxfId="960" priority="978">
      <formula>LEN(TRIM(F39))=0</formula>
    </cfRule>
  </conditionalFormatting>
  <conditionalFormatting sqref="G39">
    <cfRule type="expression" dxfId="959" priority="973">
      <formula>AND(OR($D39="GD&amp;T",$D39="MAX"),$G39&lt;&gt;"")</formula>
    </cfRule>
    <cfRule type="expression" dxfId="958" priority="974">
      <formula>AND(OR($D39="GD&amp;T",$D39="MAX"),$G39="")</formula>
    </cfRule>
    <cfRule type="containsBlanks" dxfId="957" priority="975">
      <formula>LEN(TRIM(G39))=0</formula>
    </cfRule>
  </conditionalFormatting>
  <conditionalFormatting sqref="F39">
    <cfRule type="expression" dxfId="956" priority="970">
      <formula>AND($D39="MIN",$F39&lt;&gt;"")</formula>
    </cfRule>
    <cfRule type="expression" dxfId="955" priority="971">
      <formula>AND($D39="MIN",$F39="")</formula>
    </cfRule>
    <cfRule type="containsBlanks" dxfId="954" priority="972">
      <formula>LEN(TRIM(F39))=0</formula>
    </cfRule>
  </conditionalFormatting>
  <conditionalFormatting sqref="G39">
    <cfRule type="expression" dxfId="953" priority="967">
      <formula>AND(OR($D39="GD&amp;T",$D39="MAX"),$G39&lt;&gt;"")</formula>
    </cfRule>
    <cfRule type="expression" dxfId="952" priority="968">
      <formula>AND(OR($D39="GD&amp;T",$D39="MAX"),$G39="")</formula>
    </cfRule>
    <cfRule type="containsBlanks" dxfId="951" priority="969">
      <formula>LEN(TRIM(G39))=0</formula>
    </cfRule>
  </conditionalFormatting>
  <conditionalFormatting sqref="F39">
    <cfRule type="expression" dxfId="950" priority="964">
      <formula>AND($D39="MIN",$F39&lt;&gt;"")</formula>
    </cfRule>
    <cfRule type="expression" dxfId="949" priority="965">
      <formula>AND($D39="MIN",$F39="")</formula>
    </cfRule>
    <cfRule type="containsBlanks" dxfId="948" priority="966">
      <formula>LEN(TRIM(F39))=0</formula>
    </cfRule>
  </conditionalFormatting>
  <conditionalFormatting sqref="F39">
    <cfRule type="expression" dxfId="947" priority="961">
      <formula>AND($D39="MIN",$F39&lt;&gt;"")</formula>
    </cfRule>
    <cfRule type="expression" dxfId="946" priority="962">
      <formula>AND($D39="MIN",$F39="")</formula>
    </cfRule>
    <cfRule type="containsBlanks" dxfId="945" priority="963">
      <formula>LEN(TRIM(F39))=0</formula>
    </cfRule>
  </conditionalFormatting>
  <conditionalFormatting sqref="F39">
    <cfRule type="expression" dxfId="944" priority="958">
      <formula>AND($D39="MIN",$F39&lt;&gt;"")</formula>
    </cfRule>
    <cfRule type="expression" dxfId="943" priority="959">
      <formula>AND($D39="MIN",$F39="")</formula>
    </cfRule>
    <cfRule type="containsBlanks" dxfId="942" priority="960">
      <formula>LEN(TRIM(F39))=0</formula>
    </cfRule>
  </conditionalFormatting>
  <conditionalFormatting sqref="F39">
    <cfRule type="expression" dxfId="941" priority="955">
      <formula>AND($D39="MIN",$F39&lt;&gt;"")</formula>
    </cfRule>
    <cfRule type="expression" dxfId="940" priority="956">
      <formula>AND($D39="MIN",$F39="")</formula>
    </cfRule>
    <cfRule type="containsBlanks" dxfId="939" priority="957">
      <formula>LEN(TRIM(F39))=0</formula>
    </cfRule>
  </conditionalFormatting>
  <conditionalFormatting sqref="F39">
    <cfRule type="expression" dxfId="938" priority="952">
      <formula>AND($D39="MIN",$F39&lt;&gt;"")</formula>
    </cfRule>
    <cfRule type="expression" dxfId="937" priority="953">
      <formula>AND($D39="MIN",$F39="")</formula>
    </cfRule>
    <cfRule type="containsBlanks" dxfId="936" priority="954">
      <formula>LEN(TRIM(F39))=0</formula>
    </cfRule>
  </conditionalFormatting>
  <conditionalFormatting sqref="E45">
    <cfRule type="expression" dxfId="935" priority="949">
      <formula>AND($D45="MIN",$F45&lt;&gt;"")</formula>
    </cfRule>
    <cfRule type="expression" dxfId="934" priority="950">
      <formula>AND($D45="MIN",$F45="")</formula>
    </cfRule>
    <cfRule type="containsBlanks" dxfId="933" priority="951">
      <formula>LEN(TRIM(E45))=0</formula>
    </cfRule>
  </conditionalFormatting>
  <conditionalFormatting sqref="F45">
    <cfRule type="expression" dxfId="932" priority="946">
      <formula>AND(OR($D45="GD&amp;T",$D45="MAX"),$G45&lt;&gt;"")</formula>
    </cfRule>
    <cfRule type="expression" dxfId="931" priority="947">
      <formula>AND(OR($D45="GD&amp;T",$D45="MAX"),$G45="")</formula>
    </cfRule>
    <cfRule type="containsBlanks" dxfId="930" priority="948">
      <formula>LEN(TRIM(F45))=0</formula>
    </cfRule>
  </conditionalFormatting>
  <conditionalFormatting sqref="E45">
    <cfRule type="expression" dxfId="929" priority="943">
      <formula>AND($D45="MIN",$F45&lt;&gt;"")</formula>
    </cfRule>
    <cfRule type="expression" dxfId="928" priority="944">
      <formula>AND($D45="MIN",$F45="")</formula>
    </cfRule>
    <cfRule type="containsBlanks" dxfId="927" priority="945">
      <formula>LEN(TRIM(E45))=0</formula>
    </cfRule>
  </conditionalFormatting>
  <conditionalFormatting sqref="F45">
    <cfRule type="expression" dxfId="926" priority="940">
      <formula>AND(OR($D45="GD&amp;T",$D45="MAX"),$G45&lt;&gt;"")</formula>
    </cfRule>
    <cfRule type="expression" dxfId="925" priority="941">
      <formula>AND(OR($D45="GD&amp;T",$D45="MAX"),$G45="")</formula>
    </cfRule>
    <cfRule type="containsBlanks" dxfId="924" priority="942">
      <formula>LEN(TRIM(F45))=0</formula>
    </cfRule>
  </conditionalFormatting>
  <conditionalFormatting sqref="E46">
    <cfRule type="expression" dxfId="923" priority="937">
      <formula>AND($D46="MIN",$F46&lt;&gt;"")</formula>
    </cfRule>
    <cfRule type="expression" dxfId="922" priority="938">
      <formula>AND($D46="MIN",$F46="")</formula>
    </cfRule>
    <cfRule type="containsBlanks" dxfId="921" priority="939">
      <formula>LEN(TRIM(E46))=0</formula>
    </cfRule>
  </conditionalFormatting>
  <conditionalFormatting sqref="F46">
    <cfRule type="expression" dxfId="920" priority="934">
      <formula>AND(OR($D46="GD&amp;T",$D46="MAX"),$G46&lt;&gt;"")</formula>
    </cfRule>
    <cfRule type="expression" dxfId="919" priority="935">
      <formula>AND(OR($D46="GD&amp;T",$D46="MAX"),$G46="")</formula>
    </cfRule>
    <cfRule type="containsBlanks" dxfId="918" priority="936">
      <formula>LEN(TRIM(F46))=0</formula>
    </cfRule>
  </conditionalFormatting>
  <conditionalFormatting sqref="E46">
    <cfRule type="expression" dxfId="917" priority="931">
      <formula>AND($D46="MIN",$F46&lt;&gt;"")</formula>
    </cfRule>
    <cfRule type="expression" dxfId="916" priority="932">
      <formula>AND($D46="MIN",$F46="")</formula>
    </cfRule>
    <cfRule type="containsBlanks" dxfId="915" priority="933">
      <formula>LEN(TRIM(E46))=0</formula>
    </cfRule>
  </conditionalFormatting>
  <conditionalFormatting sqref="F46">
    <cfRule type="expression" dxfId="914" priority="928">
      <formula>AND(OR($D46="GD&amp;T",$D46="MAX"),$G46&lt;&gt;"")</formula>
    </cfRule>
    <cfRule type="expression" dxfId="913" priority="929">
      <formula>AND(OR($D46="GD&amp;T",$D46="MAX"),$G46="")</formula>
    </cfRule>
    <cfRule type="containsBlanks" dxfId="912" priority="930">
      <formula>LEN(TRIM(F46))=0</formula>
    </cfRule>
  </conditionalFormatting>
  <conditionalFormatting sqref="F49">
    <cfRule type="expression" dxfId="911" priority="925">
      <formula>AND(OR($D49="GD&amp;T",$D49="MAX"),$G49&lt;&gt;"")</formula>
    </cfRule>
    <cfRule type="expression" dxfId="910" priority="926">
      <formula>AND(OR($D49="GD&amp;T",$D49="MAX"),$G49="")</formula>
    </cfRule>
    <cfRule type="containsBlanks" dxfId="909" priority="927">
      <formula>LEN(TRIM(F49))=0</formula>
    </cfRule>
  </conditionalFormatting>
  <conditionalFormatting sqref="F49">
    <cfRule type="expression" dxfId="908" priority="922">
      <formula>AND(OR($D49="GD&amp;T",$D49="MAX"),$G49&lt;&gt;"")</formula>
    </cfRule>
    <cfRule type="expression" dxfId="907" priority="923">
      <formula>AND(OR($D49="GD&amp;T",$D49="MAX"),$G49="")</formula>
    </cfRule>
    <cfRule type="containsBlanks" dxfId="906" priority="924">
      <formula>LEN(TRIM(F49))=0</formula>
    </cfRule>
  </conditionalFormatting>
  <conditionalFormatting sqref="F50">
    <cfRule type="expression" dxfId="905" priority="919">
      <formula>AND(OR($D50="GD&amp;T",$D50="MAX"),$G50&lt;&gt;"")</formula>
    </cfRule>
    <cfRule type="expression" dxfId="904" priority="920">
      <formula>AND(OR($D50="GD&amp;T",$D50="MAX"),$G50="")</formula>
    </cfRule>
    <cfRule type="containsBlanks" dxfId="903" priority="921">
      <formula>LEN(TRIM(F50))=0</formula>
    </cfRule>
  </conditionalFormatting>
  <conditionalFormatting sqref="F50">
    <cfRule type="expression" dxfId="902" priority="916">
      <formula>AND(OR($D50="GD&amp;T",$D50="MAX"),$G50&lt;&gt;"")</formula>
    </cfRule>
    <cfRule type="expression" dxfId="901" priority="917">
      <formula>AND(OR($D50="GD&amp;T",$D50="MAX"),$G50="")</formula>
    </cfRule>
    <cfRule type="containsBlanks" dxfId="900" priority="918">
      <formula>LEN(TRIM(F50))=0</formula>
    </cfRule>
  </conditionalFormatting>
  <conditionalFormatting sqref="E51">
    <cfRule type="expression" dxfId="899" priority="913">
      <formula>AND($D51&lt;&gt;"Tolerance",$E51&lt;&gt;"")</formula>
    </cfRule>
    <cfRule type="expression" dxfId="898" priority="914">
      <formula>AND(OR($D51="GD&amp;T",$D51="MAX",$D51="MIN"),$E51="")</formula>
    </cfRule>
    <cfRule type="containsBlanks" dxfId="897" priority="915">
      <formula>LEN(TRIM(E51))=0</formula>
    </cfRule>
  </conditionalFormatting>
  <conditionalFormatting sqref="F51">
    <cfRule type="expression" dxfId="896" priority="910">
      <formula>AND(OR($D51="GD&amp;T",$D51="MAX"),$G51&lt;&gt;"")</formula>
    </cfRule>
    <cfRule type="expression" dxfId="895" priority="911">
      <formula>AND(OR($D51="GD&amp;T",$D51="MAX"),$G51="")</formula>
    </cfRule>
    <cfRule type="containsBlanks" dxfId="894" priority="912">
      <formula>LEN(TRIM(F51))=0</formula>
    </cfRule>
  </conditionalFormatting>
  <conditionalFormatting sqref="F51">
    <cfRule type="expression" dxfId="893" priority="907">
      <formula>AND(OR($D51="GD&amp;T",$D51="MAX"),$G51&lt;&gt;"")</formula>
    </cfRule>
    <cfRule type="expression" dxfId="892" priority="908">
      <formula>AND(OR($D51="GD&amp;T",$D51="MAX"),$G51="")</formula>
    </cfRule>
    <cfRule type="containsBlanks" dxfId="891" priority="909">
      <formula>LEN(TRIM(F51))=0</formula>
    </cfRule>
  </conditionalFormatting>
  <conditionalFormatting sqref="E65">
    <cfRule type="expression" dxfId="890" priority="904">
      <formula>AND($D65&lt;&gt;"Tolerance",$E65&lt;&gt;"")</formula>
    </cfRule>
    <cfRule type="expression" dxfId="889" priority="905">
      <formula>AND(OR($D65="GD&amp;T",$D65="MAX",$D65="MIN"),$E65="")</formula>
    </cfRule>
    <cfRule type="containsBlanks" dxfId="888" priority="906">
      <formula>LEN(TRIM(E65))=0</formula>
    </cfRule>
  </conditionalFormatting>
  <conditionalFormatting sqref="E72">
    <cfRule type="expression" dxfId="887" priority="901">
      <formula>AND($D72="MIN",$F72&lt;&gt;"")</formula>
    </cfRule>
    <cfRule type="expression" dxfId="886" priority="902">
      <formula>AND($D72="MIN",$F72="")</formula>
    </cfRule>
    <cfRule type="containsBlanks" dxfId="885" priority="903">
      <formula>LEN(TRIM(E72))=0</formula>
    </cfRule>
  </conditionalFormatting>
  <conditionalFormatting sqref="F72">
    <cfRule type="expression" dxfId="884" priority="898">
      <formula>AND(OR($D72="GD&amp;T",$D72="MAX"),$G72&lt;&gt;"")</formula>
    </cfRule>
    <cfRule type="expression" dxfId="883" priority="899">
      <formula>AND(OR($D72="GD&amp;T",$D72="MAX"),$G72="")</formula>
    </cfRule>
    <cfRule type="containsBlanks" dxfId="882" priority="900">
      <formula>LEN(TRIM(F72))=0</formula>
    </cfRule>
  </conditionalFormatting>
  <conditionalFormatting sqref="E72">
    <cfRule type="expression" dxfId="881" priority="895">
      <formula>AND($D72="MIN",$F72&lt;&gt;"")</formula>
    </cfRule>
    <cfRule type="expression" dxfId="880" priority="896">
      <formula>AND($D72="MIN",$F72="")</formula>
    </cfRule>
    <cfRule type="containsBlanks" dxfId="879" priority="897">
      <formula>LEN(TRIM(E72))=0</formula>
    </cfRule>
  </conditionalFormatting>
  <conditionalFormatting sqref="F72">
    <cfRule type="expression" dxfId="878" priority="892">
      <formula>AND(OR($D72="GD&amp;T",$D72="MAX"),$G72&lt;&gt;"")</formula>
    </cfRule>
    <cfRule type="expression" dxfId="877" priority="893">
      <formula>AND(OR($D72="GD&amp;T",$D72="MAX"),$G72="")</formula>
    </cfRule>
    <cfRule type="containsBlanks" dxfId="876" priority="894">
      <formula>LEN(TRIM(F72))=0</formula>
    </cfRule>
  </conditionalFormatting>
  <conditionalFormatting sqref="E73">
    <cfRule type="expression" dxfId="875" priority="889">
      <formula>AND($D73&lt;&gt;"Tolerance",$E73&lt;&gt;"")</formula>
    </cfRule>
    <cfRule type="expression" dxfId="874" priority="890">
      <formula>AND(OR($D73="GD&amp;T",$D73="MAX",$D73="MIN"),$E73="")</formula>
    </cfRule>
    <cfRule type="containsBlanks" dxfId="873" priority="891">
      <formula>LEN(TRIM(E73))=0</formula>
    </cfRule>
  </conditionalFormatting>
  <conditionalFormatting sqref="E73">
    <cfRule type="expression" dxfId="872" priority="886">
      <formula>AND($D73="MIN",$F73&lt;&gt;"")</formula>
    </cfRule>
    <cfRule type="expression" dxfId="871" priority="887">
      <formula>AND($D73="MIN",$F73="")</formula>
    </cfRule>
    <cfRule type="containsBlanks" dxfId="870" priority="888">
      <formula>LEN(TRIM(E73))=0</formula>
    </cfRule>
  </conditionalFormatting>
  <conditionalFormatting sqref="F73">
    <cfRule type="expression" dxfId="869" priority="883">
      <formula>AND(OR($D73="GD&amp;T",$D73="MAX"),$G73&lt;&gt;"")</formula>
    </cfRule>
    <cfRule type="expression" dxfId="868" priority="884">
      <formula>AND(OR($D73="GD&amp;T",$D73="MAX"),$G73="")</formula>
    </cfRule>
    <cfRule type="containsBlanks" dxfId="867" priority="885">
      <formula>LEN(TRIM(F73))=0</formula>
    </cfRule>
  </conditionalFormatting>
  <conditionalFormatting sqref="E73">
    <cfRule type="expression" dxfId="866" priority="880">
      <formula>AND($D73="MIN",$F73&lt;&gt;"")</formula>
    </cfRule>
    <cfRule type="expression" dxfId="865" priority="881">
      <formula>AND($D73="MIN",$F73="")</formula>
    </cfRule>
    <cfRule type="containsBlanks" dxfId="864" priority="882">
      <formula>LEN(TRIM(E73))=0</formula>
    </cfRule>
  </conditionalFormatting>
  <conditionalFormatting sqref="F73">
    <cfRule type="expression" dxfId="863" priority="877">
      <formula>AND(OR($D73="GD&amp;T",$D73="MAX"),$G73&lt;&gt;"")</formula>
    </cfRule>
    <cfRule type="expression" dxfId="862" priority="878">
      <formula>AND(OR($D73="GD&amp;T",$D73="MAX"),$G73="")</formula>
    </cfRule>
    <cfRule type="containsBlanks" dxfId="861" priority="879">
      <formula>LEN(TRIM(F73))=0</formula>
    </cfRule>
  </conditionalFormatting>
  <conditionalFormatting sqref="G113">
    <cfRule type="expression" dxfId="860" priority="865">
      <formula>AND(OR($D113="GD&amp;T",$D113="MAX"),$G113&lt;&gt;"")</formula>
    </cfRule>
    <cfRule type="expression" dxfId="859" priority="866">
      <formula>AND(OR($D113="GD&amp;T",$D113="MAX"),$G113="")</formula>
    </cfRule>
    <cfRule type="containsBlanks" dxfId="858" priority="867">
      <formula>LEN(TRIM(G113))=0</formula>
    </cfRule>
  </conditionalFormatting>
  <conditionalFormatting sqref="G113">
    <cfRule type="expression" dxfId="857" priority="862">
      <formula>AND(OR($D113="GD&amp;T",$D113="MAX"),$G113&lt;&gt;"")</formula>
    </cfRule>
    <cfRule type="expression" dxfId="856" priority="863">
      <formula>AND(OR($D113="GD&amp;T",$D113="MAX"),$G113="")</formula>
    </cfRule>
    <cfRule type="containsBlanks" dxfId="855" priority="864">
      <formula>LEN(TRIM(G113))=0</formula>
    </cfRule>
  </conditionalFormatting>
  <conditionalFormatting sqref="G113">
    <cfRule type="expression" dxfId="854" priority="859">
      <formula>AND(OR($D113="GD&amp;T",$D113="MAX"),$G113&lt;&gt;"")</formula>
    </cfRule>
    <cfRule type="expression" dxfId="853" priority="860">
      <formula>AND(OR($D113="GD&amp;T",$D113="MAX"),$G113="")</formula>
    </cfRule>
    <cfRule type="containsBlanks" dxfId="852" priority="861">
      <formula>LEN(TRIM(G113))=0</formula>
    </cfRule>
  </conditionalFormatting>
  <conditionalFormatting sqref="G113">
    <cfRule type="expression" dxfId="851" priority="856">
      <formula>AND(OR($D113="GD&amp;T",$D113="MAX"),$G113&lt;&gt;"")</formula>
    </cfRule>
    <cfRule type="expression" dxfId="850" priority="857">
      <formula>AND(OR($D113="GD&amp;T",$D113="MAX"),$G113="")</formula>
    </cfRule>
    <cfRule type="containsBlanks" dxfId="849" priority="858">
      <formula>LEN(TRIM(G113))=0</formula>
    </cfRule>
  </conditionalFormatting>
  <conditionalFormatting sqref="G113">
    <cfRule type="expression" dxfId="848" priority="853">
      <formula>AND(OR($D113="GD&amp;T",$D113="MAX"),$G113&lt;&gt;"")</formula>
    </cfRule>
    <cfRule type="expression" dxfId="847" priority="854">
      <formula>AND(OR($D113="GD&amp;T",$D113="MAX"),$G113="")</formula>
    </cfRule>
    <cfRule type="containsBlanks" dxfId="846" priority="855">
      <formula>LEN(TRIM(G113))=0</formula>
    </cfRule>
  </conditionalFormatting>
  <conditionalFormatting sqref="E115">
    <cfRule type="expression" dxfId="845" priority="850">
      <formula>AND($D115&lt;&gt;"Tolerance",$E115&lt;&gt;"")</formula>
    </cfRule>
    <cfRule type="expression" dxfId="844" priority="851">
      <formula>AND(OR($D115="GD&amp;T",$D115="MAX",$D115="MIN"),$E115="")</formula>
    </cfRule>
    <cfRule type="containsBlanks" dxfId="843" priority="852">
      <formula>LEN(TRIM(E115))=0</formula>
    </cfRule>
  </conditionalFormatting>
  <conditionalFormatting sqref="F115">
    <cfRule type="expression" dxfId="842" priority="847">
      <formula>AND($D115="MIN",$F115&lt;&gt;"")</formula>
    </cfRule>
    <cfRule type="expression" dxfId="841" priority="848">
      <formula>AND($D115="MIN",$F115="")</formula>
    </cfRule>
    <cfRule type="containsBlanks" dxfId="840" priority="849">
      <formula>LEN(TRIM(F115))=0</formula>
    </cfRule>
  </conditionalFormatting>
  <conditionalFormatting sqref="G115">
    <cfRule type="expression" dxfId="839" priority="844">
      <formula>AND(OR($D115="GD&amp;T",$D115="MAX"),$G115&lt;&gt;"")</formula>
    </cfRule>
    <cfRule type="expression" dxfId="838" priority="845">
      <formula>AND(OR($D115="GD&amp;T",$D115="MAX"),$G115="")</formula>
    </cfRule>
    <cfRule type="containsBlanks" dxfId="837" priority="846">
      <formula>LEN(TRIM(G115))=0</formula>
    </cfRule>
  </conditionalFormatting>
  <conditionalFormatting sqref="F115">
    <cfRule type="expression" dxfId="836" priority="841">
      <formula>AND($D115="MIN",$F115&lt;&gt;"")</formula>
    </cfRule>
    <cfRule type="expression" dxfId="835" priority="842">
      <formula>AND($D115="MIN",$F115="")</formula>
    </cfRule>
    <cfRule type="containsBlanks" dxfId="834" priority="843">
      <formula>LEN(TRIM(F115))=0</formula>
    </cfRule>
  </conditionalFormatting>
  <conditionalFormatting sqref="G115">
    <cfRule type="expression" dxfId="833" priority="838">
      <formula>AND(OR($D115="GD&amp;T",$D115="MAX"),$G115&lt;&gt;"")</formula>
    </cfRule>
    <cfRule type="expression" dxfId="832" priority="839">
      <formula>AND(OR($D115="GD&amp;T",$D115="MAX"),$G115="")</formula>
    </cfRule>
    <cfRule type="containsBlanks" dxfId="831" priority="840">
      <formula>LEN(TRIM(G115))=0</formula>
    </cfRule>
  </conditionalFormatting>
  <conditionalFormatting sqref="F114">
    <cfRule type="expression" dxfId="830" priority="835">
      <formula>AND($D114="MIN",$F114&lt;&gt;"")</formula>
    </cfRule>
    <cfRule type="expression" dxfId="829" priority="836">
      <formula>AND($D114="MIN",$F114="")</formula>
    </cfRule>
    <cfRule type="containsBlanks" dxfId="828" priority="837">
      <formula>LEN(TRIM(F114))=0</formula>
    </cfRule>
  </conditionalFormatting>
  <conditionalFormatting sqref="G114">
    <cfRule type="expression" dxfId="827" priority="832">
      <formula>AND(OR($D114="GD&amp;T",$D114="MAX"),$G114&lt;&gt;"")</formula>
    </cfRule>
    <cfRule type="expression" dxfId="826" priority="833">
      <formula>AND(OR($D114="GD&amp;T",$D114="MAX"),$G114="")</formula>
    </cfRule>
    <cfRule type="containsBlanks" dxfId="825" priority="834">
      <formula>LEN(TRIM(G114))=0</formula>
    </cfRule>
  </conditionalFormatting>
  <conditionalFormatting sqref="F114">
    <cfRule type="expression" dxfId="824" priority="829">
      <formula>AND($D114="MIN",$F114&lt;&gt;"")</formula>
    </cfRule>
    <cfRule type="expression" dxfId="823" priority="830">
      <formula>AND($D114="MIN",$F114="")</formula>
    </cfRule>
    <cfRule type="containsBlanks" dxfId="822" priority="831">
      <formula>LEN(TRIM(F114))=0</formula>
    </cfRule>
  </conditionalFormatting>
  <conditionalFormatting sqref="G114">
    <cfRule type="expression" dxfId="821" priority="826">
      <formula>AND(OR($D114="GD&amp;T",$D114="MAX"),$G114&lt;&gt;"")</formula>
    </cfRule>
    <cfRule type="expression" dxfId="820" priority="827">
      <formula>AND(OR($D114="GD&amp;T",$D114="MAX"),$G114="")</formula>
    </cfRule>
    <cfRule type="containsBlanks" dxfId="819" priority="828">
      <formula>LEN(TRIM(G114))=0</formula>
    </cfRule>
  </conditionalFormatting>
  <conditionalFormatting sqref="E114">
    <cfRule type="expression" dxfId="818" priority="823">
      <formula>AND($D114&lt;&gt;"Tolerance",$E114&lt;&gt;"")</formula>
    </cfRule>
    <cfRule type="expression" dxfId="817" priority="824">
      <formula>AND(OR($D114="GD&amp;T",$D114="MAX",$D114="MIN"),$E114="")</formula>
    </cfRule>
    <cfRule type="containsBlanks" dxfId="816" priority="825">
      <formula>LEN(TRIM(E114))=0</formula>
    </cfRule>
  </conditionalFormatting>
  <conditionalFormatting sqref="E115">
    <cfRule type="expression" dxfId="815" priority="820">
      <formula>AND($D115&lt;&gt;"Tolerance",$E115&lt;&gt;"")</formula>
    </cfRule>
    <cfRule type="expression" dxfId="814" priority="821">
      <formula>AND(OR($D115="GD&amp;T",$D115="MAX",$D115="MIN"),$E115="")</formula>
    </cfRule>
    <cfRule type="containsBlanks" dxfId="813" priority="822">
      <formula>LEN(TRIM(E115))=0</formula>
    </cfRule>
  </conditionalFormatting>
  <conditionalFormatting sqref="F115">
    <cfRule type="expression" dxfId="812" priority="817">
      <formula>AND($D115="MIN",$F115&lt;&gt;"")</formula>
    </cfRule>
    <cfRule type="expression" dxfId="811" priority="818">
      <formula>AND($D115="MIN",$F115="")</formula>
    </cfRule>
    <cfRule type="containsBlanks" dxfId="810" priority="819">
      <formula>LEN(TRIM(F115))=0</formula>
    </cfRule>
  </conditionalFormatting>
  <conditionalFormatting sqref="G115">
    <cfRule type="expression" dxfId="809" priority="814">
      <formula>AND(OR($D115="GD&amp;T",$D115="MAX"),$G115&lt;&gt;"")</formula>
    </cfRule>
    <cfRule type="expression" dxfId="808" priority="815">
      <formula>AND(OR($D115="GD&amp;T",$D115="MAX"),$G115="")</formula>
    </cfRule>
    <cfRule type="containsBlanks" dxfId="807" priority="816">
      <formula>LEN(TRIM(G115))=0</formula>
    </cfRule>
  </conditionalFormatting>
  <conditionalFormatting sqref="F115">
    <cfRule type="expression" dxfId="806" priority="811">
      <formula>AND($D115="MIN",$F115&lt;&gt;"")</formula>
    </cfRule>
    <cfRule type="expression" dxfId="805" priority="812">
      <formula>AND($D115="MIN",$F115="")</formula>
    </cfRule>
    <cfRule type="containsBlanks" dxfId="804" priority="813">
      <formula>LEN(TRIM(F115))=0</formula>
    </cfRule>
  </conditionalFormatting>
  <conditionalFormatting sqref="G115">
    <cfRule type="expression" dxfId="803" priority="808">
      <formula>AND(OR($D115="GD&amp;T",$D115="MAX"),$G115&lt;&gt;"")</formula>
    </cfRule>
    <cfRule type="expression" dxfId="802" priority="809">
      <formula>AND(OR($D115="GD&amp;T",$D115="MAX"),$G115="")</formula>
    </cfRule>
    <cfRule type="containsBlanks" dxfId="801" priority="810">
      <formula>LEN(TRIM(G115))=0</formula>
    </cfRule>
  </conditionalFormatting>
  <conditionalFormatting sqref="F114">
    <cfRule type="expression" dxfId="800" priority="805">
      <formula>AND($D114="MIN",$F114&lt;&gt;"")</formula>
    </cfRule>
    <cfRule type="expression" dxfId="799" priority="806">
      <formula>AND($D114="MIN",$F114="")</formula>
    </cfRule>
    <cfRule type="containsBlanks" dxfId="798" priority="807">
      <formula>LEN(TRIM(F114))=0</formula>
    </cfRule>
  </conditionalFormatting>
  <conditionalFormatting sqref="G114">
    <cfRule type="expression" dxfId="797" priority="802">
      <formula>AND(OR($D114="GD&amp;T",$D114="MAX"),$G114&lt;&gt;"")</formula>
    </cfRule>
    <cfRule type="expression" dxfId="796" priority="803">
      <formula>AND(OR($D114="GD&amp;T",$D114="MAX"),$G114="")</formula>
    </cfRule>
    <cfRule type="containsBlanks" dxfId="795" priority="804">
      <formula>LEN(TRIM(G114))=0</formula>
    </cfRule>
  </conditionalFormatting>
  <conditionalFormatting sqref="F114">
    <cfRule type="expression" dxfId="794" priority="799">
      <formula>AND($D114="MIN",$F114&lt;&gt;"")</formula>
    </cfRule>
    <cfRule type="expression" dxfId="793" priority="800">
      <formula>AND($D114="MIN",$F114="")</formula>
    </cfRule>
    <cfRule type="containsBlanks" dxfId="792" priority="801">
      <formula>LEN(TRIM(F114))=0</formula>
    </cfRule>
  </conditionalFormatting>
  <conditionalFormatting sqref="G114">
    <cfRule type="expression" dxfId="791" priority="796">
      <formula>AND(OR($D114="GD&amp;T",$D114="MAX"),$G114&lt;&gt;"")</formula>
    </cfRule>
    <cfRule type="expression" dxfId="790" priority="797">
      <formula>AND(OR($D114="GD&amp;T",$D114="MAX"),$G114="")</formula>
    </cfRule>
    <cfRule type="containsBlanks" dxfId="789" priority="798">
      <formula>LEN(TRIM(G114))=0</formula>
    </cfRule>
  </conditionalFormatting>
  <conditionalFormatting sqref="E114">
    <cfRule type="expression" dxfId="788" priority="793">
      <formula>AND($D114&lt;&gt;"Tolerance",$E114&lt;&gt;"")</formula>
    </cfRule>
    <cfRule type="expression" dxfId="787" priority="794">
      <formula>AND(OR($D114="GD&amp;T",$D114="MAX",$D114="MIN"),$E114="")</formula>
    </cfRule>
    <cfRule type="containsBlanks" dxfId="786" priority="795">
      <formula>LEN(TRIM(E114))=0</formula>
    </cfRule>
  </conditionalFormatting>
  <conditionalFormatting sqref="E114">
    <cfRule type="expression" dxfId="785" priority="790">
      <formula>AND($D114&lt;&gt;"Tolerance",$E114&lt;&gt;"")</formula>
    </cfRule>
    <cfRule type="expression" dxfId="784" priority="791">
      <formula>AND(OR($D114="GD&amp;T",$D114="MAX",$D114="MIN"),$E114="")</formula>
    </cfRule>
    <cfRule type="containsBlanks" dxfId="783" priority="792">
      <formula>LEN(TRIM(E114))=0</formula>
    </cfRule>
  </conditionalFormatting>
  <conditionalFormatting sqref="G115">
    <cfRule type="expression" dxfId="782" priority="787">
      <formula>AND(OR($D115="GD&amp;T",$D115="MAX"),$G115&lt;&gt;"")</formula>
    </cfRule>
    <cfRule type="expression" dxfId="781" priority="788">
      <formula>AND(OR($D115="GD&amp;T",$D115="MAX"),$G115="")</formula>
    </cfRule>
    <cfRule type="containsBlanks" dxfId="780" priority="789">
      <formula>LEN(TRIM(G115))=0</formula>
    </cfRule>
  </conditionalFormatting>
  <conditionalFormatting sqref="G115">
    <cfRule type="expression" dxfId="779" priority="784">
      <formula>AND(OR($D115="GD&amp;T",$D115="MAX"),$G115&lt;&gt;"")</formula>
    </cfRule>
    <cfRule type="expression" dxfId="778" priority="785">
      <formula>AND(OR($D115="GD&amp;T",$D115="MAX"),$G115="")</formula>
    </cfRule>
    <cfRule type="containsBlanks" dxfId="777" priority="786">
      <formula>LEN(TRIM(G115))=0</formula>
    </cfRule>
  </conditionalFormatting>
  <conditionalFormatting sqref="G115">
    <cfRule type="expression" dxfId="776" priority="781">
      <formula>AND(OR($D115="GD&amp;T",$D115="MAX"),$G115&lt;&gt;"")</formula>
    </cfRule>
    <cfRule type="expression" dxfId="775" priority="782">
      <formula>AND(OR($D115="GD&amp;T",$D115="MAX"),$G115="")</formula>
    </cfRule>
    <cfRule type="containsBlanks" dxfId="774" priority="783">
      <formula>LEN(TRIM(G115))=0</formula>
    </cfRule>
  </conditionalFormatting>
  <conditionalFormatting sqref="G115">
    <cfRule type="expression" dxfId="773" priority="778">
      <formula>AND(OR($D115="GD&amp;T",$D115="MAX"),$G115&lt;&gt;"")</formula>
    </cfRule>
    <cfRule type="expression" dxfId="772" priority="779">
      <formula>AND(OR($D115="GD&amp;T",$D115="MAX"),$G115="")</formula>
    </cfRule>
    <cfRule type="containsBlanks" dxfId="771" priority="780">
      <formula>LEN(TRIM(G115))=0</formula>
    </cfRule>
  </conditionalFormatting>
  <conditionalFormatting sqref="G115">
    <cfRule type="expression" dxfId="770" priority="775">
      <formula>AND(OR($D115="GD&amp;T",$D115="MAX"),$G115&lt;&gt;"")</formula>
    </cfRule>
    <cfRule type="expression" dxfId="769" priority="776">
      <formula>AND(OR($D115="GD&amp;T",$D115="MAX"),$G115="")</formula>
    </cfRule>
    <cfRule type="containsBlanks" dxfId="768" priority="777">
      <formula>LEN(TRIM(G115))=0</formula>
    </cfRule>
  </conditionalFormatting>
  <conditionalFormatting sqref="F116">
    <cfRule type="expression" dxfId="767" priority="772">
      <formula>AND($D116="MIN",$F116&lt;&gt;"")</formula>
    </cfRule>
    <cfRule type="expression" dxfId="766" priority="773">
      <formula>AND($D116="MIN",$F116="")</formula>
    </cfRule>
    <cfRule type="containsBlanks" dxfId="765" priority="774">
      <formula>LEN(TRIM(F116))=0</formula>
    </cfRule>
  </conditionalFormatting>
  <conditionalFormatting sqref="G116">
    <cfRule type="expression" dxfId="764" priority="769">
      <formula>AND(OR($D116="GD&amp;T",$D116="MAX"),$G116&lt;&gt;"")</formula>
    </cfRule>
    <cfRule type="expression" dxfId="763" priority="770">
      <formula>AND(OR($D116="GD&amp;T",$D116="MAX"),$G116="")</formula>
    </cfRule>
    <cfRule type="containsBlanks" dxfId="762" priority="771">
      <formula>LEN(TRIM(G116))=0</formula>
    </cfRule>
  </conditionalFormatting>
  <conditionalFormatting sqref="F116">
    <cfRule type="expression" dxfId="761" priority="766">
      <formula>AND($D116="MIN",$F116&lt;&gt;"")</formula>
    </cfRule>
    <cfRule type="expression" dxfId="760" priority="767">
      <formula>AND($D116="MIN",$F116="")</formula>
    </cfRule>
    <cfRule type="containsBlanks" dxfId="759" priority="768">
      <formula>LEN(TRIM(F116))=0</formula>
    </cfRule>
  </conditionalFormatting>
  <conditionalFormatting sqref="G116">
    <cfRule type="expression" dxfId="758" priority="763">
      <formula>AND(OR($D116="GD&amp;T",$D116="MAX"),$G116&lt;&gt;"")</formula>
    </cfRule>
    <cfRule type="expression" dxfId="757" priority="764">
      <formula>AND(OR($D116="GD&amp;T",$D116="MAX"),$G116="")</formula>
    </cfRule>
    <cfRule type="containsBlanks" dxfId="756" priority="765">
      <formula>LEN(TRIM(G116))=0</formula>
    </cfRule>
  </conditionalFormatting>
  <conditionalFormatting sqref="F116">
    <cfRule type="expression" dxfId="755" priority="760">
      <formula>AND($D116="MIN",$F116&lt;&gt;"")</formula>
    </cfRule>
    <cfRule type="expression" dxfId="754" priority="761">
      <formula>AND($D116="MIN",$F116="")</formula>
    </cfRule>
    <cfRule type="containsBlanks" dxfId="753" priority="762">
      <formula>LEN(TRIM(F116))=0</formula>
    </cfRule>
  </conditionalFormatting>
  <conditionalFormatting sqref="G116">
    <cfRule type="expression" dxfId="752" priority="757">
      <formula>AND(OR($D116="GD&amp;T",$D116="MAX"),$G116&lt;&gt;"")</formula>
    </cfRule>
    <cfRule type="expression" dxfId="751" priority="758">
      <formula>AND(OR($D116="GD&amp;T",$D116="MAX"),$G116="")</formula>
    </cfRule>
    <cfRule type="containsBlanks" dxfId="750" priority="759">
      <formula>LEN(TRIM(G116))=0</formula>
    </cfRule>
  </conditionalFormatting>
  <conditionalFormatting sqref="F116">
    <cfRule type="expression" dxfId="749" priority="754">
      <formula>AND($D116="MIN",$F116&lt;&gt;"")</formula>
    </cfRule>
    <cfRule type="expression" dxfId="748" priority="755">
      <formula>AND($D116="MIN",$F116="")</formula>
    </cfRule>
    <cfRule type="containsBlanks" dxfId="747" priority="756">
      <formula>LEN(TRIM(F116))=0</formula>
    </cfRule>
  </conditionalFormatting>
  <conditionalFormatting sqref="G116">
    <cfRule type="expression" dxfId="746" priority="751">
      <formula>AND(OR($D116="GD&amp;T",$D116="MAX"),$G116&lt;&gt;"")</formula>
    </cfRule>
    <cfRule type="expression" dxfId="745" priority="752">
      <formula>AND(OR($D116="GD&amp;T",$D116="MAX"),$G116="")</formula>
    </cfRule>
    <cfRule type="containsBlanks" dxfId="744" priority="753">
      <formula>LEN(TRIM(G116))=0</formula>
    </cfRule>
  </conditionalFormatting>
  <conditionalFormatting sqref="F117">
    <cfRule type="expression" dxfId="743" priority="748">
      <formula>AND($D117="MIN",$F117&lt;&gt;"")</formula>
    </cfRule>
    <cfRule type="expression" dxfId="742" priority="749">
      <formula>AND($D117="MIN",$F117="")</formula>
    </cfRule>
    <cfRule type="containsBlanks" dxfId="741" priority="750">
      <formula>LEN(TRIM(F117))=0</formula>
    </cfRule>
  </conditionalFormatting>
  <conditionalFormatting sqref="G117">
    <cfRule type="expression" dxfId="740" priority="745">
      <formula>AND(OR($D117="GD&amp;T",$D117="MAX"),$G117&lt;&gt;"")</formula>
    </cfRule>
    <cfRule type="expression" dxfId="739" priority="746">
      <formula>AND(OR($D117="GD&amp;T",$D117="MAX"),$G117="")</formula>
    </cfRule>
    <cfRule type="containsBlanks" dxfId="738" priority="747">
      <formula>LEN(TRIM(G117))=0</formula>
    </cfRule>
  </conditionalFormatting>
  <conditionalFormatting sqref="F117">
    <cfRule type="expression" dxfId="737" priority="742">
      <formula>AND($D117="MIN",$F117&lt;&gt;"")</formula>
    </cfRule>
    <cfRule type="expression" dxfId="736" priority="743">
      <formula>AND($D117="MIN",$F117="")</formula>
    </cfRule>
    <cfRule type="containsBlanks" dxfId="735" priority="744">
      <formula>LEN(TRIM(F117))=0</formula>
    </cfRule>
  </conditionalFormatting>
  <conditionalFormatting sqref="G117">
    <cfRule type="expression" dxfId="734" priority="739">
      <formula>AND(OR($D117="GD&amp;T",$D117="MAX"),$G117&lt;&gt;"")</formula>
    </cfRule>
    <cfRule type="expression" dxfId="733" priority="740">
      <formula>AND(OR($D117="GD&amp;T",$D117="MAX"),$G117="")</formula>
    </cfRule>
    <cfRule type="containsBlanks" dxfId="732" priority="741">
      <formula>LEN(TRIM(G117))=0</formula>
    </cfRule>
  </conditionalFormatting>
  <conditionalFormatting sqref="F116">
    <cfRule type="expression" dxfId="731" priority="736">
      <formula>AND($D116="MIN",$F116&lt;&gt;"")</formula>
    </cfRule>
    <cfRule type="expression" dxfId="730" priority="737">
      <formula>AND($D116="MIN",$F116="")</formula>
    </cfRule>
    <cfRule type="containsBlanks" dxfId="729" priority="738">
      <formula>LEN(TRIM(F116))=0</formula>
    </cfRule>
  </conditionalFormatting>
  <conditionalFormatting sqref="G116">
    <cfRule type="expression" dxfId="728" priority="733">
      <formula>AND(OR($D116="GD&amp;T",$D116="MAX"),$G116&lt;&gt;"")</formula>
    </cfRule>
    <cfRule type="expression" dxfId="727" priority="734">
      <formula>AND(OR($D116="GD&amp;T",$D116="MAX"),$G116="")</formula>
    </cfRule>
    <cfRule type="containsBlanks" dxfId="726" priority="735">
      <formula>LEN(TRIM(G116))=0</formula>
    </cfRule>
  </conditionalFormatting>
  <conditionalFormatting sqref="F116">
    <cfRule type="expression" dxfId="725" priority="730">
      <formula>AND($D116="MIN",$F116&lt;&gt;"")</formula>
    </cfRule>
    <cfRule type="expression" dxfId="724" priority="731">
      <formula>AND($D116="MIN",$F116="")</formula>
    </cfRule>
    <cfRule type="containsBlanks" dxfId="723" priority="732">
      <formula>LEN(TRIM(F116))=0</formula>
    </cfRule>
  </conditionalFormatting>
  <conditionalFormatting sqref="G116">
    <cfRule type="expression" dxfId="722" priority="727">
      <formula>AND(OR($D116="GD&amp;T",$D116="MAX"),$G116&lt;&gt;"")</formula>
    </cfRule>
    <cfRule type="expression" dxfId="721" priority="728">
      <formula>AND(OR($D116="GD&amp;T",$D116="MAX"),$G116="")</formula>
    </cfRule>
    <cfRule type="containsBlanks" dxfId="720" priority="729">
      <formula>LEN(TRIM(G116))=0</formula>
    </cfRule>
  </conditionalFormatting>
  <conditionalFormatting sqref="F117">
    <cfRule type="expression" dxfId="719" priority="724">
      <formula>AND($D117="MIN",$F117&lt;&gt;"")</formula>
    </cfRule>
    <cfRule type="expression" dxfId="718" priority="725">
      <formula>AND($D117="MIN",$F117="")</formula>
    </cfRule>
    <cfRule type="containsBlanks" dxfId="717" priority="726">
      <formula>LEN(TRIM(F117))=0</formula>
    </cfRule>
  </conditionalFormatting>
  <conditionalFormatting sqref="G117">
    <cfRule type="expression" dxfId="716" priority="721">
      <formula>AND(OR($D117="GD&amp;T",$D117="MAX"),$G117&lt;&gt;"")</formula>
    </cfRule>
    <cfRule type="expression" dxfId="715" priority="722">
      <formula>AND(OR($D117="GD&amp;T",$D117="MAX"),$G117="")</formula>
    </cfRule>
    <cfRule type="containsBlanks" dxfId="714" priority="723">
      <formula>LEN(TRIM(G117))=0</formula>
    </cfRule>
  </conditionalFormatting>
  <conditionalFormatting sqref="F117">
    <cfRule type="expression" dxfId="713" priority="718">
      <formula>AND($D117="MIN",$F117&lt;&gt;"")</formula>
    </cfRule>
    <cfRule type="expression" dxfId="712" priority="719">
      <formula>AND($D117="MIN",$F117="")</formula>
    </cfRule>
    <cfRule type="containsBlanks" dxfId="711" priority="720">
      <formula>LEN(TRIM(F117))=0</formula>
    </cfRule>
  </conditionalFormatting>
  <conditionalFormatting sqref="G117">
    <cfRule type="expression" dxfId="710" priority="715">
      <formula>AND(OR($D117="GD&amp;T",$D117="MAX"),$G117&lt;&gt;"")</formula>
    </cfRule>
    <cfRule type="expression" dxfId="709" priority="716">
      <formula>AND(OR($D117="GD&amp;T",$D117="MAX"),$G117="")</formula>
    </cfRule>
    <cfRule type="containsBlanks" dxfId="708" priority="717">
      <formula>LEN(TRIM(G117))=0</formula>
    </cfRule>
  </conditionalFormatting>
  <conditionalFormatting sqref="F116">
    <cfRule type="expression" dxfId="707" priority="712">
      <formula>AND($D116="MIN",$F116&lt;&gt;"")</formula>
    </cfRule>
    <cfRule type="expression" dxfId="706" priority="713">
      <formula>AND($D116="MIN",$F116="")</formula>
    </cfRule>
    <cfRule type="containsBlanks" dxfId="705" priority="714">
      <formula>LEN(TRIM(F116))=0</formula>
    </cfRule>
  </conditionalFormatting>
  <conditionalFormatting sqref="G116">
    <cfRule type="expression" dxfId="704" priority="709">
      <formula>AND(OR($D116="GD&amp;T",$D116="MAX"),$G116&lt;&gt;"")</formula>
    </cfRule>
    <cfRule type="expression" dxfId="703" priority="710">
      <formula>AND(OR($D116="GD&amp;T",$D116="MAX"),$G116="")</formula>
    </cfRule>
    <cfRule type="containsBlanks" dxfId="702" priority="711">
      <formula>LEN(TRIM(G116))=0</formula>
    </cfRule>
  </conditionalFormatting>
  <conditionalFormatting sqref="F116">
    <cfRule type="expression" dxfId="701" priority="706">
      <formula>AND($D116="MIN",$F116&lt;&gt;"")</formula>
    </cfRule>
    <cfRule type="expression" dxfId="700" priority="707">
      <formula>AND($D116="MIN",$F116="")</formula>
    </cfRule>
    <cfRule type="containsBlanks" dxfId="699" priority="708">
      <formula>LEN(TRIM(F116))=0</formula>
    </cfRule>
  </conditionalFormatting>
  <conditionalFormatting sqref="G116">
    <cfRule type="expression" dxfId="698" priority="703">
      <formula>AND(OR($D116="GD&amp;T",$D116="MAX"),$G116&lt;&gt;"")</formula>
    </cfRule>
    <cfRule type="expression" dxfId="697" priority="704">
      <formula>AND(OR($D116="GD&amp;T",$D116="MAX"),$G116="")</formula>
    </cfRule>
    <cfRule type="containsBlanks" dxfId="696" priority="705">
      <formula>LEN(TRIM(G116))=0</formula>
    </cfRule>
  </conditionalFormatting>
  <conditionalFormatting sqref="G117">
    <cfRule type="expression" dxfId="695" priority="700">
      <formula>AND(OR($D117="GD&amp;T",$D117="MAX"),$G117&lt;&gt;"")</formula>
    </cfRule>
    <cfRule type="expression" dxfId="694" priority="701">
      <formula>AND(OR($D117="GD&amp;T",$D117="MAX"),$G117="")</formula>
    </cfRule>
    <cfRule type="containsBlanks" dxfId="693" priority="702">
      <formula>LEN(TRIM(G117))=0</formula>
    </cfRule>
  </conditionalFormatting>
  <conditionalFormatting sqref="G117">
    <cfRule type="expression" dxfId="692" priority="697">
      <formula>AND(OR($D117="GD&amp;T",$D117="MAX"),$G117&lt;&gt;"")</formula>
    </cfRule>
    <cfRule type="expression" dxfId="691" priority="698">
      <formula>AND(OR($D117="GD&amp;T",$D117="MAX"),$G117="")</formula>
    </cfRule>
    <cfRule type="containsBlanks" dxfId="690" priority="699">
      <formula>LEN(TRIM(G117))=0</formula>
    </cfRule>
  </conditionalFormatting>
  <conditionalFormatting sqref="G117">
    <cfRule type="expression" dxfId="689" priority="694">
      <formula>AND(OR($D117="GD&amp;T",$D117="MAX"),$G117&lt;&gt;"")</formula>
    </cfRule>
    <cfRule type="expression" dxfId="688" priority="695">
      <formula>AND(OR($D117="GD&amp;T",$D117="MAX"),$G117="")</formula>
    </cfRule>
    <cfRule type="containsBlanks" dxfId="687" priority="696">
      <formula>LEN(TRIM(G117))=0</formula>
    </cfRule>
  </conditionalFormatting>
  <conditionalFormatting sqref="G117">
    <cfRule type="expression" dxfId="686" priority="691">
      <formula>AND(OR($D117="GD&amp;T",$D117="MAX"),$G117&lt;&gt;"")</formula>
    </cfRule>
    <cfRule type="expression" dxfId="685" priority="692">
      <formula>AND(OR($D117="GD&amp;T",$D117="MAX"),$G117="")</formula>
    </cfRule>
    <cfRule type="containsBlanks" dxfId="684" priority="693">
      <formula>LEN(TRIM(G117))=0</formula>
    </cfRule>
  </conditionalFormatting>
  <conditionalFormatting sqref="G117">
    <cfRule type="expression" dxfId="683" priority="688">
      <formula>AND(OR($D117="GD&amp;T",$D117="MAX"),$G117&lt;&gt;"")</formula>
    </cfRule>
    <cfRule type="expression" dxfId="682" priority="689">
      <formula>AND(OR($D117="GD&amp;T",$D117="MAX"),$G117="")</formula>
    </cfRule>
    <cfRule type="containsBlanks" dxfId="681" priority="690">
      <formula>LEN(TRIM(G117))=0</formula>
    </cfRule>
  </conditionalFormatting>
  <conditionalFormatting sqref="F118">
    <cfRule type="expression" dxfId="680" priority="685">
      <formula>AND($D118="MIN",$F118&lt;&gt;"")</formula>
    </cfRule>
    <cfRule type="expression" dxfId="679" priority="686">
      <formula>AND($D118="MIN",$F118="")</formula>
    </cfRule>
    <cfRule type="containsBlanks" dxfId="678" priority="687">
      <formula>LEN(TRIM(F118))=0</formula>
    </cfRule>
  </conditionalFormatting>
  <conditionalFormatting sqref="G118">
    <cfRule type="expression" dxfId="677" priority="682">
      <formula>AND(OR($D118="GD&amp;T",$D118="MAX"),$G118&lt;&gt;"")</formula>
    </cfRule>
    <cfRule type="expression" dxfId="676" priority="683">
      <formula>AND(OR($D118="GD&amp;T",$D118="MAX"),$G118="")</formula>
    </cfRule>
    <cfRule type="containsBlanks" dxfId="675" priority="684">
      <formula>LEN(TRIM(G118))=0</formula>
    </cfRule>
  </conditionalFormatting>
  <conditionalFormatting sqref="F118">
    <cfRule type="expression" dxfId="674" priority="679">
      <formula>AND($D118="MIN",$F118&lt;&gt;"")</formula>
    </cfRule>
    <cfRule type="expression" dxfId="673" priority="680">
      <formula>AND($D118="MIN",$F118="")</formula>
    </cfRule>
    <cfRule type="containsBlanks" dxfId="672" priority="681">
      <formula>LEN(TRIM(F118))=0</formula>
    </cfRule>
  </conditionalFormatting>
  <conditionalFormatting sqref="G118">
    <cfRule type="expression" dxfId="671" priority="676">
      <formula>AND(OR($D118="GD&amp;T",$D118="MAX"),$G118&lt;&gt;"")</formula>
    </cfRule>
    <cfRule type="expression" dxfId="670" priority="677">
      <formula>AND(OR($D118="GD&amp;T",$D118="MAX"),$G118="")</formula>
    </cfRule>
    <cfRule type="containsBlanks" dxfId="669" priority="678">
      <formula>LEN(TRIM(G118))=0</formula>
    </cfRule>
  </conditionalFormatting>
  <conditionalFormatting sqref="F118">
    <cfRule type="expression" dxfId="668" priority="673">
      <formula>AND($D118="MIN",$F118&lt;&gt;"")</formula>
    </cfRule>
    <cfRule type="expression" dxfId="667" priority="674">
      <formula>AND($D118="MIN",$F118="")</formula>
    </cfRule>
    <cfRule type="containsBlanks" dxfId="666" priority="675">
      <formula>LEN(TRIM(F118))=0</formula>
    </cfRule>
  </conditionalFormatting>
  <conditionalFormatting sqref="G118">
    <cfRule type="expression" dxfId="665" priority="670">
      <formula>AND(OR($D118="GD&amp;T",$D118="MAX"),$G118&lt;&gt;"")</formula>
    </cfRule>
    <cfRule type="expression" dxfId="664" priority="671">
      <formula>AND(OR($D118="GD&amp;T",$D118="MAX"),$G118="")</formula>
    </cfRule>
    <cfRule type="containsBlanks" dxfId="663" priority="672">
      <formula>LEN(TRIM(G118))=0</formula>
    </cfRule>
  </conditionalFormatting>
  <conditionalFormatting sqref="F118">
    <cfRule type="expression" dxfId="662" priority="667">
      <formula>AND($D118="MIN",$F118&lt;&gt;"")</formula>
    </cfRule>
    <cfRule type="expression" dxfId="661" priority="668">
      <formula>AND($D118="MIN",$F118="")</formula>
    </cfRule>
    <cfRule type="containsBlanks" dxfId="660" priority="669">
      <formula>LEN(TRIM(F118))=0</formula>
    </cfRule>
  </conditionalFormatting>
  <conditionalFormatting sqref="G118">
    <cfRule type="expression" dxfId="659" priority="664">
      <formula>AND(OR($D118="GD&amp;T",$D118="MAX"),$G118&lt;&gt;"")</formula>
    </cfRule>
    <cfRule type="expression" dxfId="658" priority="665">
      <formula>AND(OR($D118="GD&amp;T",$D118="MAX"),$G118="")</formula>
    </cfRule>
    <cfRule type="containsBlanks" dxfId="657" priority="666">
      <formula>LEN(TRIM(G118))=0</formula>
    </cfRule>
  </conditionalFormatting>
  <conditionalFormatting sqref="G118">
    <cfRule type="expression" dxfId="656" priority="661">
      <formula>AND(OR($D118="GD&amp;T",$D118="MAX"),$G118&lt;&gt;"")</formula>
    </cfRule>
    <cfRule type="expression" dxfId="655" priority="662">
      <formula>AND(OR($D118="GD&amp;T",$D118="MAX"),$G118="")</formula>
    </cfRule>
    <cfRule type="containsBlanks" dxfId="654" priority="663">
      <formula>LEN(TRIM(G118))=0</formula>
    </cfRule>
  </conditionalFormatting>
  <conditionalFormatting sqref="G118">
    <cfRule type="expression" dxfId="653" priority="658">
      <formula>AND(OR($D118="GD&amp;T",$D118="MAX"),$G118&lt;&gt;"")</formula>
    </cfRule>
    <cfRule type="expression" dxfId="652" priority="659">
      <formula>AND(OR($D118="GD&amp;T",$D118="MAX"),$G118="")</formula>
    </cfRule>
    <cfRule type="containsBlanks" dxfId="651" priority="660">
      <formula>LEN(TRIM(G118))=0</formula>
    </cfRule>
  </conditionalFormatting>
  <conditionalFormatting sqref="G118">
    <cfRule type="expression" dxfId="650" priority="655">
      <formula>AND(OR($D118="GD&amp;T",$D118="MAX"),$G118&lt;&gt;"")</formula>
    </cfRule>
    <cfRule type="expression" dxfId="649" priority="656">
      <formula>AND(OR($D118="GD&amp;T",$D118="MAX"),$G118="")</formula>
    </cfRule>
    <cfRule type="containsBlanks" dxfId="648" priority="657">
      <formula>LEN(TRIM(G118))=0</formula>
    </cfRule>
  </conditionalFormatting>
  <conditionalFormatting sqref="G118">
    <cfRule type="expression" dxfId="647" priority="652">
      <formula>AND(OR($D118="GD&amp;T",$D118="MAX"),$G118&lt;&gt;"")</formula>
    </cfRule>
    <cfRule type="expression" dxfId="646" priority="653">
      <formula>AND(OR($D118="GD&amp;T",$D118="MAX"),$G118="")</formula>
    </cfRule>
    <cfRule type="containsBlanks" dxfId="645" priority="654">
      <formula>LEN(TRIM(G118))=0</formula>
    </cfRule>
  </conditionalFormatting>
  <conditionalFormatting sqref="G118">
    <cfRule type="expression" dxfId="644" priority="649">
      <formula>AND(OR($D118="GD&amp;T",$D118="MAX"),$G118&lt;&gt;"")</formula>
    </cfRule>
    <cfRule type="expression" dxfId="643" priority="650">
      <formula>AND(OR($D118="GD&amp;T",$D118="MAX"),$G118="")</formula>
    </cfRule>
    <cfRule type="containsBlanks" dxfId="642" priority="651">
      <formula>LEN(TRIM(G118))=0</formula>
    </cfRule>
  </conditionalFormatting>
  <conditionalFormatting sqref="F119">
    <cfRule type="expression" dxfId="641" priority="646">
      <formula>AND($D119="MIN",$F119&lt;&gt;"")</formula>
    </cfRule>
    <cfRule type="expression" dxfId="640" priority="647">
      <formula>AND($D119="MIN",$F119="")</formula>
    </cfRule>
    <cfRule type="containsBlanks" dxfId="639" priority="648">
      <formula>LEN(TRIM(F119))=0</formula>
    </cfRule>
  </conditionalFormatting>
  <conditionalFormatting sqref="G119">
    <cfRule type="expression" dxfId="638" priority="643">
      <formula>AND(OR($D119="GD&amp;T",$D119="MAX"),$G119&lt;&gt;"")</formula>
    </cfRule>
    <cfRule type="expression" dxfId="637" priority="644">
      <formula>AND(OR($D119="GD&amp;T",$D119="MAX"),$G119="")</formula>
    </cfRule>
    <cfRule type="containsBlanks" dxfId="636" priority="645">
      <formula>LEN(TRIM(G119))=0</formula>
    </cfRule>
  </conditionalFormatting>
  <conditionalFormatting sqref="F119">
    <cfRule type="expression" dxfId="635" priority="640">
      <formula>AND($D119="MIN",$F119&lt;&gt;"")</formula>
    </cfRule>
    <cfRule type="expression" dxfId="634" priority="641">
      <formula>AND($D119="MIN",$F119="")</formula>
    </cfRule>
    <cfRule type="containsBlanks" dxfId="633" priority="642">
      <formula>LEN(TRIM(F119))=0</formula>
    </cfRule>
  </conditionalFormatting>
  <conditionalFormatting sqref="G119">
    <cfRule type="expression" dxfId="632" priority="637">
      <formula>AND(OR($D119="GD&amp;T",$D119="MAX"),$G119&lt;&gt;"")</formula>
    </cfRule>
    <cfRule type="expression" dxfId="631" priority="638">
      <formula>AND(OR($D119="GD&amp;T",$D119="MAX"),$G119="")</formula>
    </cfRule>
    <cfRule type="containsBlanks" dxfId="630" priority="639">
      <formula>LEN(TRIM(G119))=0</formula>
    </cfRule>
  </conditionalFormatting>
  <conditionalFormatting sqref="F119">
    <cfRule type="expression" dxfId="629" priority="634">
      <formula>AND($D119="MIN",$F119&lt;&gt;"")</formula>
    </cfRule>
    <cfRule type="expression" dxfId="628" priority="635">
      <formula>AND($D119="MIN",$F119="")</formula>
    </cfRule>
    <cfRule type="containsBlanks" dxfId="627" priority="636">
      <formula>LEN(TRIM(F119))=0</formula>
    </cfRule>
  </conditionalFormatting>
  <conditionalFormatting sqref="G119">
    <cfRule type="expression" dxfId="626" priority="631">
      <formula>AND(OR($D119="GD&amp;T",$D119="MAX"),$G119&lt;&gt;"")</formula>
    </cfRule>
    <cfRule type="expression" dxfId="625" priority="632">
      <formula>AND(OR($D119="GD&amp;T",$D119="MAX"),$G119="")</formula>
    </cfRule>
    <cfRule type="containsBlanks" dxfId="624" priority="633">
      <formula>LEN(TRIM(G119))=0</formula>
    </cfRule>
  </conditionalFormatting>
  <conditionalFormatting sqref="F119">
    <cfRule type="expression" dxfId="623" priority="628">
      <formula>AND($D119="MIN",$F119&lt;&gt;"")</formula>
    </cfRule>
    <cfRule type="expression" dxfId="622" priority="629">
      <formula>AND($D119="MIN",$F119="")</formula>
    </cfRule>
    <cfRule type="containsBlanks" dxfId="621" priority="630">
      <formula>LEN(TRIM(F119))=0</formula>
    </cfRule>
  </conditionalFormatting>
  <conditionalFormatting sqref="G119">
    <cfRule type="expression" dxfId="620" priority="625">
      <formula>AND(OR($D119="GD&amp;T",$D119="MAX"),$G119&lt;&gt;"")</formula>
    </cfRule>
    <cfRule type="expression" dxfId="619" priority="626">
      <formula>AND(OR($D119="GD&amp;T",$D119="MAX"),$G119="")</formula>
    </cfRule>
    <cfRule type="containsBlanks" dxfId="618" priority="627">
      <formula>LEN(TRIM(G119))=0</formula>
    </cfRule>
  </conditionalFormatting>
  <conditionalFormatting sqref="F120">
    <cfRule type="expression" dxfId="617" priority="622">
      <formula>AND($D120="MIN",$F120&lt;&gt;"")</formula>
    </cfRule>
    <cfRule type="expression" dxfId="616" priority="623">
      <formula>AND($D120="MIN",$F120="")</formula>
    </cfRule>
    <cfRule type="containsBlanks" dxfId="615" priority="624">
      <formula>LEN(TRIM(F120))=0</formula>
    </cfRule>
  </conditionalFormatting>
  <conditionalFormatting sqref="G120">
    <cfRule type="expression" dxfId="614" priority="619">
      <formula>AND(OR($D120="GD&amp;T",$D120="MAX"),$G120&lt;&gt;"")</formula>
    </cfRule>
    <cfRule type="expression" dxfId="613" priority="620">
      <formula>AND(OR($D120="GD&amp;T",$D120="MAX"),$G120="")</formula>
    </cfRule>
    <cfRule type="containsBlanks" dxfId="612" priority="621">
      <formula>LEN(TRIM(G120))=0</formula>
    </cfRule>
  </conditionalFormatting>
  <conditionalFormatting sqref="F120">
    <cfRule type="expression" dxfId="611" priority="616">
      <formula>AND($D120="MIN",$F120&lt;&gt;"")</formula>
    </cfRule>
    <cfRule type="expression" dxfId="610" priority="617">
      <formula>AND($D120="MIN",$F120="")</formula>
    </cfRule>
    <cfRule type="containsBlanks" dxfId="609" priority="618">
      <formula>LEN(TRIM(F120))=0</formula>
    </cfRule>
  </conditionalFormatting>
  <conditionalFormatting sqref="G120">
    <cfRule type="expression" dxfId="608" priority="613">
      <formula>AND(OR($D120="GD&amp;T",$D120="MAX"),$G120&lt;&gt;"")</formula>
    </cfRule>
    <cfRule type="expression" dxfId="607" priority="614">
      <formula>AND(OR($D120="GD&amp;T",$D120="MAX"),$G120="")</formula>
    </cfRule>
    <cfRule type="containsBlanks" dxfId="606" priority="615">
      <formula>LEN(TRIM(G120))=0</formula>
    </cfRule>
  </conditionalFormatting>
  <conditionalFormatting sqref="F119">
    <cfRule type="expression" dxfId="605" priority="610">
      <formula>AND($D119="MIN",$F119&lt;&gt;"")</formula>
    </cfRule>
    <cfRule type="expression" dxfId="604" priority="611">
      <formula>AND($D119="MIN",$F119="")</formula>
    </cfRule>
    <cfRule type="containsBlanks" dxfId="603" priority="612">
      <formula>LEN(TRIM(F119))=0</formula>
    </cfRule>
  </conditionalFormatting>
  <conditionalFormatting sqref="G119">
    <cfRule type="expression" dxfId="602" priority="607">
      <formula>AND(OR($D119="GD&amp;T",$D119="MAX"),$G119&lt;&gt;"")</formula>
    </cfRule>
    <cfRule type="expression" dxfId="601" priority="608">
      <formula>AND(OR($D119="GD&amp;T",$D119="MAX"),$G119="")</formula>
    </cfRule>
    <cfRule type="containsBlanks" dxfId="600" priority="609">
      <formula>LEN(TRIM(G119))=0</formula>
    </cfRule>
  </conditionalFormatting>
  <conditionalFormatting sqref="F119">
    <cfRule type="expression" dxfId="599" priority="604">
      <formula>AND($D119="MIN",$F119&lt;&gt;"")</formula>
    </cfRule>
    <cfRule type="expression" dxfId="598" priority="605">
      <formula>AND($D119="MIN",$F119="")</formula>
    </cfRule>
    <cfRule type="containsBlanks" dxfId="597" priority="606">
      <formula>LEN(TRIM(F119))=0</formula>
    </cfRule>
  </conditionalFormatting>
  <conditionalFormatting sqref="G119">
    <cfRule type="expression" dxfId="596" priority="601">
      <formula>AND(OR($D119="GD&amp;T",$D119="MAX"),$G119&lt;&gt;"")</formula>
    </cfRule>
    <cfRule type="expression" dxfId="595" priority="602">
      <formula>AND(OR($D119="GD&amp;T",$D119="MAX"),$G119="")</formula>
    </cfRule>
    <cfRule type="containsBlanks" dxfId="594" priority="603">
      <formula>LEN(TRIM(G119))=0</formula>
    </cfRule>
  </conditionalFormatting>
  <conditionalFormatting sqref="F120">
    <cfRule type="expression" dxfId="593" priority="598">
      <formula>AND($D120="MIN",$F120&lt;&gt;"")</formula>
    </cfRule>
    <cfRule type="expression" dxfId="592" priority="599">
      <formula>AND($D120="MIN",$F120="")</formula>
    </cfRule>
    <cfRule type="containsBlanks" dxfId="591" priority="600">
      <formula>LEN(TRIM(F120))=0</formula>
    </cfRule>
  </conditionalFormatting>
  <conditionalFormatting sqref="G120">
    <cfRule type="expression" dxfId="590" priority="595">
      <formula>AND(OR($D120="GD&amp;T",$D120="MAX"),$G120&lt;&gt;"")</formula>
    </cfRule>
    <cfRule type="expression" dxfId="589" priority="596">
      <formula>AND(OR($D120="GD&amp;T",$D120="MAX"),$G120="")</formula>
    </cfRule>
    <cfRule type="containsBlanks" dxfId="588" priority="597">
      <formula>LEN(TRIM(G120))=0</formula>
    </cfRule>
  </conditionalFormatting>
  <conditionalFormatting sqref="F120">
    <cfRule type="expression" dxfId="587" priority="592">
      <formula>AND($D120="MIN",$F120&lt;&gt;"")</formula>
    </cfRule>
    <cfRule type="expression" dxfId="586" priority="593">
      <formula>AND($D120="MIN",$F120="")</formula>
    </cfRule>
    <cfRule type="containsBlanks" dxfId="585" priority="594">
      <formula>LEN(TRIM(F120))=0</formula>
    </cfRule>
  </conditionalFormatting>
  <conditionalFormatting sqref="G120">
    <cfRule type="expression" dxfId="584" priority="589">
      <formula>AND(OR($D120="GD&amp;T",$D120="MAX"),$G120&lt;&gt;"")</formula>
    </cfRule>
    <cfRule type="expression" dxfId="583" priority="590">
      <formula>AND(OR($D120="GD&amp;T",$D120="MAX"),$G120="")</formula>
    </cfRule>
    <cfRule type="containsBlanks" dxfId="582" priority="591">
      <formula>LEN(TRIM(G120))=0</formula>
    </cfRule>
  </conditionalFormatting>
  <conditionalFormatting sqref="F119">
    <cfRule type="expression" dxfId="581" priority="586">
      <formula>AND($D119="MIN",$F119&lt;&gt;"")</formula>
    </cfRule>
    <cfRule type="expression" dxfId="580" priority="587">
      <formula>AND($D119="MIN",$F119="")</formula>
    </cfRule>
    <cfRule type="containsBlanks" dxfId="579" priority="588">
      <formula>LEN(TRIM(F119))=0</formula>
    </cfRule>
  </conditionalFormatting>
  <conditionalFormatting sqref="G119">
    <cfRule type="expression" dxfId="578" priority="583">
      <formula>AND(OR($D119="GD&amp;T",$D119="MAX"),$G119&lt;&gt;"")</formula>
    </cfRule>
    <cfRule type="expression" dxfId="577" priority="584">
      <formula>AND(OR($D119="GD&amp;T",$D119="MAX"),$G119="")</formula>
    </cfRule>
    <cfRule type="containsBlanks" dxfId="576" priority="585">
      <formula>LEN(TRIM(G119))=0</formula>
    </cfRule>
  </conditionalFormatting>
  <conditionalFormatting sqref="F119">
    <cfRule type="expression" dxfId="575" priority="580">
      <formula>AND($D119="MIN",$F119&lt;&gt;"")</formula>
    </cfRule>
    <cfRule type="expression" dxfId="574" priority="581">
      <formula>AND($D119="MIN",$F119="")</formula>
    </cfRule>
    <cfRule type="containsBlanks" dxfId="573" priority="582">
      <formula>LEN(TRIM(F119))=0</formula>
    </cfRule>
  </conditionalFormatting>
  <conditionalFormatting sqref="G119">
    <cfRule type="expression" dxfId="572" priority="577">
      <formula>AND(OR($D119="GD&amp;T",$D119="MAX"),$G119&lt;&gt;"")</formula>
    </cfRule>
    <cfRule type="expression" dxfId="571" priority="578">
      <formula>AND(OR($D119="GD&amp;T",$D119="MAX"),$G119="")</formula>
    </cfRule>
    <cfRule type="containsBlanks" dxfId="570" priority="579">
      <formula>LEN(TRIM(G119))=0</formula>
    </cfRule>
  </conditionalFormatting>
  <conditionalFormatting sqref="G120">
    <cfRule type="expression" dxfId="569" priority="574">
      <formula>AND(OR($D120="GD&amp;T",$D120="MAX"),$G120&lt;&gt;"")</formula>
    </cfRule>
    <cfRule type="expression" dxfId="568" priority="575">
      <formula>AND(OR($D120="GD&amp;T",$D120="MAX"),$G120="")</formula>
    </cfRule>
    <cfRule type="containsBlanks" dxfId="567" priority="576">
      <formula>LEN(TRIM(G120))=0</formula>
    </cfRule>
  </conditionalFormatting>
  <conditionalFormatting sqref="G120">
    <cfRule type="expression" dxfId="566" priority="571">
      <formula>AND(OR($D120="GD&amp;T",$D120="MAX"),$G120&lt;&gt;"")</formula>
    </cfRule>
    <cfRule type="expression" dxfId="565" priority="572">
      <formula>AND(OR($D120="GD&amp;T",$D120="MAX"),$G120="")</formula>
    </cfRule>
    <cfRule type="containsBlanks" dxfId="564" priority="573">
      <formula>LEN(TRIM(G120))=0</formula>
    </cfRule>
  </conditionalFormatting>
  <conditionalFormatting sqref="G120">
    <cfRule type="expression" dxfId="563" priority="568">
      <formula>AND(OR($D120="GD&amp;T",$D120="MAX"),$G120&lt;&gt;"")</formula>
    </cfRule>
    <cfRule type="expression" dxfId="562" priority="569">
      <formula>AND(OR($D120="GD&amp;T",$D120="MAX"),$G120="")</formula>
    </cfRule>
    <cfRule type="containsBlanks" dxfId="561" priority="570">
      <formula>LEN(TRIM(G120))=0</formula>
    </cfRule>
  </conditionalFormatting>
  <conditionalFormatting sqref="G120">
    <cfRule type="expression" dxfId="560" priority="565">
      <formula>AND(OR($D120="GD&amp;T",$D120="MAX"),$G120&lt;&gt;"")</formula>
    </cfRule>
    <cfRule type="expression" dxfId="559" priority="566">
      <formula>AND(OR($D120="GD&amp;T",$D120="MAX"),$G120="")</formula>
    </cfRule>
    <cfRule type="containsBlanks" dxfId="558" priority="567">
      <formula>LEN(TRIM(G120))=0</formula>
    </cfRule>
  </conditionalFormatting>
  <conditionalFormatting sqref="G120">
    <cfRule type="expression" dxfId="557" priority="562">
      <formula>AND(OR($D120="GD&amp;T",$D120="MAX"),$G120&lt;&gt;"")</formula>
    </cfRule>
    <cfRule type="expression" dxfId="556" priority="563">
      <formula>AND(OR($D120="GD&amp;T",$D120="MAX"),$G120="")</formula>
    </cfRule>
    <cfRule type="containsBlanks" dxfId="555" priority="564">
      <formula>LEN(TRIM(G120))=0</formula>
    </cfRule>
  </conditionalFormatting>
  <conditionalFormatting sqref="E124">
    <cfRule type="expression" dxfId="554" priority="559">
      <formula>AND($D124&lt;&gt;"Tolerance",$E124&lt;&gt;"")</formula>
    </cfRule>
    <cfRule type="expression" dxfId="553" priority="560">
      <formula>AND(OR($D124="GD&amp;T",$D124="MAX",$D124="MIN"),$E124="")</formula>
    </cfRule>
    <cfRule type="containsBlanks" dxfId="552" priority="561">
      <formula>LEN(TRIM(E124))=0</formula>
    </cfRule>
  </conditionalFormatting>
  <conditionalFormatting sqref="E126">
    <cfRule type="expression" dxfId="551" priority="550">
      <formula>AND($D126&lt;&gt;"Tolerance",$E126&lt;&gt;"")</formula>
    </cfRule>
    <cfRule type="expression" dxfId="550" priority="551">
      <formula>AND(OR($D126="GD&amp;T",$D126="MAX",$D126="MIN"),$E126="")</formula>
    </cfRule>
    <cfRule type="containsBlanks" dxfId="549" priority="552">
      <formula>LEN(TRIM(E126))=0</formula>
    </cfRule>
  </conditionalFormatting>
  <conditionalFormatting sqref="E130">
    <cfRule type="expression" dxfId="548" priority="547">
      <formula>AND($D130&lt;&gt;"Tolerance",$E130&lt;&gt;"")</formula>
    </cfRule>
    <cfRule type="expression" dxfId="547" priority="548">
      <formula>AND(OR($D130="GD&amp;T",$D130="MAX",$D130="MIN"),$E130="")</formula>
    </cfRule>
    <cfRule type="containsBlanks" dxfId="546" priority="549">
      <formula>LEN(TRIM(E130))=0</formula>
    </cfRule>
  </conditionalFormatting>
  <conditionalFormatting sqref="E131">
    <cfRule type="expression" dxfId="545" priority="544">
      <formula>AND($D131&lt;&gt;"Tolerance",$E131&lt;&gt;"")</formula>
    </cfRule>
    <cfRule type="expression" dxfId="544" priority="545">
      <formula>AND(OR($D131="GD&amp;T",$D131="MAX",$D131="MIN"),$E131="")</formula>
    </cfRule>
    <cfRule type="containsBlanks" dxfId="543" priority="546">
      <formula>LEN(TRIM(E131))=0</formula>
    </cfRule>
  </conditionalFormatting>
  <conditionalFormatting sqref="E146">
    <cfRule type="expression" dxfId="542" priority="541">
      <formula>AND($D146&lt;&gt;"Tolerance",$E146&lt;&gt;"")</formula>
    </cfRule>
    <cfRule type="expression" dxfId="541" priority="542">
      <formula>AND(OR($D146="GD&amp;T",$D146="MAX",$D146="MIN"),$E146="")</formula>
    </cfRule>
    <cfRule type="containsBlanks" dxfId="540" priority="543">
      <formula>LEN(TRIM(E146))=0</formula>
    </cfRule>
  </conditionalFormatting>
  <conditionalFormatting sqref="E147">
    <cfRule type="expression" dxfId="539" priority="538">
      <formula>AND($D147&lt;&gt;"Tolerance",$E147&lt;&gt;"")</formula>
    </cfRule>
    <cfRule type="expression" dxfId="538" priority="539">
      <formula>AND(OR($D147="GD&amp;T",$D147="MAX",$D147="MIN"),$E147="")</formula>
    </cfRule>
    <cfRule type="containsBlanks" dxfId="537" priority="540">
      <formula>LEN(TRIM(E147))=0</formula>
    </cfRule>
  </conditionalFormatting>
  <conditionalFormatting sqref="E147">
    <cfRule type="expression" dxfId="536" priority="535">
      <formula>AND($D147&lt;&gt;"Tolerance",$E147&lt;&gt;"")</formula>
    </cfRule>
    <cfRule type="expression" dxfId="535" priority="536">
      <formula>AND(OR($D147="GD&amp;T",$D147="MAX",$D147="MIN"),$E147="")</formula>
    </cfRule>
    <cfRule type="containsBlanks" dxfId="534" priority="537">
      <formula>LEN(TRIM(E147))=0</formula>
    </cfRule>
  </conditionalFormatting>
  <conditionalFormatting sqref="E147">
    <cfRule type="expression" dxfId="533" priority="532">
      <formula>AND($D147&lt;&gt;"Tolerance",$E147&lt;&gt;"")</formula>
    </cfRule>
    <cfRule type="expression" dxfId="532" priority="533">
      <formula>AND(OR($D147="GD&amp;T",$D147="MAX",$D147="MIN"),$E147="")</formula>
    </cfRule>
    <cfRule type="containsBlanks" dxfId="531" priority="534">
      <formula>LEN(TRIM(E147))=0</formula>
    </cfRule>
  </conditionalFormatting>
  <conditionalFormatting sqref="E148">
    <cfRule type="expression" dxfId="530" priority="529">
      <formula>AND($D148&lt;&gt;"Tolerance",$E148&lt;&gt;"")</formula>
    </cfRule>
    <cfRule type="expression" dxfId="529" priority="530">
      <formula>AND(OR($D148="GD&amp;T",$D148="MAX",$D148="MIN"),$E148="")</formula>
    </cfRule>
    <cfRule type="containsBlanks" dxfId="528" priority="531">
      <formula>LEN(TRIM(E148))=0</formula>
    </cfRule>
  </conditionalFormatting>
  <conditionalFormatting sqref="E148">
    <cfRule type="expression" dxfId="527" priority="526">
      <formula>AND($D148&lt;&gt;"Tolerance",$E148&lt;&gt;"")</formula>
    </cfRule>
    <cfRule type="expression" dxfId="526" priority="527">
      <formula>AND(OR($D148="GD&amp;T",$D148="MAX",$D148="MIN"),$E148="")</formula>
    </cfRule>
    <cfRule type="containsBlanks" dxfId="525" priority="528">
      <formula>LEN(TRIM(E148))=0</formula>
    </cfRule>
  </conditionalFormatting>
  <conditionalFormatting sqref="E148">
    <cfRule type="expression" dxfId="524" priority="523">
      <formula>AND($D148&lt;&gt;"Tolerance",$E148&lt;&gt;"")</formula>
    </cfRule>
    <cfRule type="expression" dxfId="523" priority="524">
      <formula>AND(OR($D148="GD&amp;T",$D148="MAX",$D148="MIN"),$E148="")</formula>
    </cfRule>
    <cfRule type="containsBlanks" dxfId="522" priority="525">
      <formula>LEN(TRIM(E148))=0</formula>
    </cfRule>
  </conditionalFormatting>
  <conditionalFormatting sqref="K114">
    <cfRule type="expression" dxfId="521" priority="520">
      <formula>AND($J114&lt;&gt;"",K114&lt;$J114)</formula>
    </cfRule>
    <cfRule type="expression" dxfId="520" priority="521">
      <formula>AND($I114&lt;&gt;"",K114&gt;$I114)</formula>
    </cfRule>
    <cfRule type="notContainsBlanks" dxfId="519" priority="522">
      <formula>LEN(TRIM(K114))&gt;0</formula>
    </cfRule>
  </conditionalFormatting>
  <conditionalFormatting sqref="K114">
    <cfRule type="expression" dxfId="518" priority="517">
      <formula>AND($J114&lt;&gt;"",K114&lt;$J114)</formula>
    </cfRule>
    <cfRule type="expression" dxfId="517" priority="518">
      <formula>AND($I114&lt;&gt;"",K114&gt;$I114)</formula>
    </cfRule>
    <cfRule type="notContainsBlanks" dxfId="516" priority="519">
      <formula>LEN(TRIM(K114))&gt;0</formula>
    </cfRule>
  </conditionalFormatting>
  <conditionalFormatting sqref="K114">
    <cfRule type="expression" dxfId="515" priority="514">
      <formula>AND($J114&lt;&gt;"",K114&lt;$J114)</formula>
    </cfRule>
    <cfRule type="expression" dxfId="514" priority="515">
      <formula>AND($I114&lt;&gt;"",K114&gt;$I114)</formula>
    </cfRule>
    <cfRule type="notContainsBlanks" dxfId="513" priority="516">
      <formula>LEN(TRIM(K114))&gt;0</formula>
    </cfRule>
  </conditionalFormatting>
  <conditionalFormatting sqref="K114">
    <cfRule type="expression" dxfId="512" priority="511">
      <formula>AND($J114&lt;&gt;"",K114&lt;$J114)</formula>
    </cfRule>
    <cfRule type="expression" dxfId="511" priority="512">
      <formula>AND($I114&lt;&gt;"",K114&gt;$I114)</formula>
    </cfRule>
    <cfRule type="notContainsBlanks" dxfId="510" priority="513">
      <formula>LEN(TRIM(K114))&gt;0</formula>
    </cfRule>
  </conditionalFormatting>
  <conditionalFormatting sqref="K114">
    <cfRule type="expression" dxfId="509" priority="508">
      <formula>AND($J114&lt;&gt;"",K114&lt;$J114)</formula>
    </cfRule>
    <cfRule type="expression" dxfId="508" priority="509">
      <formula>AND($I114&lt;&gt;"",K114&gt;$I114)</formula>
    </cfRule>
    <cfRule type="notContainsBlanks" dxfId="507" priority="510">
      <formula>LEN(TRIM(K114))&gt;0</formula>
    </cfRule>
  </conditionalFormatting>
  <conditionalFormatting sqref="K114">
    <cfRule type="expression" dxfId="506" priority="505">
      <formula>AND($J114&lt;&gt;"",K114&lt;$J114)</formula>
    </cfRule>
    <cfRule type="expression" dxfId="505" priority="506">
      <formula>AND($I114&lt;&gt;"",K114&gt;$I114)</formula>
    </cfRule>
    <cfRule type="notContainsBlanks" dxfId="504" priority="507">
      <formula>LEN(TRIM(K114))&gt;0</formula>
    </cfRule>
  </conditionalFormatting>
  <conditionalFormatting sqref="L114">
    <cfRule type="expression" dxfId="503" priority="502">
      <formula>AND($J114&lt;&gt;"",L114&lt;$J114)</formula>
    </cfRule>
    <cfRule type="expression" dxfId="502" priority="503">
      <formula>AND($I114&lt;&gt;"",L114&gt;$I114)</formula>
    </cfRule>
    <cfRule type="notContainsBlanks" dxfId="501" priority="504">
      <formula>LEN(TRIM(L114))&gt;0</formula>
    </cfRule>
  </conditionalFormatting>
  <conditionalFormatting sqref="L114">
    <cfRule type="expression" dxfId="500" priority="499">
      <formula>AND($J114&lt;&gt;"",L114&lt;$J114)</formula>
    </cfRule>
    <cfRule type="expression" dxfId="499" priority="500">
      <formula>AND($I114&lt;&gt;"",L114&gt;$I114)</formula>
    </cfRule>
    <cfRule type="notContainsBlanks" dxfId="498" priority="501">
      <formula>LEN(TRIM(L114))&gt;0</formula>
    </cfRule>
  </conditionalFormatting>
  <conditionalFormatting sqref="L114">
    <cfRule type="expression" dxfId="497" priority="496">
      <formula>AND($J114&lt;&gt;"",L114&lt;$J114)</formula>
    </cfRule>
    <cfRule type="expression" dxfId="496" priority="497">
      <formula>AND($I114&lt;&gt;"",L114&gt;$I114)</formula>
    </cfRule>
    <cfRule type="notContainsBlanks" dxfId="495" priority="498">
      <formula>LEN(TRIM(L114))&gt;0</formula>
    </cfRule>
  </conditionalFormatting>
  <conditionalFormatting sqref="L114">
    <cfRule type="expression" dxfId="494" priority="493">
      <formula>AND($J114&lt;&gt;"",L114&lt;$J114)</formula>
    </cfRule>
    <cfRule type="expression" dxfId="493" priority="494">
      <formula>AND($I114&lt;&gt;"",L114&gt;$I114)</formula>
    </cfRule>
    <cfRule type="notContainsBlanks" dxfId="492" priority="495">
      <formula>LEN(TRIM(L114))&gt;0</formula>
    </cfRule>
  </conditionalFormatting>
  <conditionalFormatting sqref="L114">
    <cfRule type="expression" dxfId="491" priority="490">
      <formula>AND($J114&lt;&gt;"",L114&lt;$J114)</formula>
    </cfRule>
    <cfRule type="expression" dxfId="490" priority="491">
      <formula>AND($I114&lt;&gt;"",L114&gt;$I114)</formula>
    </cfRule>
    <cfRule type="notContainsBlanks" dxfId="489" priority="492">
      <formula>LEN(TRIM(L114))&gt;0</formula>
    </cfRule>
  </conditionalFormatting>
  <conditionalFormatting sqref="L114">
    <cfRule type="expression" dxfId="488" priority="487">
      <formula>AND($J114&lt;&gt;"",L114&lt;$J114)</formula>
    </cfRule>
    <cfRule type="expression" dxfId="487" priority="488">
      <formula>AND($I114&lt;&gt;"",L114&gt;$I114)</formula>
    </cfRule>
    <cfRule type="notContainsBlanks" dxfId="486" priority="489">
      <formula>LEN(TRIM(L114))&gt;0</formula>
    </cfRule>
  </conditionalFormatting>
  <conditionalFormatting sqref="M114">
    <cfRule type="expression" dxfId="485" priority="484">
      <formula>AND($J114&lt;&gt;"",M114&lt;$J114)</formula>
    </cfRule>
    <cfRule type="expression" dxfId="484" priority="485">
      <formula>AND($I114&lt;&gt;"",M114&gt;$I114)</formula>
    </cfRule>
    <cfRule type="notContainsBlanks" dxfId="483" priority="486">
      <formula>LEN(TRIM(M114))&gt;0</formula>
    </cfRule>
  </conditionalFormatting>
  <conditionalFormatting sqref="M114">
    <cfRule type="expression" dxfId="482" priority="481">
      <formula>AND($J114&lt;&gt;"",M114&lt;$J114)</formula>
    </cfRule>
    <cfRule type="expression" dxfId="481" priority="482">
      <formula>AND($I114&lt;&gt;"",M114&gt;$I114)</formula>
    </cfRule>
    <cfRule type="notContainsBlanks" dxfId="480" priority="483">
      <formula>LEN(TRIM(M114))&gt;0</formula>
    </cfRule>
  </conditionalFormatting>
  <conditionalFormatting sqref="M114">
    <cfRule type="expression" dxfId="479" priority="478">
      <formula>AND($J114&lt;&gt;"",M114&lt;$J114)</formula>
    </cfRule>
    <cfRule type="expression" dxfId="478" priority="479">
      <formula>AND($I114&lt;&gt;"",M114&gt;$I114)</formula>
    </cfRule>
    <cfRule type="notContainsBlanks" dxfId="477" priority="480">
      <formula>LEN(TRIM(M114))&gt;0</formula>
    </cfRule>
  </conditionalFormatting>
  <conditionalFormatting sqref="M114">
    <cfRule type="expression" dxfId="476" priority="475">
      <formula>AND($J114&lt;&gt;"",M114&lt;$J114)</formula>
    </cfRule>
    <cfRule type="expression" dxfId="475" priority="476">
      <formula>AND($I114&lt;&gt;"",M114&gt;$I114)</formula>
    </cfRule>
    <cfRule type="notContainsBlanks" dxfId="474" priority="477">
      <formula>LEN(TRIM(M114))&gt;0</formula>
    </cfRule>
  </conditionalFormatting>
  <conditionalFormatting sqref="M114">
    <cfRule type="expression" dxfId="473" priority="472">
      <formula>AND($J114&lt;&gt;"",M114&lt;$J114)</formula>
    </cfRule>
    <cfRule type="expression" dxfId="472" priority="473">
      <formula>AND($I114&lt;&gt;"",M114&gt;$I114)</formula>
    </cfRule>
    <cfRule type="notContainsBlanks" dxfId="471" priority="474">
      <formula>LEN(TRIM(M114))&gt;0</formula>
    </cfRule>
  </conditionalFormatting>
  <conditionalFormatting sqref="M114">
    <cfRule type="expression" dxfId="470" priority="469">
      <formula>AND($J114&lt;&gt;"",M114&lt;$J114)</formula>
    </cfRule>
    <cfRule type="expression" dxfId="469" priority="470">
      <formula>AND($I114&lt;&gt;"",M114&gt;$I114)</formula>
    </cfRule>
    <cfRule type="notContainsBlanks" dxfId="468" priority="471">
      <formula>LEN(TRIM(M114))&gt;0</formula>
    </cfRule>
  </conditionalFormatting>
  <conditionalFormatting sqref="M114">
    <cfRule type="expression" dxfId="467" priority="466">
      <formula>AND($J114&lt;&gt;"",M114&lt;$J114)</formula>
    </cfRule>
    <cfRule type="expression" dxfId="466" priority="467">
      <formula>AND($I114&lt;&gt;"",M114&gt;$I114)</formula>
    </cfRule>
    <cfRule type="notContainsBlanks" dxfId="465" priority="468">
      <formula>LEN(TRIM(M114))&gt;0</formula>
    </cfRule>
  </conditionalFormatting>
  <conditionalFormatting sqref="K122">
    <cfRule type="expression" dxfId="464" priority="463">
      <formula>AND($J122&lt;&gt;"",K122&lt;$J122)</formula>
    </cfRule>
    <cfRule type="expression" dxfId="463" priority="464">
      <formula>AND($I122&lt;&gt;"",K122&gt;$I122)</formula>
    </cfRule>
    <cfRule type="notContainsBlanks" dxfId="462" priority="465">
      <formula>LEN(TRIM(K122))&gt;0</formula>
    </cfRule>
  </conditionalFormatting>
  <conditionalFormatting sqref="K122">
    <cfRule type="expression" dxfId="461" priority="460">
      <formula>AND($J122&lt;&gt;"",K122&lt;$J122)</formula>
    </cfRule>
    <cfRule type="expression" dxfId="460" priority="461">
      <formula>AND($I122&lt;&gt;"",K122&gt;$I122)</formula>
    </cfRule>
    <cfRule type="notContainsBlanks" dxfId="459" priority="462">
      <formula>LEN(TRIM(K122))&gt;0</formula>
    </cfRule>
  </conditionalFormatting>
  <conditionalFormatting sqref="K122">
    <cfRule type="expression" dxfId="458" priority="457">
      <formula>AND($J122&lt;&gt;"",K122&lt;$J122)</formula>
    </cfRule>
    <cfRule type="expression" dxfId="457" priority="458">
      <formula>AND($I122&lt;&gt;"",K122&gt;$I122)</formula>
    </cfRule>
    <cfRule type="notContainsBlanks" dxfId="456" priority="459">
      <formula>LEN(TRIM(K122))&gt;0</formula>
    </cfRule>
  </conditionalFormatting>
  <conditionalFormatting sqref="K143:M147">
    <cfRule type="expression" dxfId="455" priority="454">
      <formula>AND($J143&lt;&gt;"",K143&lt;$J143)</formula>
    </cfRule>
    <cfRule type="expression" dxfId="454" priority="455">
      <formula>AND($I143&lt;&gt;"",K143&gt;$I143)</formula>
    </cfRule>
    <cfRule type="notContainsBlanks" dxfId="453" priority="456">
      <formula>LEN(TRIM(K143))&gt;0</formula>
    </cfRule>
  </conditionalFormatting>
  <conditionalFormatting sqref="K145:M145">
    <cfRule type="expression" dxfId="452" priority="451">
      <formula>AND($J145&lt;&gt;"",K145&lt;$J145)</formula>
    </cfRule>
    <cfRule type="expression" dxfId="451" priority="452">
      <formula>AND($I145&lt;&gt;"",K145&gt;$I145)</formula>
    </cfRule>
    <cfRule type="notContainsBlanks" dxfId="450" priority="453">
      <formula>LEN(TRIM(K145))&gt;0</formula>
    </cfRule>
  </conditionalFormatting>
  <conditionalFormatting sqref="K143:M147">
    <cfRule type="expression" dxfId="449" priority="448">
      <formula>AND($J143&lt;&gt;"",K143&lt;$J143)</formula>
    </cfRule>
    <cfRule type="expression" dxfId="448" priority="449">
      <formula>AND($I143&lt;&gt;"",K143&gt;$I143)</formula>
    </cfRule>
    <cfRule type="notContainsBlanks" dxfId="447" priority="450">
      <formula>LEN(TRIM(K143))&gt;0</formula>
    </cfRule>
  </conditionalFormatting>
  <conditionalFormatting sqref="K145:M145">
    <cfRule type="expression" dxfId="446" priority="445">
      <formula>AND($J145&lt;&gt;"",K145&lt;$J145)</formula>
    </cfRule>
    <cfRule type="expression" dxfId="445" priority="446">
      <formula>AND($I145&lt;&gt;"",K145&gt;$I145)</formula>
    </cfRule>
    <cfRule type="notContainsBlanks" dxfId="444" priority="447">
      <formula>LEN(TRIM(K145))&gt;0</formula>
    </cfRule>
  </conditionalFormatting>
  <conditionalFormatting sqref="K143:M147">
    <cfRule type="expression" dxfId="443" priority="442">
      <formula>AND($J143&lt;&gt;"",K143&lt;$J143)</formula>
    </cfRule>
    <cfRule type="expression" dxfId="442" priority="443">
      <formula>AND($I143&lt;&gt;"",K143&gt;$I143)</formula>
    </cfRule>
    <cfRule type="notContainsBlanks" dxfId="441" priority="444">
      <formula>LEN(TRIM(K143))&gt;0</formula>
    </cfRule>
  </conditionalFormatting>
  <conditionalFormatting sqref="K145:M145">
    <cfRule type="expression" dxfId="440" priority="439">
      <formula>AND($J145&lt;&gt;"",K145&lt;$J145)</formula>
    </cfRule>
    <cfRule type="expression" dxfId="439" priority="440">
      <formula>AND($I145&lt;&gt;"",K145&gt;$I145)</formula>
    </cfRule>
    <cfRule type="notContainsBlanks" dxfId="438" priority="441">
      <formula>LEN(TRIM(K145))&gt;0</formula>
    </cfRule>
  </conditionalFormatting>
  <conditionalFormatting sqref="K143:M147">
    <cfRule type="expression" dxfId="437" priority="436">
      <formula>AND($J143&lt;&gt;"",K143&lt;$J143)</formula>
    </cfRule>
    <cfRule type="expression" dxfId="436" priority="437">
      <formula>AND($I143&lt;&gt;"",K143&gt;$I143)</formula>
    </cfRule>
    <cfRule type="notContainsBlanks" dxfId="435" priority="438">
      <formula>LEN(TRIM(K143))&gt;0</formula>
    </cfRule>
  </conditionalFormatting>
  <conditionalFormatting sqref="K145:M145">
    <cfRule type="expression" dxfId="434" priority="433">
      <formula>AND($J145&lt;&gt;"",K145&lt;$J145)</formula>
    </cfRule>
    <cfRule type="expression" dxfId="433" priority="434">
      <formula>AND($I145&lt;&gt;"",K145&gt;$I145)</formula>
    </cfRule>
    <cfRule type="notContainsBlanks" dxfId="432" priority="435">
      <formula>LEN(TRIM(K145))&gt;0</formula>
    </cfRule>
  </conditionalFormatting>
  <conditionalFormatting sqref="K143:M147">
    <cfRule type="expression" dxfId="431" priority="430">
      <formula>AND($J143&lt;&gt;"",K143&lt;$J143)</formula>
    </cfRule>
    <cfRule type="expression" dxfId="430" priority="431">
      <formula>AND($I143&lt;&gt;"",K143&gt;$I143)</formula>
    </cfRule>
    <cfRule type="notContainsBlanks" dxfId="429" priority="432">
      <formula>LEN(TRIM(K143))&gt;0</formula>
    </cfRule>
  </conditionalFormatting>
  <conditionalFormatting sqref="K145:M145">
    <cfRule type="expression" dxfId="428" priority="427">
      <formula>AND($J145&lt;&gt;"",K145&lt;$J145)</formula>
    </cfRule>
    <cfRule type="expression" dxfId="427" priority="428">
      <formula>AND($I145&lt;&gt;"",K145&gt;$I145)</formula>
    </cfRule>
    <cfRule type="notContainsBlanks" dxfId="426" priority="429">
      <formula>LEN(TRIM(K145))&gt;0</formula>
    </cfRule>
  </conditionalFormatting>
  <conditionalFormatting sqref="K145:M145">
    <cfRule type="expression" dxfId="425" priority="424">
      <formula>AND($J145&lt;&gt;"",K145&lt;$J145)</formula>
    </cfRule>
    <cfRule type="expression" dxfId="424" priority="425">
      <formula>AND($I145&lt;&gt;"",K145&gt;$I145)</formula>
    </cfRule>
    <cfRule type="notContainsBlanks" dxfId="423" priority="426">
      <formula>LEN(TRIM(K145))&gt;0</formula>
    </cfRule>
  </conditionalFormatting>
  <conditionalFormatting sqref="M143">
    <cfRule type="expression" dxfId="422" priority="421">
      <formula>AND($J143&lt;&gt;"",M143&lt;$J143)</formula>
    </cfRule>
    <cfRule type="expression" dxfId="421" priority="422">
      <formula>AND($I143&lt;&gt;"",M143&gt;$I143)</formula>
    </cfRule>
    <cfRule type="notContainsBlanks" dxfId="420" priority="423">
      <formula>LEN(TRIM(M143))&gt;0</formula>
    </cfRule>
  </conditionalFormatting>
  <conditionalFormatting sqref="M147">
    <cfRule type="expression" dxfId="419" priority="418">
      <formula>AND($J147&lt;&gt;"",M147&lt;$J147)</formula>
    </cfRule>
    <cfRule type="expression" dxfId="418" priority="419">
      <formula>AND($I147&lt;&gt;"",M147&gt;$I147)</formula>
    </cfRule>
    <cfRule type="notContainsBlanks" dxfId="417" priority="420">
      <formula>LEN(TRIM(M147))&gt;0</formula>
    </cfRule>
  </conditionalFormatting>
  <conditionalFormatting sqref="M144">
    <cfRule type="expression" dxfId="416" priority="415">
      <formula>AND($J144&lt;&gt;"",M144&lt;$J144)</formula>
    </cfRule>
    <cfRule type="expression" dxfId="415" priority="416">
      <formula>AND($I144&lt;&gt;"",M144&gt;$I144)</formula>
    </cfRule>
    <cfRule type="notContainsBlanks" dxfId="414" priority="417">
      <formula>LEN(TRIM(M144))&gt;0</formula>
    </cfRule>
  </conditionalFormatting>
  <conditionalFormatting sqref="M145">
    <cfRule type="expression" dxfId="413" priority="412">
      <formula>AND($J145&lt;&gt;"",M145&lt;$J145)</formula>
    </cfRule>
    <cfRule type="expression" dxfId="412" priority="413">
      <formula>AND($I145&lt;&gt;"",M145&gt;$I145)</formula>
    </cfRule>
    <cfRule type="notContainsBlanks" dxfId="411" priority="414">
      <formula>LEN(TRIM(M145))&gt;0</formula>
    </cfRule>
  </conditionalFormatting>
  <conditionalFormatting sqref="M143">
    <cfRule type="expression" dxfId="410" priority="409">
      <formula>AND($J143&lt;&gt;"",M143&lt;$J143)</formula>
    </cfRule>
    <cfRule type="expression" dxfId="409" priority="410">
      <formula>AND($I143&lt;&gt;"",M143&gt;$I143)</formula>
    </cfRule>
    <cfRule type="notContainsBlanks" dxfId="408" priority="411">
      <formula>LEN(TRIM(M143))&gt;0</formula>
    </cfRule>
  </conditionalFormatting>
  <conditionalFormatting sqref="M144">
    <cfRule type="expression" dxfId="407" priority="406">
      <formula>AND($J144&lt;&gt;"",M144&lt;$J144)</formula>
    </cfRule>
    <cfRule type="expression" dxfId="406" priority="407">
      <formula>AND($I144&lt;&gt;"",M144&gt;$I144)</formula>
    </cfRule>
    <cfRule type="notContainsBlanks" dxfId="405" priority="408">
      <formula>LEN(TRIM(M144))&gt;0</formula>
    </cfRule>
  </conditionalFormatting>
  <conditionalFormatting sqref="M143">
    <cfRule type="expression" dxfId="404" priority="403">
      <formula>AND($J143&lt;&gt;"",M143&lt;$J143)</formula>
    </cfRule>
    <cfRule type="expression" dxfId="403" priority="404">
      <formula>AND($I143&lt;&gt;"",M143&gt;$I143)</formula>
    </cfRule>
    <cfRule type="notContainsBlanks" dxfId="402" priority="405">
      <formula>LEN(TRIM(M143))&gt;0</formula>
    </cfRule>
  </conditionalFormatting>
  <conditionalFormatting sqref="M144">
    <cfRule type="expression" dxfId="401" priority="400">
      <formula>AND($J144&lt;&gt;"",M144&lt;$J144)</formula>
    </cfRule>
    <cfRule type="expression" dxfId="400" priority="401">
      <formula>AND($I144&lt;&gt;"",M144&gt;$I144)</formula>
    </cfRule>
    <cfRule type="notContainsBlanks" dxfId="399" priority="402">
      <formula>LEN(TRIM(M144))&gt;0</formula>
    </cfRule>
  </conditionalFormatting>
  <conditionalFormatting sqref="M143">
    <cfRule type="expression" dxfId="398" priority="397">
      <formula>AND($J143&lt;&gt;"",M143&lt;$J143)</formula>
    </cfRule>
    <cfRule type="expression" dxfId="397" priority="398">
      <formula>AND($I143&lt;&gt;"",M143&gt;$I143)</formula>
    </cfRule>
    <cfRule type="notContainsBlanks" dxfId="396" priority="399">
      <formula>LEN(TRIM(M143))&gt;0</formula>
    </cfRule>
  </conditionalFormatting>
  <conditionalFormatting sqref="M148">
    <cfRule type="expression" dxfId="395" priority="394">
      <formula>AND($J148&lt;&gt;"",M148&lt;$J148)</formula>
    </cfRule>
    <cfRule type="expression" dxfId="394" priority="395">
      <formula>AND($I148&lt;&gt;"",M148&gt;$I148)</formula>
    </cfRule>
    <cfRule type="notContainsBlanks" dxfId="393" priority="396">
      <formula>LEN(TRIM(M148))&gt;0</formula>
    </cfRule>
  </conditionalFormatting>
  <conditionalFormatting sqref="M147">
    <cfRule type="expression" dxfId="392" priority="391">
      <formula>AND($J147&lt;&gt;"",M147&lt;$J147)</formula>
    </cfRule>
    <cfRule type="expression" dxfId="391" priority="392">
      <formula>AND($I147&lt;&gt;"",M147&gt;$I147)</formula>
    </cfRule>
    <cfRule type="notContainsBlanks" dxfId="390" priority="393">
      <formula>LEN(TRIM(M147))&gt;0</formula>
    </cfRule>
  </conditionalFormatting>
  <conditionalFormatting sqref="K101:M105">
    <cfRule type="expression" dxfId="389" priority="388">
      <formula>AND($J101&lt;&gt;"",K101&lt;$J101)</formula>
    </cfRule>
    <cfRule type="expression" dxfId="388" priority="389">
      <formula>AND($I101&lt;&gt;"",K101&gt;$I101)</formula>
    </cfRule>
    <cfRule type="notContainsBlanks" dxfId="387" priority="390">
      <formula>LEN(TRIM(K101))&gt;0</formula>
    </cfRule>
  </conditionalFormatting>
  <conditionalFormatting sqref="K102:M102">
    <cfRule type="expression" dxfId="386" priority="385">
      <formula>AND($J102&lt;&gt;"",K102&lt;$J102)</formula>
    </cfRule>
    <cfRule type="expression" dxfId="385" priority="386">
      <formula>AND($I102&lt;&gt;"",K102&gt;$I102)</formula>
    </cfRule>
    <cfRule type="notContainsBlanks" dxfId="384" priority="387">
      <formula>LEN(TRIM(K102))&gt;0</formula>
    </cfRule>
  </conditionalFormatting>
  <conditionalFormatting sqref="K101:M105">
    <cfRule type="expression" dxfId="383" priority="382">
      <formula>AND($J101&lt;&gt;"",K101&lt;$J101)</formula>
    </cfRule>
    <cfRule type="expression" dxfId="382" priority="383">
      <formula>AND($I101&lt;&gt;"",K101&gt;$I101)</formula>
    </cfRule>
    <cfRule type="notContainsBlanks" dxfId="381" priority="384">
      <formula>LEN(TRIM(K101))&gt;0</formula>
    </cfRule>
  </conditionalFormatting>
  <conditionalFormatting sqref="K102:M102">
    <cfRule type="expression" dxfId="380" priority="379">
      <formula>AND($J102&lt;&gt;"",K102&lt;$J102)</formula>
    </cfRule>
    <cfRule type="expression" dxfId="379" priority="380">
      <formula>AND($I102&lt;&gt;"",K102&gt;$I102)</formula>
    </cfRule>
    <cfRule type="notContainsBlanks" dxfId="378" priority="381">
      <formula>LEN(TRIM(K102))&gt;0</formula>
    </cfRule>
  </conditionalFormatting>
  <conditionalFormatting sqref="K101:M105">
    <cfRule type="expression" dxfId="377" priority="376">
      <formula>AND($J101&lt;&gt;"",K101&lt;$J101)</formula>
    </cfRule>
    <cfRule type="expression" dxfId="376" priority="377">
      <formula>AND($I101&lt;&gt;"",K101&gt;$I101)</formula>
    </cfRule>
    <cfRule type="notContainsBlanks" dxfId="375" priority="378">
      <formula>LEN(TRIM(K101))&gt;0</formula>
    </cfRule>
  </conditionalFormatting>
  <conditionalFormatting sqref="K102:M102">
    <cfRule type="expression" dxfId="374" priority="373">
      <formula>AND($J102&lt;&gt;"",K102&lt;$J102)</formula>
    </cfRule>
    <cfRule type="expression" dxfId="373" priority="374">
      <formula>AND($I102&lt;&gt;"",K102&gt;$I102)</formula>
    </cfRule>
    <cfRule type="notContainsBlanks" dxfId="372" priority="375">
      <formula>LEN(TRIM(K102))&gt;0</formula>
    </cfRule>
  </conditionalFormatting>
  <conditionalFormatting sqref="K101:M105">
    <cfRule type="expression" dxfId="371" priority="370">
      <formula>AND($J101&lt;&gt;"",K101&lt;$J101)</formula>
    </cfRule>
    <cfRule type="expression" dxfId="370" priority="371">
      <formula>AND($I101&lt;&gt;"",K101&gt;$I101)</formula>
    </cfRule>
    <cfRule type="notContainsBlanks" dxfId="369" priority="372">
      <formula>LEN(TRIM(K101))&gt;0</formula>
    </cfRule>
  </conditionalFormatting>
  <conditionalFormatting sqref="K102:M102">
    <cfRule type="expression" dxfId="368" priority="367">
      <formula>AND($J102&lt;&gt;"",K102&lt;$J102)</formula>
    </cfRule>
    <cfRule type="expression" dxfId="367" priority="368">
      <formula>AND($I102&lt;&gt;"",K102&gt;$I102)</formula>
    </cfRule>
    <cfRule type="notContainsBlanks" dxfId="366" priority="369">
      <formula>LEN(TRIM(K102))&gt;0</formula>
    </cfRule>
  </conditionalFormatting>
  <conditionalFormatting sqref="K101:M105">
    <cfRule type="expression" dxfId="365" priority="364">
      <formula>AND($J101&lt;&gt;"",K101&lt;$J101)</formula>
    </cfRule>
    <cfRule type="expression" dxfId="364" priority="365">
      <formula>AND($I101&lt;&gt;"",K101&gt;$I101)</formula>
    </cfRule>
    <cfRule type="notContainsBlanks" dxfId="363" priority="366">
      <formula>LEN(TRIM(K101))&gt;0</formula>
    </cfRule>
  </conditionalFormatting>
  <conditionalFormatting sqref="K102:M102">
    <cfRule type="expression" dxfId="362" priority="361">
      <formula>AND($J102&lt;&gt;"",K102&lt;$J102)</formula>
    </cfRule>
    <cfRule type="expression" dxfId="361" priority="362">
      <formula>AND($I102&lt;&gt;"",K102&gt;$I102)</formula>
    </cfRule>
    <cfRule type="notContainsBlanks" dxfId="360" priority="363">
      <formula>LEN(TRIM(K102))&gt;0</formula>
    </cfRule>
  </conditionalFormatting>
  <conditionalFormatting sqref="K102:M102">
    <cfRule type="expression" dxfId="359" priority="358">
      <formula>AND($J102&lt;&gt;"",K102&lt;$J102)</formula>
    </cfRule>
    <cfRule type="expression" dxfId="358" priority="359">
      <formula>AND($I102&lt;&gt;"",K102&gt;$I102)</formula>
    </cfRule>
    <cfRule type="notContainsBlanks" dxfId="357" priority="360">
      <formula>LEN(TRIM(K102))&gt;0</formula>
    </cfRule>
  </conditionalFormatting>
  <conditionalFormatting sqref="K106:M106">
    <cfRule type="expression" dxfId="356" priority="355">
      <formula>AND($J106&lt;&gt;"",K106&lt;$J106)</formula>
    </cfRule>
    <cfRule type="expression" dxfId="355" priority="356">
      <formula>AND($I106&lt;&gt;"",K106&gt;$I106)</formula>
    </cfRule>
    <cfRule type="notContainsBlanks" dxfId="354" priority="357">
      <formula>LEN(TRIM(K106))&gt;0</formula>
    </cfRule>
  </conditionalFormatting>
  <conditionalFormatting sqref="K113:M113">
    <cfRule type="expression" dxfId="353" priority="352">
      <formula>AND($J113&lt;&gt;"",K113&lt;$J113)</formula>
    </cfRule>
    <cfRule type="expression" dxfId="352" priority="353">
      <formula>AND($I113&lt;&gt;"",K113&gt;$I113)</formula>
    </cfRule>
    <cfRule type="notContainsBlanks" dxfId="351" priority="354">
      <formula>LEN(TRIM(K113))&gt;0</formula>
    </cfRule>
  </conditionalFormatting>
  <conditionalFormatting sqref="K113:M113">
    <cfRule type="expression" dxfId="350" priority="349">
      <formula>AND($J113&lt;&gt;"",K113&lt;$J113)</formula>
    </cfRule>
    <cfRule type="expression" dxfId="349" priority="350">
      <formula>AND($I113&lt;&gt;"",K113&gt;$I113)</formula>
    </cfRule>
    <cfRule type="notContainsBlanks" dxfId="348" priority="351">
      <formula>LEN(TRIM(K113))&gt;0</formula>
    </cfRule>
  </conditionalFormatting>
  <conditionalFormatting sqref="K112:M112">
    <cfRule type="expression" dxfId="347" priority="346">
      <formula>AND($J112&lt;&gt;"",K112&lt;$J112)</formula>
    </cfRule>
    <cfRule type="expression" dxfId="346" priority="347">
      <formula>AND($I112&lt;&gt;"",K112&gt;$I112)</formula>
    </cfRule>
    <cfRule type="notContainsBlanks" dxfId="345" priority="348">
      <formula>LEN(TRIM(K112))&gt;0</formula>
    </cfRule>
  </conditionalFormatting>
  <conditionalFormatting sqref="L113:M113">
    <cfRule type="expression" dxfId="344" priority="343">
      <formula>AND($J113&lt;&gt;"",L113&lt;$J113)</formula>
    </cfRule>
    <cfRule type="expression" dxfId="343" priority="344">
      <formula>AND($I113&lt;&gt;"",L113&gt;$I113)</formula>
    </cfRule>
    <cfRule type="notContainsBlanks" dxfId="342" priority="345">
      <formula>LEN(TRIM(L113))&gt;0</formula>
    </cfRule>
  </conditionalFormatting>
  <conditionalFormatting sqref="M104">
    <cfRule type="expression" dxfId="341" priority="340">
      <formula>AND($J104&lt;&gt;"",M104&lt;$J104)</formula>
    </cfRule>
    <cfRule type="expression" dxfId="340" priority="341">
      <formula>AND($I104&lt;&gt;"",M104&gt;$I104)</formula>
    </cfRule>
    <cfRule type="notContainsBlanks" dxfId="339" priority="342">
      <formula>LEN(TRIM(M104))&gt;0</formula>
    </cfRule>
  </conditionalFormatting>
  <conditionalFormatting sqref="M101">
    <cfRule type="expression" dxfId="338" priority="337">
      <formula>AND($J101&lt;&gt;"",M101&lt;$J101)</formula>
    </cfRule>
    <cfRule type="expression" dxfId="337" priority="338">
      <formula>AND($I101&lt;&gt;"",M101&gt;$I101)</formula>
    </cfRule>
    <cfRule type="notContainsBlanks" dxfId="336" priority="339">
      <formula>LEN(TRIM(M101))&gt;0</formula>
    </cfRule>
  </conditionalFormatting>
  <conditionalFormatting sqref="M102">
    <cfRule type="expression" dxfId="335" priority="334">
      <formula>AND($J102&lt;&gt;"",M102&lt;$J102)</formula>
    </cfRule>
    <cfRule type="expression" dxfId="334" priority="335">
      <formula>AND($I102&lt;&gt;"",M102&gt;$I102)</formula>
    </cfRule>
    <cfRule type="notContainsBlanks" dxfId="333" priority="336">
      <formula>LEN(TRIM(M102))&gt;0</formula>
    </cfRule>
  </conditionalFormatting>
  <conditionalFormatting sqref="M101">
    <cfRule type="expression" dxfId="332" priority="331">
      <formula>AND($J101&lt;&gt;"",M101&lt;$J101)</formula>
    </cfRule>
    <cfRule type="expression" dxfId="331" priority="332">
      <formula>AND($I101&lt;&gt;"",M101&gt;$I101)</formula>
    </cfRule>
    <cfRule type="notContainsBlanks" dxfId="330" priority="333">
      <formula>LEN(TRIM(M101))&gt;0</formula>
    </cfRule>
  </conditionalFormatting>
  <conditionalFormatting sqref="M101">
    <cfRule type="expression" dxfId="329" priority="328">
      <formula>AND($J101&lt;&gt;"",M101&lt;$J101)</formula>
    </cfRule>
    <cfRule type="expression" dxfId="328" priority="329">
      <formula>AND($I101&lt;&gt;"",M101&gt;$I101)</formula>
    </cfRule>
    <cfRule type="notContainsBlanks" dxfId="327" priority="330">
      <formula>LEN(TRIM(M101))&gt;0</formula>
    </cfRule>
  </conditionalFormatting>
  <conditionalFormatting sqref="M105">
    <cfRule type="expression" dxfId="326" priority="325">
      <formula>AND($J105&lt;&gt;"",M105&lt;$J105)</formula>
    </cfRule>
    <cfRule type="expression" dxfId="325" priority="326">
      <formula>AND($I105&lt;&gt;"",M105&gt;$I105)</formula>
    </cfRule>
    <cfRule type="notContainsBlanks" dxfId="324" priority="327">
      <formula>LEN(TRIM(M105))&gt;0</formula>
    </cfRule>
  </conditionalFormatting>
  <conditionalFormatting sqref="M104">
    <cfRule type="expression" dxfId="323" priority="322">
      <formula>AND($J104&lt;&gt;"",M104&lt;$J104)</formula>
    </cfRule>
    <cfRule type="expression" dxfId="322" priority="323">
      <formula>AND($I104&lt;&gt;"",M104&gt;$I104)</formula>
    </cfRule>
    <cfRule type="notContainsBlanks" dxfId="321" priority="324">
      <formula>LEN(TRIM(M104))&gt;0</formula>
    </cfRule>
  </conditionalFormatting>
  <conditionalFormatting sqref="K112:M113">
    <cfRule type="expression" dxfId="320" priority="319">
      <formula>AND($J112&lt;&gt;"",K112&lt;$J112)</formula>
    </cfRule>
    <cfRule type="expression" dxfId="319" priority="320">
      <formula>AND($I112&lt;&gt;"",K112&gt;$I112)</formula>
    </cfRule>
    <cfRule type="notContainsBlanks" dxfId="318" priority="321">
      <formula>LEN(TRIM(K112))&gt;0</formula>
    </cfRule>
  </conditionalFormatting>
  <conditionalFormatting sqref="K112:M113">
    <cfRule type="expression" dxfId="317" priority="316">
      <formula>AND($J112&lt;&gt;"",K112&lt;$J112)</formula>
    </cfRule>
    <cfRule type="expression" dxfId="316" priority="317">
      <formula>AND($I112&lt;&gt;"",K112&gt;$I112)</formula>
    </cfRule>
    <cfRule type="notContainsBlanks" dxfId="315" priority="318">
      <formula>LEN(TRIM(K112))&gt;0</formula>
    </cfRule>
  </conditionalFormatting>
  <conditionalFormatting sqref="K112:M113">
    <cfRule type="expression" dxfId="314" priority="313">
      <formula>AND($J112&lt;&gt;"",K112&lt;$J112)</formula>
    </cfRule>
    <cfRule type="expression" dxfId="313" priority="314">
      <formula>AND($I112&lt;&gt;"",K112&gt;$I112)</formula>
    </cfRule>
    <cfRule type="notContainsBlanks" dxfId="312" priority="315">
      <formula>LEN(TRIM(K112))&gt;0</formula>
    </cfRule>
  </conditionalFormatting>
  <conditionalFormatting sqref="K112:M113">
    <cfRule type="expression" dxfId="311" priority="310">
      <formula>AND($J112&lt;&gt;"",K112&lt;$J112)</formula>
    </cfRule>
    <cfRule type="expression" dxfId="310" priority="311">
      <formula>AND($I112&lt;&gt;"",K112&gt;$I112)</formula>
    </cfRule>
    <cfRule type="notContainsBlanks" dxfId="309" priority="312">
      <formula>LEN(TRIM(K112))&gt;0</formula>
    </cfRule>
  </conditionalFormatting>
  <conditionalFormatting sqref="K112:M113">
    <cfRule type="expression" dxfId="308" priority="307">
      <formula>AND($J112&lt;&gt;"",K112&lt;$J112)</formula>
    </cfRule>
    <cfRule type="expression" dxfId="307" priority="308">
      <formula>AND($I112&lt;&gt;"",K112&gt;$I112)</formula>
    </cfRule>
    <cfRule type="notContainsBlanks" dxfId="306" priority="309">
      <formula>LEN(TRIM(K112))&gt;0</formula>
    </cfRule>
  </conditionalFormatting>
  <conditionalFormatting sqref="K112:K113">
    <cfRule type="expression" dxfId="305" priority="304">
      <formula>AND($J112&lt;&gt;"",K112&lt;$J112)</formula>
    </cfRule>
    <cfRule type="expression" dxfId="304" priority="305">
      <formula>AND($I112&lt;&gt;"",K112&gt;$I112)</formula>
    </cfRule>
    <cfRule type="notContainsBlanks" dxfId="303" priority="306">
      <formula>LEN(TRIM(K112))&gt;0</formula>
    </cfRule>
  </conditionalFormatting>
  <conditionalFormatting sqref="K112:K113">
    <cfRule type="expression" dxfId="302" priority="301">
      <formula>AND($J112&lt;&gt;"",K112&lt;$J112)</formula>
    </cfRule>
    <cfRule type="expression" dxfId="301" priority="302">
      <formula>AND($I112&lt;&gt;"",K112&gt;$I112)</formula>
    </cfRule>
    <cfRule type="notContainsBlanks" dxfId="300" priority="303">
      <formula>LEN(TRIM(K112))&gt;0</formula>
    </cfRule>
  </conditionalFormatting>
  <conditionalFormatting sqref="K112:K113">
    <cfRule type="expression" dxfId="299" priority="298">
      <formula>AND($J112&lt;&gt;"",K112&lt;$J112)</formula>
    </cfRule>
    <cfRule type="expression" dxfId="298" priority="299">
      <formula>AND($I112&lt;&gt;"",K112&gt;$I112)</formula>
    </cfRule>
    <cfRule type="notContainsBlanks" dxfId="297" priority="300">
      <formula>LEN(TRIM(K112))&gt;0</formula>
    </cfRule>
  </conditionalFormatting>
  <conditionalFormatting sqref="K112:K113">
    <cfRule type="expression" dxfId="296" priority="295">
      <formula>AND($J112&lt;&gt;"",K112&lt;$J112)</formula>
    </cfRule>
    <cfRule type="expression" dxfId="295" priority="296">
      <formula>AND($I112&lt;&gt;"",K112&gt;$I112)</formula>
    </cfRule>
    <cfRule type="notContainsBlanks" dxfId="294" priority="297">
      <formula>LEN(TRIM(K112))&gt;0</formula>
    </cfRule>
  </conditionalFormatting>
  <conditionalFormatting sqref="K112:K113">
    <cfRule type="expression" dxfId="293" priority="292">
      <formula>AND($J112&lt;&gt;"",K112&lt;$J112)</formula>
    </cfRule>
    <cfRule type="expression" dxfId="292" priority="293">
      <formula>AND($I112&lt;&gt;"",K112&gt;$I112)</formula>
    </cfRule>
    <cfRule type="notContainsBlanks" dxfId="291" priority="294">
      <formula>LEN(TRIM(K112))&gt;0</formula>
    </cfRule>
  </conditionalFormatting>
  <conditionalFormatting sqref="K112:M113">
    <cfRule type="expression" dxfId="290" priority="289">
      <formula>AND($J112&lt;&gt;"",K112&lt;$J112)</formula>
    </cfRule>
    <cfRule type="expression" dxfId="289" priority="290">
      <formula>AND($I112&lt;&gt;"",K112&gt;$I112)</formula>
    </cfRule>
    <cfRule type="notContainsBlanks" dxfId="288" priority="291">
      <formula>LEN(TRIM(K112))&gt;0</formula>
    </cfRule>
  </conditionalFormatting>
  <conditionalFormatting sqref="K112:M113">
    <cfRule type="expression" dxfId="287" priority="286">
      <formula>AND($J112&lt;&gt;"",K112&lt;$J112)</formula>
    </cfRule>
    <cfRule type="expression" dxfId="286" priority="287">
      <formula>AND($I112&lt;&gt;"",K112&gt;$I112)</formula>
    </cfRule>
    <cfRule type="notContainsBlanks" dxfId="285" priority="288">
      <formula>LEN(TRIM(K112))&gt;0</formula>
    </cfRule>
  </conditionalFormatting>
  <conditionalFormatting sqref="K112:M113">
    <cfRule type="expression" dxfId="284" priority="283">
      <formula>AND($J112&lt;&gt;"",K112&lt;$J112)</formula>
    </cfRule>
    <cfRule type="expression" dxfId="283" priority="284">
      <formula>AND($I112&lt;&gt;"",K112&gt;$I112)</formula>
    </cfRule>
    <cfRule type="notContainsBlanks" dxfId="282" priority="285">
      <formula>LEN(TRIM(K112))&gt;0</formula>
    </cfRule>
  </conditionalFormatting>
  <conditionalFormatting sqref="K112:M113">
    <cfRule type="expression" dxfId="281" priority="280">
      <formula>AND($J112&lt;&gt;"",K112&lt;$J112)</formula>
    </cfRule>
    <cfRule type="expression" dxfId="280" priority="281">
      <formula>AND($I112&lt;&gt;"",K112&gt;$I112)</formula>
    </cfRule>
    <cfRule type="notContainsBlanks" dxfId="279" priority="282">
      <formula>LEN(TRIM(K112))&gt;0</formula>
    </cfRule>
  </conditionalFormatting>
  <conditionalFormatting sqref="K112:M113">
    <cfRule type="expression" dxfId="278" priority="277">
      <formula>AND($J112&lt;&gt;"",K112&lt;$J112)</formula>
    </cfRule>
    <cfRule type="expression" dxfId="277" priority="278">
      <formula>AND($I112&lt;&gt;"",K112&gt;$I112)</formula>
    </cfRule>
    <cfRule type="notContainsBlanks" dxfId="276" priority="279">
      <formula>LEN(TRIM(K112))&gt;0</formula>
    </cfRule>
  </conditionalFormatting>
  <conditionalFormatting sqref="M112:M113">
    <cfRule type="expression" dxfId="275" priority="274">
      <formula>AND($J112&lt;&gt;"",M112&lt;$J112)</formula>
    </cfRule>
    <cfRule type="expression" dxfId="274" priority="275">
      <formula>AND($I112&lt;&gt;"",M112&gt;$I112)</formula>
    </cfRule>
    <cfRule type="notContainsBlanks" dxfId="273" priority="276">
      <formula>LEN(TRIM(M112))&gt;0</formula>
    </cfRule>
  </conditionalFormatting>
  <conditionalFormatting sqref="M112:M113">
    <cfRule type="expression" dxfId="272" priority="271">
      <formula>AND($J112&lt;&gt;"",M112&lt;$J112)</formula>
    </cfRule>
    <cfRule type="expression" dxfId="271" priority="272">
      <formula>AND($I112&lt;&gt;"",M112&gt;$I112)</formula>
    </cfRule>
    <cfRule type="notContainsBlanks" dxfId="270" priority="273">
      <formula>LEN(TRIM(M112))&gt;0</formula>
    </cfRule>
  </conditionalFormatting>
  <conditionalFormatting sqref="M112:M113">
    <cfRule type="expression" dxfId="269" priority="268">
      <formula>AND($J112&lt;&gt;"",M112&lt;$J112)</formula>
    </cfRule>
    <cfRule type="expression" dxfId="268" priority="269">
      <formula>AND($I112&lt;&gt;"",M112&gt;$I112)</formula>
    </cfRule>
    <cfRule type="notContainsBlanks" dxfId="267" priority="270">
      <formula>LEN(TRIM(M112))&gt;0</formula>
    </cfRule>
  </conditionalFormatting>
  <conditionalFormatting sqref="M112:M113">
    <cfRule type="expression" dxfId="266" priority="265">
      <formula>AND($J112&lt;&gt;"",M112&lt;$J112)</formula>
    </cfRule>
    <cfRule type="expression" dxfId="265" priority="266">
      <formula>AND($I112&lt;&gt;"",M112&gt;$I112)</formula>
    </cfRule>
    <cfRule type="notContainsBlanks" dxfId="264" priority="267">
      <formula>LEN(TRIM(M112))&gt;0</formula>
    </cfRule>
  </conditionalFormatting>
  <conditionalFormatting sqref="K113:M113">
    <cfRule type="expression" dxfId="263" priority="262">
      <formula>AND($J113&lt;&gt;"",K113&lt;$J113)</formula>
    </cfRule>
    <cfRule type="expression" dxfId="262" priority="263">
      <formula>AND($I113&lt;&gt;"",K113&gt;$I113)</formula>
    </cfRule>
    <cfRule type="notContainsBlanks" dxfId="261" priority="264">
      <formula>LEN(TRIM(K113))&gt;0</formula>
    </cfRule>
  </conditionalFormatting>
  <conditionalFormatting sqref="K113:M113">
    <cfRule type="expression" dxfId="260" priority="259">
      <formula>AND($J113&lt;&gt;"",K113&lt;$J113)</formula>
    </cfRule>
    <cfRule type="expression" dxfId="259" priority="260">
      <formula>AND($I113&lt;&gt;"",K113&gt;$I113)</formula>
    </cfRule>
    <cfRule type="notContainsBlanks" dxfId="258" priority="261">
      <formula>LEN(TRIM(K113))&gt;0</formula>
    </cfRule>
  </conditionalFormatting>
  <conditionalFormatting sqref="K112:M112">
    <cfRule type="expression" dxfId="257" priority="256">
      <formula>AND($J112&lt;&gt;"",K112&lt;$J112)</formula>
    </cfRule>
    <cfRule type="expression" dxfId="256" priority="257">
      <formula>AND($I112&lt;&gt;"",K112&gt;$I112)</formula>
    </cfRule>
    <cfRule type="notContainsBlanks" dxfId="255" priority="258">
      <formula>LEN(TRIM(K112))&gt;0</formula>
    </cfRule>
  </conditionalFormatting>
  <conditionalFormatting sqref="L113:M113">
    <cfRule type="expression" dxfId="254" priority="253">
      <formula>AND($J113&lt;&gt;"",L113&lt;$J113)</formula>
    </cfRule>
    <cfRule type="expression" dxfId="253" priority="254">
      <formula>AND($I113&lt;&gt;"",L113&gt;$I113)</formula>
    </cfRule>
    <cfRule type="notContainsBlanks" dxfId="252" priority="255">
      <formula>LEN(TRIM(L113))&gt;0</formula>
    </cfRule>
  </conditionalFormatting>
  <conditionalFormatting sqref="K104">
    <cfRule type="expression" dxfId="251" priority="250">
      <formula>AND($J104&lt;&gt;"",K104&lt;$J104)</formula>
    </cfRule>
    <cfRule type="expression" dxfId="250" priority="251">
      <formula>AND($I104&lt;&gt;"",K104&gt;$I104)</formula>
    </cfRule>
    <cfRule type="notContainsBlanks" dxfId="249" priority="252">
      <formula>LEN(TRIM(K104))&gt;0</formula>
    </cfRule>
  </conditionalFormatting>
  <conditionalFormatting sqref="K104">
    <cfRule type="expression" dxfId="248" priority="247">
      <formula>AND($J104&lt;&gt;"",K104&lt;$J104)</formula>
    </cfRule>
    <cfRule type="expression" dxfId="247" priority="248">
      <formula>AND($I104&lt;&gt;"",K104&gt;$I104)</formula>
    </cfRule>
    <cfRule type="notContainsBlanks" dxfId="246" priority="249">
      <formula>LEN(TRIM(K104))&gt;0</formula>
    </cfRule>
  </conditionalFormatting>
  <conditionalFormatting sqref="K104">
    <cfRule type="expression" dxfId="245" priority="244">
      <formula>AND($J104&lt;&gt;"",K104&lt;$J104)</formula>
    </cfRule>
    <cfRule type="expression" dxfId="244" priority="245">
      <formula>AND($I104&lt;&gt;"",K104&gt;$I104)</formula>
    </cfRule>
    <cfRule type="notContainsBlanks" dxfId="243" priority="246">
      <formula>LEN(TRIM(K104))&gt;0</formula>
    </cfRule>
  </conditionalFormatting>
  <conditionalFormatting sqref="K104">
    <cfRule type="expression" dxfId="242" priority="241">
      <formula>AND($J104&lt;&gt;"",K104&lt;$J104)</formula>
    </cfRule>
    <cfRule type="expression" dxfId="241" priority="242">
      <formula>AND($I104&lt;&gt;"",K104&gt;$I104)</formula>
    </cfRule>
    <cfRule type="notContainsBlanks" dxfId="240" priority="243">
      <formula>LEN(TRIM(K104))&gt;0</formula>
    </cfRule>
  </conditionalFormatting>
  <conditionalFormatting sqref="K104">
    <cfRule type="expression" dxfId="239" priority="238">
      <formula>AND($J104&lt;&gt;"",K104&lt;$J104)</formula>
    </cfRule>
    <cfRule type="expression" dxfId="238" priority="239">
      <formula>AND($I104&lt;&gt;"",K104&gt;$I104)</formula>
    </cfRule>
    <cfRule type="notContainsBlanks" dxfId="237" priority="240">
      <formula>LEN(TRIM(K104))&gt;0</formula>
    </cfRule>
  </conditionalFormatting>
  <conditionalFormatting sqref="K104">
    <cfRule type="expression" dxfId="236" priority="235">
      <formula>AND($J104&lt;&gt;"",K104&lt;$J104)</formula>
    </cfRule>
    <cfRule type="expression" dxfId="235" priority="236">
      <formula>AND($I104&lt;&gt;"",K104&gt;$I104)</formula>
    </cfRule>
    <cfRule type="notContainsBlanks" dxfId="234" priority="237">
      <formula>LEN(TRIM(K104))&gt;0</formula>
    </cfRule>
  </conditionalFormatting>
  <conditionalFormatting sqref="L104">
    <cfRule type="expression" dxfId="233" priority="232">
      <formula>AND($J104&lt;&gt;"",L104&lt;$J104)</formula>
    </cfRule>
    <cfRule type="expression" dxfId="232" priority="233">
      <formula>AND($I104&lt;&gt;"",L104&gt;$I104)</formula>
    </cfRule>
    <cfRule type="notContainsBlanks" dxfId="231" priority="234">
      <formula>LEN(TRIM(L104))&gt;0</formula>
    </cfRule>
  </conditionalFormatting>
  <conditionalFormatting sqref="L104">
    <cfRule type="expression" dxfId="230" priority="229">
      <formula>AND($J104&lt;&gt;"",L104&lt;$J104)</formula>
    </cfRule>
    <cfRule type="expression" dxfId="229" priority="230">
      <formula>AND($I104&lt;&gt;"",L104&gt;$I104)</formula>
    </cfRule>
    <cfRule type="notContainsBlanks" dxfId="228" priority="231">
      <formula>LEN(TRIM(L104))&gt;0</formula>
    </cfRule>
  </conditionalFormatting>
  <conditionalFormatting sqref="L104">
    <cfRule type="expression" dxfId="227" priority="226">
      <formula>AND($J104&lt;&gt;"",L104&lt;$J104)</formula>
    </cfRule>
    <cfRule type="expression" dxfId="226" priority="227">
      <formula>AND($I104&lt;&gt;"",L104&gt;$I104)</formula>
    </cfRule>
    <cfRule type="notContainsBlanks" dxfId="225" priority="228">
      <formula>LEN(TRIM(L104))&gt;0</formula>
    </cfRule>
  </conditionalFormatting>
  <conditionalFormatting sqref="L104">
    <cfRule type="expression" dxfId="224" priority="223">
      <formula>AND($J104&lt;&gt;"",L104&lt;$J104)</formula>
    </cfRule>
    <cfRule type="expression" dxfId="223" priority="224">
      <formula>AND($I104&lt;&gt;"",L104&gt;$I104)</formula>
    </cfRule>
    <cfRule type="notContainsBlanks" dxfId="222" priority="225">
      <formula>LEN(TRIM(L104))&gt;0</formula>
    </cfRule>
  </conditionalFormatting>
  <conditionalFormatting sqref="L104">
    <cfRule type="expression" dxfId="221" priority="220">
      <formula>AND($J104&lt;&gt;"",L104&lt;$J104)</formula>
    </cfRule>
    <cfRule type="expression" dxfId="220" priority="221">
      <formula>AND($I104&lt;&gt;"",L104&gt;$I104)</formula>
    </cfRule>
    <cfRule type="notContainsBlanks" dxfId="219" priority="222">
      <formula>LEN(TRIM(L104))&gt;0</formula>
    </cfRule>
  </conditionalFormatting>
  <conditionalFormatting sqref="L104">
    <cfRule type="expression" dxfId="218" priority="217">
      <formula>AND($J104&lt;&gt;"",L104&lt;$J104)</formula>
    </cfRule>
    <cfRule type="expression" dxfId="217" priority="218">
      <formula>AND($I104&lt;&gt;"",L104&gt;$I104)</formula>
    </cfRule>
    <cfRule type="notContainsBlanks" dxfId="216" priority="219">
      <formula>LEN(TRIM(L104))&gt;0</formula>
    </cfRule>
  </conditionalFormatting>
  <conditionalFormatting sqref="M104">
    <cfRule type="expression" dxfId="215" priority="214">
      <formula>AND($J104&lt;&gt;"",M104&lt;$J104)</formula>
    </cfRule>
    <cfRule type="expression" dxfId="214" priority="215">
      <formula>AND($I104&lt;&gt;"",M104&gt;$I104)</formula>
    </cfRule>
    <cfRule type="notContainsBlanks" dxfId="213" priority="216">
      <formula>LEN(TRIM(M104))&gt;0</formula>
    </cfRule>
  </conditionalFormatting>
  <conditionalFormatting sqref="M104">
    <cfRule type="expression" dxfId="212" priority="211">
      <formula>AND($J104&lt;&gt;"",M104&lt;$J104)</formula>
    </cfRule>
    <cfRule type="expression" dxfId="211" priority="212">
      <formula>AND($I104&lt;&gt;"",M104&gt;$I104)</formula>
    </cfRule>
    <cfRule type="notContainsBlanks" dxfId="210" priority="213">
      <formula>LEN(TRIM(M104))&gt;0</formula>
    </cfRule>
  </conditionalFormatting>
  <conditionalFormatting sqref="M104">
    <cfRule type="expression" dxfId="209" priority="208">
      <formula>AND($J104&lt;&gt;"",M104&lt;$J104)</formula>
    </cfRule>
    <cfRule type="expression" dxfId="208" priority="209">
      <formula>AND($I104&lt;&gt;"",M104&gt;$I104)</formula>
    </cfRule>
    <cfRule type="notContainsBlanks" dxfId="207" priority="210">
      <formula>LEN(TRIM(M104))&gt;0</formula>
    </cfRule>
  </conditionalFormatting>
  <conditionalFormatting sqref="M104">
    <cfRule type="expression" dxfId="206" priority="205">
      <formula>AND($J104&lt;&gt;"",M104&lt;$J104)</formula>
    </cfRule>
    <cfRule type="expression" dxfId="205" priority="206">
      <formula>AND($I104&lt;&gt;"",M104&gt;$I104)</formula>
    </cfRule>
    <cfRule type="notContainsBlanks" dxfId="204" priority="207">
      <formula>LEN(TRIM(M104))&gt;0</formula>
    </cfRule>
  </conditionalFormatting>
  <conditionalFormatting sqref="M104">
    <cfRule type="expression" dxfId="203" priority="202">
      <formula>AND($J104&lt;&gt;"",M104&lt;$J104)</formula>
    </cfRule>
    <cfRule type="expression" dxfId="202" priority="203">
      <formula>AND($I104&lt;&gt;"",M104&gt;$I104)</formula>
    </cfRule>
    <cfRule type="notContainsBlanks" dxfId="201" priority="204">
      <formula>LEN(TRIM(M104))&gt;0</formula>
    </cfRule>
  </conditionalFormatting>
  <conditionalFormatting sqref="M104">
    <cfRule type="expression" dxfId="200" priority="199">
      <formula>AND($J104&lt;&gt;"",M104&lt;$J104)</formula>
    </cfRule>
    <cfRule type="expression" dxfId="199" priority="200">
      <formula>AND($I104&lt;&gt;"",M104&gt;$I104)</formula>
    </cfRule>
    <cfRule type="notContainsBlanks" dxfId="198" priority="201">
      <formula>LEN(TRIM(M104))&gt;0</formula>
    </cfRule>
  </conditionalFormatting>
  <conditionalFormatting sqref="M104">
    <cfRule type="expression" dxfId="197" priority="196">
      <formula>AND($J104&lt;&gt;"",M104&lt;$J104)</formula>
    </cfRule>
    <cfRule type="expression" dxfId="196" priority="197">
      <formula>AND($I104&lt;&gt;"",M104&gt;$I104)</formula>
    </cfRule>
    <cfRule type="notContainsBlanks" dxfId="195" priority="198">
      <formula>LEN(TRIM(M104))&gt;0</formula>
    </cfRule>
  </conditionalFormatting>
  <conditionalFormatting sqref="K113">
    <cfRule type="expression" dxfId="194" priority="193">
      <formula>AND($J113&lt;&gt;"",K113&lt;$J113)</formula>
    </cfRule>
    <cfRule type="expression" dxfId="193" priority="194">
      <formula>AND($I113&lt;&gt;"",K113&gt;$I113)</formula>
    </cfRule>
    <cfRule type="notContainsBlanks" dxfId="192" priority="195">
      <formula>LEN(TRIM(K113))&gt;0</formula>
    </cfRule>
  </conditionalFormatting>
  <conditionalFormatting sqref="K113">
    <cfRule type="expression" dxfId="191" priority="190">
      <formula>AND($J113&lt;&gt;"",K113&lt;$J113)</formula>
    </cfRule>
    <cfRule type="expression" dxfId="190" priority="191">
      <formula>AND($I113&lt;&gt;"",K113&gt;$I113)</formula>
    </cfRule>
    <cfRule type="notContainsBlanks" dxfId="189" priority="192">
      <formula>LEN(TRIM(K113))&gt;0</formula>
    </cfRule>
  </conditionalFormatting>
  <conditionalFormatting sqref="K113">
    <cfRule type="expression" dxfId="188" priority="187">
      <formula>AND($J113&lt;&gt;"",K113&lt;$J113)</formula>
    </cfRule>
    <cfRule type="expression" dxfId="187" priority="188">
      <formula>AND($I113&lt;&gt;"",K113&gt;$I113)</formula>
    </cfRule>
    <cfRule type="notContainsBlanks" dxfId="186" priority="189">
      <formula>LEN(TRIM(K113))&gt;0</formula>
    </cfRule>
  </conditionalFormatting>
  <conditionalFormatting sqref="K114:M114">
    <cfRule type="expression" dxfId="185" priority="184">
      <formula>AND($J114&lt;&gt;"",K114&lt;$J114)</formula>
    </cfRule>
    <cfRule type="expression" dxfId="184" priority="185">
      <formula>AND($I114&lt;&gt;"",K114&gt;$I114)</formula>
    </cfRule>
    <cfRule type="notContainsBlanks" dxfId="183" priority="186">
      <formula>LEN(TRIM(K114))&gt;0</formula>
    </cfRule>
  </conditionalFormatting>
  <conditionalFormatting sqref="K114:M114">
    <cfRule type="expression" dxfId="182" priority="181">
      <formula>AND($J114&lt;&gt;"",K114&lt;$J114)</formula>
    </cfRule>
    <cfRule type="expression" dxfId="181" priority="182">
      <formula>AND($I114&lt;&gt;"",K114&gt;$I114)</formula>
    </cfRule>
    <cfRule type="notContainsBlanks" dxfId="180" priority="183">
      <formula>LEN(TRIM(K114))&gt;0</formula>
    </cfRule>
  </conditionalFormatting>
  <conditionalFormatting sqref="K114:M114">
    <cfRule type="expression" dxfId="179" priority="178">
      <formula>AND($J114&lt;&gt;"",K114&lt;$J114)</formula>
    </cfRule>
    <cfRule type="expression" dxfId="178" priority="179">
      <formula>AND($I114&lt;&gt;"",K114&gt;$I114)</formula>
    </cfRule>
    <cfRule type="notContainsBlanks" dxfId="177" priority="180">
      <formula>LEN(TRIM(K114))&gt;0</formula>
    </cfRule>
  </conditionalFormatting>
  <conditionalFormatting sqref="K114:M114">
    <cfRule type="expression" dxfId="176" priority="175">
      <formula>AND($J114&lt;&gt;"",K114&lt;$J114)</formula>
    </cfRule>
    <cfRule type="expression" dxfId="175" priority="176">
      <formula>AND($I114&lt;&gt;"",K114&gt;$I114)</formula>
    </cfRule>
    <cfRule type="notContainsBlanks" dxfId="174" priority="177">
      <formula>LEN(TRIM(K114))&gt;0</formula>
    </cfRule>
  </conditionalFormatting>
  <conditionalFormatting sqref="K114:M114">
    <cfRule type="expression" dxfId="173" priority="172">
      <formula>AND($J114&lt;&gt;"",K114&lt;$J114)</formula>
    </cfRule>
    <cfRule type="expression" dxfId="172" priority="173">
      <formula>AND($I114&lt;&gt;"",K114&gt;$I114)</formula>
    </cfRule>
    <cfRule type="notContainsBlanks" dxfId="171" priority="174">
      <formula>LEN(TRIM(K114))&gt;0</formula>
    </cfRule>
  </conditionalFormatting>
  <conditionalFormatting sqref="K114:M114">
    <cfRule type="expression" dxfId="170" priority="169">
      <formula>AND($J114&lt;&gt;"",K114&lt;$J114)</formula>
    </cfRule>
    <cfRule type="expression" dxfId="169" priority="170">
      <formula>AND($I114&lt;&gt;"",K114&gt;$I114)</formula>
    </cfRule>
    <cfRule type="notContainsBlanks" dxfId="168" priority="171">
      <formula>LEN(TRIM(K114))&gt;0</formula>
    </cfRule>
  </conditionalFormatting>
  <conditionalFormatting sqref="M114">
    <cfRule type="expression" dxfId="167" priority="166">
      <formula>AND($J114&lt;&gt;"",M114&lt;$J114)</formula>
    </cfRule>
    <cfRule type="expression" dxfId="166" priority="167">
      <formula>AND($I114&lt;&gt;"",M114&gt;$I114)</formula>
    </cfRule>
    <cfRule type="notContainsBlanks" dxfId="165" priority="168">
      <formula>LEN(TRIM(M114))&gt;0</formula>
    </cfRule>
  </conditionalFormatting>
  <conditionalFormatting sqref="K115:M115">
    <cfRule type="expression" dxfId="164" priority="163">
      <formula>AND($J115&lt;&gt;"",K115&lt;$J115)</formula>
    </cfRule>
    <cfRule type="expression" dxfId="163" priority="164">
      <formula>AND($I115&lt;&gt;"",K115&gt;$I115)</formula>
    </cfRule>
    <cfRule type="notContainsBlanks" dxfId="162" priority="165">
      <formula>LEN(TRIM(K115))&gt;0</formula>
    </cfRule>
  </conditionalFormatting>
  <conditionalFormatting sqref="K115:M115">
    <cfRule type="expression" dxfId="161" priority="160">
      <formula>AND($J115&lt;&gt;"",K115&lt;$J115)</formula>
    </cfRule>
    <cfRule type="expression" dxfId="160" priority="161">
      <formula>AND($I115&lt;&gt;"",K115&gt;$I115)</formula>
    </cfRule>
    <cfRule type="notContainsBlanks" dxfId="159" priority="162">
      <formula>LEN(TRIM(K115))&gt;0</formula>
    </cfRule>
  </conditionalFormatting>
  <conditionalFormatting sqref="K114:M114">
    <cfRule type="expression" dxfId="158" priority="157">
      <formula>AND($J114&lt;&gt;"",K114&lt;$J114)</formula>
    </cfRule>
    <cfRule type="expression" dxfId="157" priority="158">
      <formula>AND($I114&lt;&gt;"",K114&gt;$I114)</formula>
    </cfRule>
    <cfRule type="notContainsBlanks" dxfId="156" priority="159">
      <formula>LEN(TRIM(K114))&gt;0</formula>
    </cfRule>
  </conditionalFormatting>
  <conditionalFormatting sqref="L115:M115">
    <cfRule type="expression" dxfId="155" priority="154">
      <formula>AND($J115&lt;&gt;"",L115&lt;$J115)</formula>
    </cfRule>
    <cfRule type="expression" dxfId="154" priority="155">
      <formula>AND($I115&lt;&gt;"",L115&gt;$I115)</formula>
    </cfRule>
    <cfRule type="notContainsBlanks" dxfId="153" priority="156">
      <formula>LEN(TRIM(L115))&gt;0</formula>
    </cfRule>
  </conditionalFormatting>
  <conditionalFormatting sqref="K114:M115">
    <cfRule type="expression" dxfId="152" priority="151">
      <formula>AND($J114&lt;&gt;"",K114&lt;$J114)</formula>
    </cfRule>
    <cfRule type="expression" dxfId="151" priority="152">
      <formula>AND($I114&lt;&gt;"",K114&gt;$I114)</formula>
    </cfRule>
    <cfRule type="notContainsBlanks" dxfId="150" priority="153">
      <formula>LEN(TRIM(K114))&gt;0</formula>
    </cfRule>
  </conditionalFormatting>
  <conditionalFormatting sqref="K114:M115">
    <cfRule type="expression" dxfId="149" priority="148">
      <formula>AND($J114&lt;&gt;"",K114&lt;$J114)</formula>
    </cfRule>
    <cfRule type="expression" dxfId="148" priority="149">
      <formula>AND($I114&lt;&gt;"",K114&gt;$I114)</formula>
    </cfRule>
    <cfRule type="notContainsBlanks" dxfId="147" priority="150">
      <formula>LEN(TRIM(K114))&gt;0</formula>
    </cfRule>
  </conditionalFormatting>
  <conditionalFormatting sqref="K114:M115">
    <cfRule type="expression" dxfId="146" priority="145">
      <formula>AND($J114&lt;&gt;"",K114&lt;$J114)</formula>
    </cfRule>
    <cfRule type="expression" dxfId="145" priority="146">
      <formula>AND($I114&lt;&gt;"",K114&gt;$I114)</formula>
    </cfRule>
    <cfRule type="notContainsBlanks" dxfId="144" priority="147">
      <formula>LEN(TRIM(K114))&gt;0</formula>
    </cfRule>
  </conditionalFormatting>
  <conditionalFormatting sqref="K114:M115">
    <cfRule type="expression" dxfId="143" priority="142">
      <formula>AND($J114&lt;&gt;"",K114&lt;$J114)</formula>
    </cfRule>
    <cfRule type="expression" dxfId="142" priority="143">
      <formula>AND($I114&lt;&gt;"",K114&gt;$I114)</formula>
    </cfRule>
    <cfRule type="notContainsBlanks" dxfId="141" priority="144">
      <formula>LEN(TRIM(K114))&gt;0</formula>
    </cfRule>
  </conditionalFormatting>
  <conditionalFormatting sqref="K114:M115">
    <cfRule type="expression" dxfId="140" priority="139">
      <formula>AND($J114&lt;&gt;"",K114&lt;$J114)</formula>
    </cfRule>
    <cfRule type="expression" dxfId="139" priority="140">
      <formula>AND($I114&lt;&gt;"",K114&gt;$I114)</formula>
    </cfRule>
    <cfRule type="notContainsBlanks" dxfId="138" priority="141">
      <formula>LEN(TRIM(K114))&gt;0</formula>
    </cfRule>
  </conditionalFormatting>
  <conditionalFormatting sqref="K114:K115">
    <cfRule type="expression" dxfId="137" priority="136">
      <formula>AND($J114&lt;&gt;"",K114&lt;$J114)</formula>
    </cfRule>
    <cfRule type="expression" dxfId="136" priority="137">
      <formula>AND($I114&lt;&gt;"",K114&gt;$I114)</formula>
    </cfRule>
    <cfRule type="notContainsBlanks" dxfId="135" priority="138">
      <formula>LEN(TRIM(K114))&gt;0</formula>
    </cfRule>
  </conditionalFormatting>
  <conditionalFormatting sqref="K114:K115">
    <cfRule type="expression" dxfId="134" priority="133">
      <formula>AND($J114&lt;&gt;"",K114&lt;$J114)</formula>
    </cfRule>
    <cfRule type="expression" dxfId="133" priority="134">
      <formula>AND($I114&lt;&gt;"",K114&gt;$I114)</formula>
    </cfRule>
    <cfRule type="notContainsBlanks" dxfId="132" priority="135">
      <formula>LEN(TRIM(K114))&gt;0</formula>
    </cfRule>
  </conditionalFormatting>
  <conditionalFormatting sqref="K114:K115">
    <cfRule type="expression" dxfId="131" priority="130">
      <formula>AND($J114&lt;&gt;"",K114&lt;$J114)</formula>
    </cfRule>
    <cfRule type="expression" dxfId="130" priority="131">
      <formula>AND($I114&lt;&gt;"",K114&gt;$I114)</formula>
    </cfRule>
    <cfRule type="notContainsBlanks" dxfId="129" priority="132">
      <formula>LEN(TRIM(K114))&gt;0</formula>
    </cfRule>
  </conditionalFormatting>
  <conditionalFormatting sqref="K114:K115">
    <cfRule type="expression" dxfId="128" priority="127">
      <formula>AND($J114&lt;&gt;"",K114&lt;$J114)</formula>
    </cfRule>
    <cfRule type="expression" dxfId="127" priority="128">
      <formula>AND($I114&lt;&gt;"",K114&gt;$I114)</formula>
    </cfRule>
    <cfRule type="notContainsBlanks" dxfId="126" priority="129">
      <formula>LEN(TRIM(K114))&gt;0</formula>
    </cfRule>
  </conditionalFormatting>
  <conditionalFormatting sqref="K114:K115">
    <cfRule type="expression" dxfId="125" priority="124">
      <formula>AND($J114&lt;&gt;"",K114&lt;$J114)</formula>
    </cfRule>
    <cfRule type="expression" dxfId="124" priority="125">
      <formula>AND($I114&lt;&gt;"",K114&gt;$I114)</formula>
    </cfRule>
    <cfRule type="notContainsBlanks" dxfId="123" priority="126">
      <formula>LEN(TRIM(K114))&gt;0</formula>
    </cfRule>
  </conditionalFormatting>
  <conditionalFormatting sqref="K114:M115">
    <cfRule type="expression" dxfId="122" priority="121">
      <formula>AND($J114&lt;&gt;"",K114&lt;$J114)</formula>
    </cfRule>
    <cfRule type="expression" dxfId="121" priority="122">
      <formula>AND($I114&lt;&gt;"",K114&gt;$I114)</formula>
    </cfRule>
    <cfRule type="notContainsBlanks" dxfId="120" priority="123">
      <formula>LEN(TRIM(K114))&gt;0</formula>
    </cfRule>
  </conditionalFormatting>
  <conditionalFormatting sqref="K114:M115">
    <cfRule type="expression" dxfId="119" priority="118">
      <formula>AND($J114&lt;&gt;"",K114&lt;$J114)</formula>
    </cfRule>
    <cfRule type="expression" dxfId="118" priority="119">
      <formula>AND($I114&lt;&gt;"",K114&gt;$I114)</formula>
    </cfRule>
    <cfRule type="notContainsBlanks" dxfId="117" priority="120">
      <formula>LEN(TRIM(K114))&gt;0</formula>
    </cfRule>
  </conditionalFormatting>
  <conditionalFormatting sqref="K114:M115">
    <cfRule type="expression" dxfId="116" priority="115">
      <formula>AND($J114&lt;&gt;"",K114&lt;$J114)</formula>
    </cfRule>
    <cfRule type="expression" dxfId="115" priority="116">
      <formula>AND($I114&lt;&gt;"",K114&gt;$I114)</formula>
    </cfRule>
    <cfRule type="notContainsBlanks" dxfId="114" priority="117">
      <formula>LEN(TRIM(K114))&gt;0</formula>
    </cfRule>
  </conditionalFormatting>
  <conditionalFormatting sqref="K114:M115">
    <cfRule type="expression" dxfId="113" priority="112">
      <formula>AND($J114&lt;&gt;"",K114&lt;$J114)</formula>
    </cfRule>
    <cfRule type="expression" dxfId="112" priority="113">
      <formula>AND($I114&lt;&gt;"",K114&gt;$I114)</formula>
    </cfRule>
    <cfRule type="notContainsBlanks" dxfId="111" priority="114">
      <formula>LEN(TRIM(K114))&gt;0</formula>
    </cfRule>
  </conditionalFormatting>
  <conditionalFormatting sqref="K114:M115">
    <cfRule type="expression" dxfId="110" priority="109">
      <formula>AND($J114&lt;&gt;"",K114&lt;$J114)</formula>
    </cfRule>
    <cfRule type="expression" dxfId="109" priority="110">
      <formula>AND($I114&lt;&gt;"",K114&gt;$I114)</formula>
    </cfRule>
    <cfRule type="notContainsBlanks" dxfId="108" priority="111">
      <formula>LEN(TRIM(K114))&gt;0</formula>
    </cfRule>
  </conditionalFormatting>
  <conditionalFormatting sqref="M114:M115">
    <cfRule type="expression" dxfId="107" priority="106">
      <formula>AND($J114&lt;&gt;"",M114&lt;$J114)</formula>
    </cfRule>
    <cfRule type="expression" dxfId="106" priority="107">
      <formula>AND($I114&lt;&gt;"",M114&gt;$I114)</formula>
    </cfRule>
    <cfRule type="notContainsBlanks" dxfId="105" priority="108">
      <formula>LEN(TRIM(M114))&gt;0</formula>
    </cfRule>
  </conditionalFormatting>
  <conditionalFormatting sqref="M114:M115">
    <cfRule type="expression" dxfId="104" priority="103">
      <formula>AND($J114&lt;&gt;"",M114&lt;$J114)</formula>
    </cfRule>
    <cfRule type="expression" dxfId="103" priority="104">
      <formula>AND($I114&lt;&gt;"",M114&gt;$I114)</formula>
    </cfRule>
    <cfRule type="notContainsBlanks" dxfId="102" priority="105">
      <formula>LEN(TRIM(M114))&gt;0</formula>
    </cfRule>
  </conditionalFormatting>
  <conditionalFormatting sqref="M114:M115">
    <cfRule type="expression" dxfId="101" priority="100">
      <formula>AND($J114&lt;&gt;"",M114&lt;$J114)</formula>
    </cfRule>
    <cfRule type="expression" dxfId="100" priority="101">
      <formula>AND($I114&lt;&gt;"",M114&gt;$I114)</formula>
    </cfRule>
    <cfRule type="notContainsBlanks" dxfId="99" priority="102">
      <formula>LEN(TRIM(M114))&gt;0</formula>
    </cfRule>
  </conditionalFormatting>
  <conditionalFormatting sqref="M114:M115">
    <cfRule type="expression" dxfId="98" priority="97">
      <formula>AND($J114&lt;&gt;"",M114&lt;$J114)</formula>
    </cfRule>
    <cfRule type="expression" dxfId="97" priority="98">
      <formula>AND($I114&lt;&gt;"",M114&gt;$I114)</formula>
    </cfRule>
    <cfRule type="notContainsBlanks" dxfId="96" priority="99">
      <formula>LEN(TRIM(M114))&gt;0</formula>
    </cfRule>
  </conditionalFormatting>
  <conditionalFormatting sqref="K115:M115">
    <cfRule type="expression" dxfId="95" priority="94">
      <formula>AND($J115&lt;&gt;"",K115&lt;$J115)</formula>
    </cfRule>
    <cfRule type="expression" dxfId="94" priority="95">
      <formula>AND($I115&lt;&gt;"",K115&gt;$I115)</formula>
    </cfRule>
    <cfRule type="notContainsBlanks" dxfId="93" priority="96">
      <formula>LEN(TRIM(K115))&gt;0</formula>
    </cfRule>
  </conditionalFormatting>
  <conditionalFormatting sqref="K115:M115">
    <cfRule type="expression" dxfId="92" priority="91">
      <formula>AND($J115&lt;&gt;"",K115&lt;$J115)</formula>
    </cfRule>
    <cfRule type="expression" dxfId="91" priority="92">
      <formula>AND($I115&lt;&gt;"",K115&gt;$I115)</formula>
    </cfRule>
    <cfRule type="notContainsBlanks" dxfId="90" priority="93">
      <formula>LEN(TRIM(K115))&gt;0</formula>
    </cfRule>
  </conditionalFormatting>
  <conditionalFormatting sqref="K114:M114">
    <cfRule type="expression" dxfId="89" priority="88">
      <formula>AND($J114&lt;&gt;"",K114&lt;$J114)</formula>
    </cfRule>
    <cfRule type="expression" dxfId="88" priority="89">
      <formula>AND($I114&lt;&gt;"",K114&gt;$I114)</formula>
    </cfRule>
    <cfRule type="notContainsBlanks" dxfId="87" priority="90">
      <formula>LEN(TRIM(K114))&gt;0</formula>
    </cfRule>
  </conditionalFormatting>
  <conditionalFormatting sqref="L115:M115">
    <cfRule type="expression" dxfId="86" priority="85">
      <formula>AND($J115&lt;&gt;"",L115&lt;$J115)</formula>
    </cfRule>
    <cfRule type="expression" dxfId="85" priority="86">
      <formula>AND($I115&lt;&gt;"",L115&gt;$I115)</formula>
    </cfRule>
    <cfRule type="notContainsBlanks" dxfId="84" priority="87">
      <formula>LEN(TRIM(L115))&gt;0</formula>
    </cfRule>
  </conditionalFormatting>
  <conditionalFormatting sqref="K115">
    <cfRule type="expression" dxfId="83" priority="82">
      <formula>AND($J115&lt;&gt;"",K115&lt;$J115)</formula>
    </cfRule>
    <cfRule type="expression" dxfId="82" priority="83">
      <formula>AND($I115&lt;&gt;"",K115&gt;$I115)</formula>
    </cfRule>
    <cfRule type="notContainsBlanks" dxfId="81" priority="84">
      <formula>LEN(TRIM(K115))&gt;0</formula>
    </cfRule>
  </conditionalFormatting>
  <conditionalFormatting sqref="K115">
    <cfRule type="expression" dxfId="80" priority="79">
      <formula>AND($J115&lt;&gt;"",K115&lt;$J115)</formula>
    </cfRule>
    <cfRule type="expression" dxfId="79" priority="80">
      <formula>AND($I115&lt;&gt;"",K115&gt;$I115)</formula>
    </cfRule>
    <cfRule type="notContainsBlanks" dxfId="78" priority="81">
      <formula>LEN(TRIM(K115))&gt;0</formula>
    </cfRule>
  </conditionalFormatting>
  <conditionalFormatting sqref="K115">
    <cfRule type="expression" dxfId="77" priority="76">
      <formula>AND($J115&lt;&gt;"",K115&lt;$J115)</formula>
    </cfRule>
    <cfRule type="expression" dxfId="76" priority="77">
      <formula>AND($I115&lt;&gt;"",K115&gt;$I115)</formula>
    </cfRule>
    <cfRule type="notContainsBlanks" dxfId="75" priority="78">
      <formula>LEN(TRIM(K115))&gt;0</formula>
    </cfRule>
  </conditionalFormatting>
  <conditionalFormatting sqref="K122">
    <cfRule type="expression" dxfId="74" priority="73">
      <formula>AND($J122&lt;&gt;"",K122&lt;$J122)</formula>
    </cfRule>
    <cfRule type="expression" dxfId="73" priority="74">
      <formula>AND($I122&lt;&gt;"",K122&gt;$I122)</formula>
    </cfRule>
    <cfRule type="notContainsBlanks" dxfId="72" priority="75">
      <formula>LEN(TRIM(K122))&gt;0</formula>
    </cfRule>
  </conditionalFormatting>
  <conditionalFormatting sqref="K122">
    <cfRule type="expression" dxfId="71" priority="70">
      <formula>AND($J122&lt;&gt;"",K122&lt;$J122)</formula>
    </cfRule>
    <cfRule type="expression" dxfId="70" priority="71">
      <formula>AND($I122&lt;&gt;"",K122&gt;$I122)</formula>
    </cfRule>
    <cfRule type="notContainsBlanks" dxfId="69" priority="72">
      <formula>LEN(TRIM(K122))&gt;0</formula>
    </cfRule>
  </conditionalFormatting>
  <conditionalFormatting sqref="K122">
    <cfRule type="expression" dxfId="68" priority="67">
      <formula>AND($J122&lt;&gt;"",K122&lt;$J122)</formula>
    </cfRule>
    <cfRule type="expression" dxfId="67" priority="68">
      <formula>AND($I122&lt;&gt;"",K122&gt;$I122)</formula>
    </cfRule>
    <cfRule type="notContainsBlanks" dxfId="66" priority="69">
      <formula>LEN(TRIM(K122))&gt;0</formula>
    </cfRule>
  </conditionalFormatting>
  <conditionalFormatting sqref="K143:M147">
    <cfRule type="expression" dxfId="65" priority="64">
      <formula>AND($J143&lt;&gt;"",K143&lt;$J143)</formula>
    </cfRule>
    <cfRule type="expression" dxfId="64" priority="65">
      <formula>AND($I143&lt;&gt;"",K143&gt;$I143)</formula>
    </cfRule>
    <cfRule type="notContainsBlanks" dxfId="63" priority="66">
      <formula>LEN(TRIM(K143))&gt;0</formula>
    </cfRule>
  </conditionalFormatting>
  <conditionalFormatting sqref="K145:M145">
    <cfRule type="expression" dxfId="62" priority="61">
      <formula>AND($J145&lt;&gt;"",K145&lt;$J145)</formula>
    </cfRule>
    <cfRule type="expression" dxfId="61" priority="62">
      <formula>AND($I145&lt;&gt;"",K145&gt;$I145)</formula>
    </cfRule>
    <cfRule type="notContainsBlanks" dxfId="60" priority="63">
      <formula>LEN(TRIM(K145))&gt;0</formula>
    </cfRule>
  </conditionalFormatting>
  <conditionalFormatting sqref="K143:M147">
    <cfRule type="expression" dxfId="59" priority="58">
      <formula>AND($J143&lt;&gt;"",K143&lt;$J143)</formula>
    </cfRule>
    <cfRule type="expression" dxfId="58" priority="59">
      <formula>AND($I143&lt;&gt;"",K143&gt;$I143)</formula>
    </cfRule>
    <cfRule type="notContainsBlanks" dxfId="57" priority="60">
      <formula>LEN(TRIM(K143))&gt;0</formula>
    </cfRule>
  </conditionalFormatting>
  <conditionalFormatting sqref="K145:M145">
    <cfRule type="expression" dxfId="56" priority="55">
      <formula>AND($J145&lt;&gt;"",K145&lt;$J145)</formula>
    </cfRule>
    <cfRule type="expression" dxfId="55" priority="56">
      <formula>AND($I145&lt;&gt;"",K145&gt;$I145)</formula>
    </cfRule>
    <cfRule type="notContainsBlanks" dxfId="54" priority="57">
      <formula>LEN(TRIM(K145))&gt;0</formula>
    </cfRule>
  </conditionalFormatting>
  <conditionalFormatting sqref="K143:M147">
    <cfRule type="expression" dxfId="53" priority="52">
      <formula>AND($J143&lt;&gt;"",K143&lt;$J143)</formula>
    </cfRule>
    <cfRule type="expression" dxfId="52" priority="53">
      <formula>AND($I143&lt;&gt;"",K143&gt;$I143)</formula>
    </cfRule>
    <cfRule type="notContainsBlanks" dxfId="51" priority="54">
      <formula>LEN(TRIM(K143))&gt;0</formula>
    </cfRule>
  </conditionalFormatting>
  <conditionalFormatting sqref="K145:M145">
    <cfRule type="expression" dxfId="50" priority="49">
      <formula>AND($J145&lt;&gt;"",K145&lt;$J145)</formula>
    </cfRule>
    <cfRule type="expression" dxfId="49" priority="50">
      <formula>AND($I145&lt;&gt;"",K145&gt;$I145)</formula>
    </cfRule>
    <cfRule type="notContainsBlanks" dxfId="48" priority="51">
      <formula>LEN(TRIM(K145))&gt;0</formula>
    </cfRule>
  </conditionalFormatting>
  <conditionalFormatting sqref="K143:M147">
    <cfRule type="expression" dxfId="47" priority="46">
      <formula>AND($J143&lt;&gt;"",K143&lt;$J143)</formula>
    </cfRule>
    <cfRule type="expression" dxfId="46" priority="47">
      <formula>AND($I143&lt;&gt;"",K143&gt;$I143)</formula>
    </cfRule>
    <cfRule type="notContainsBlanks" dxfId="45" priority="48">
      <formula>LEN(TRIM(K143))&gt;0</formula>
    </cfRule>
  </conditionalFormatting>
  <conditionalFormatting sqref="K145:M145">
    <cfRule type="expression" dxfId="44" priority="43">
      <formula>AND($J145&lt;&gt;"",K145&lt;$J145)</formula>
    </cfRule>
    <cfRule type="expression" dxfId="43" priority="44">
      <formula>AND($I145&lt;&gt;"",K145&gt;$I145)</formula>
    </cfRule>
    <cfRule type="notContainsBlanks" dxfId="42" priority="45">
      <formula>LEN(TRIM(K145))&gt;0</formula>
    </cfRule>
  </conditionalFormatting>
  <conditionalFormatting sqref="K143:M147">
    <cfRule type="expression" dxfId="41" priority="40">
      <formula>AND($J143&lt;&gt;"",K143&lt;$J143)</formula>
    </cfRule>
    <cfRule type="expression" dxfId="40" priority="41">
      <formula>AND($I143&lt;&gt;"",K143&gt;$I143)</formula>
    </cfRule>
    <cfRule type="notContainsBlanks" dxfId="39" priority="42">
      <formula>LEN(TRIM(K143))&gt;0</formula>
    </cfRule>
  </conditionalFormatting>
  <conditionalFormatting sqref="K145:M145">
    <cfRule type="expression" dxfId="38" priority="37">
      <formula>AND($J145&lt;&gt;"",K145&lt;$J145)</formula>
    </cfRule>
    <cfRule type="expression" dxfId="37" priority="38">
      <formula>AND($I145&lt;&gt;"",K145&gt;$I145)</formula>
    </cfRule>
    <cfRule type="notContainsBlanks" dxfId="36" priority="39">
      <formula>LEN(TRIM(K145))&gt;0</formula>
    </cfRule>
  </conditionalFormatting>
  <conditionalFormatting sqref="K145:M145">
    <cfRule type="expression" dxfId="35" priority="34">
      <formula>AND($J145&lt;&gt;"",K145&lt;$J145)</formula>
    </cfRule>
    <cfRule type="expression" dxfId="34" priority="35">
      <formula>AND($I145&lt;&gt;"",K145&gt;$I145)</formula>
    </cfRule>
    <cfRule type="notContainsBlanks" dxfId="33" priority="36">
      <formula>LEN(TRIM(K145))&gt;0</formula>
    </cfRule>
  </conditionalFormatting>
  <conditionalFormatting sqref="M143">
    <cfRule type="expression" dxfId="32" priority="31">
      <formula>AND($J143&lt;&gt;"",M143&lt;$J143)</formula>
    </cfRule>
    <cfRule type="expression" dxfId="31" priority="32">
      <formula>AND($I143&lt;&gt;"",M143&gt;$I143)</formula>
    </cfRule>
    <cfRule type="notContainsBlanks" dxfId="30" priority="33">
      <formula>LEN(TRIM(M143))&gt;0</formula>
    </cfRule>
  </conditionalFormatting>
  <conditionalFormatting sqref="M147">
    <cfRule type="expression" dxfId="29" priority="28">
      <formula>AND($J147&lt;&gt;"",M147&lt;$J147)</formula>
    </cfRule>
    <cfRule type="expression" dxfId="28" priority="29">
      <formula>AND($I147&lt;&gt;"",M147&gt;$I147)</formula>
    </cfRule>
    <cfRule type="notContainsBlanks" dxfId="27" priority="30">
      <formula>LEN(TRIM(M147))&gt;0</formula>
    </cfRule>
  </conditionalFormatting>
  <conditionalFormatting sqref="M144">
    <cfRule type="expression" dxfId="26" priority="25">
      <formula>AND($J144&lt;&gt;"",M144&lt;$J144)</formula>
    </cfRule>
    <cfRule type="expression" dxfId="25" priority="26">
      <formula>AND($I144&lt;&gt;"",M144&gt;$I144)</formula>
    </cfRule>
    <cfRule type="notContainsBlanks" dxfId="24" priority="27">
      <formula>LEN(TRIM(M144))&gt;0</formula>
    </cfRule>
  </conditionalFormatting>
  <conditionalFormatting sqref="M145">
    <cfRule type="expression" dxfId="23" priority="22">
      <formula>AND($J145&lt;&gt;"",M145&lt;$J145)</formula>
    </cfRule>
    <cfRule type="expression" dxfId="22" priority="23">
      <formula>AND($I145&lt;&gt;"",M145&gt;$I145)</formula>
    </cfRule>
    <cfRule type="notContainsBlanks" dxfId="21" priority="24">
      <formula>LEN(TRIM(M145))&gt;0</formula>
    </cfRule>
  </conditionalFormatting>
  <conditionalFormatting sqref="M143">
    <cfRule type="expression" dxfId="20" priority="19">
      <formula>AND($J143&lt;&gt;"",M143&lt;$J143)</formula>
    </cfRule>
    <cfRule type="expression" dxfId="19" priority="20">
      <formula>AND($I143&lt;&gt;"",M143&gt;$I143)</formula>
    </cfRule>
    <cfRule type="notContainsBlanks" dxfId="18" priority="21">
      <formula>LEN(TRIM(M143))&gt;0</formula>
    </cfRule>
  </conditionalFormatting>
  <conditionalFormatting sqref="M144">
    <cfRule type="expression" dxfId="17" priority="16">
      <formula>AND($J144&lt;&gt;"",M144&lt;$J144)</formula>
    </cfRule>
    <cfRule type="expression" dxfId="16" priority="17">
      <formula>AND($I144&lt;&gt;"",M144&gt;$I144)</formula>
    </cfRule>
    <cfRule type="notContainsBlanks" dxfId="15" priority="18">
      <formula>LEN(TRIM(M144))&gt;0</formula>
    </cfRule>
  </conditionalFormatting>
  <conditionalFormatting sqref="M143">
    <cfRule type="expression" dxfId="14" priority="13">
      <formula>AND($J143&lt;&gt;"",M143&lt;$J143)</formula>
    </cfRule>
    <cfRule type="expression" dxfId="13" priority="14">
      <formula>AND($I143&lt;&gt;"",M143&gt;$I143)</formula>
    </cfRule>
    <cfRule type="notContainsBlanks" dxfId="12" priority="15">
      <formula>LEN(TRIM(M143))&gt;0</formula>
    </cfRule>
  </conditionalFormatting>
  <conditionalFormatting sqref="M144">
    <cfRule type="expression" dxfId="11" priority="10">
      <formula>AND($J144&lt;&gt;"",M144&lt;$J144)</formula>
    </cfRule>
    <cfRule type="expression" dxfId="10" priority="11">
      <formula>AND($I144&lt;&gt;"",M144&gt;$I144)</formula>
    </cfRule>
    <cfRule type="notContainsBlanks" dxfId="9" priority="12">
      <formula>LEN(TRIM(M144))&gt;0</formula>
    </cfRule>
  </conditionalFormatting>
  <conditionalFormatting sqref="M143">
    <cfRule type="expression" dxfId="8" priority="7">
      <formula>AND($J143&lt;&gt;"",M143&lt;$J143)</formula>
    </cfRule>
    <cfRule type="expression" dxfId="7" priority="8">
      <formula>AND($I143&lt;&gt;"",M143&gt;$I143)</formula>
    </cfRule>
    <cfRule type="notContainsBlanks" dxfId="6" priority="9">
      <formula>LEN(TRIM(M143))&gt;0</formula>
    </cfRule>
  </conditionalFormatting>
  <conditionalFormatting sqref="M148">
    <cfRule type="expression" dxfId="5" priority="4">
      <formula>AND($J148&lt;&gt;"",M148&lt;$J148)</formula>
    </cfRule>
    <cfRule type="expression" dxfId="4" priority="5">
      <formula>AND($I148&lt;&gt;"",M148&gt;$I148)</formula>
    </cfRule>
    <cfRule type="notContainsBlanks" dxfId="3" priority="6">
      <formula>LEN(TRIM(M148))&gt;0</formula>
    </cfRule>
  </conditionalFormatting>
  <conditionalFormatting sqref="M147">
    <cfRule type="expression" dxfId="2" priority="1">
      <formula>AND($J147&lt;&gt;"",M147&lt;$J147)</formula>
    </cfRule>
    <cfRule type="expression" dxfId="1" priority="2">
      <formula>AND($I147&lt;&gt;"",M147&gt;$I147)</formula>
    </cfRule>
    <cfRule type="notContainsBlanks" dxfId="0" priority="3">
      <formula>LEN(TRIM(M147))&gt;0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Pict="0" macro="[0]!modSheetButtons.showAddShtFrm">
                <anchor moveWithCells="1" sizeWithCells="1">
                  <from>
                    <xdr:col>1</xdr:col>
                    <xdr:colOff>19050</xdr:colOff>
                    <xdr:row>0</xdr:row>
                    <xdr:rowOff>76200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L320"/>
  <sheetViews>
    <sheetView topLeftCell="A19" zoomScale="58" zoomScaleNormal="58" workbookViewId="0">
      <selection activeCell="U125" sqref="U125"/>
    </sheetView>
  </sheetViews>
  <sheetFormatPr defaultColWidth="8.875" defaultRowHeight="16.5"/>
  <cols>
    <col min="1" max="1" width="8.875" style="9"/>
    <col min="2" max="2" width="8.875" style="9" customWidth="1"/>
    <col min="3" max="16384" width="8.875" style="9"/>
  </cols>
  <sheetData>
    <row r="1" spans="3:3" ht="20.25" customHeight="1">
      <c r="C1" s="10"/>
    </row>
    <row r="320" spans="5:12" ht="67.5">
      <c r="E320" s="54"/>
      <c r="F320" s="55"/>
      <c r="G320" s="55"/>
      <c r="H320" s="55"/>
      <c r="I320" s="55"/>
      <c r="J320" s="55"/>
      <c r="K320" s="55"/>
      <c r="L320" s="55"/>
    </row>
  </sheetData>
  <phoneticPr fontId="20" type="noConversion"/>
  <pageMargins left="0.75" right="0.75" top="1" bottom="1" header="0.5" footer="0.5"/>
  <pageSetup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showUF">
                <anchor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Pict="0" macro="[0]!updateCircles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990600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Pict="0" macro="[0]!clearBlocksAndPos">
                <anchor moveWithCells="1" sizeWithCells="1">
                  <from>
                    <xdr:col>5</xdr:col>
                    <xdr:colOff>247650</xdr:colOff>
                    <xdr:row>0</xdr:row>
                    <xdr:rowOff>0</xdr:rowOff>
                  </from>
                  <to>
                    <xdr:col>7</xdr:col>
                    <xdr:colOff>628650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Pict="0" macro="[0]!clearEverything">
                <anchor moveWithCells="1" sizeWithCells="1">
                  <from>
                    <xdr:col>7</xdr:col>
                    <xdr:colOff>685800</xdr:colOff>
                    <xdr:row>0</xdr:row>
                    <xdr:rowOff>19050</xdr:rowOff>
                  </from>
                  <to>
                    <xdr:col>9</xdr:col>
                    <xdr:colOff>228600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3"/>
  <sheetViews>
    <sheetView topLeftCell="B1" workbookViewId="0">
      <selection activeCell="C27" sqref="C27"/>
    </sheetView>
  </sheetViews>
  <sheetFormatPr defaultColWidth="11" defaultRowHeight="16.5"/>
  <cols>
    <col min="8" max="8" width="20" style="6" customWidth="1"/>
    <col min="9" max="9" width="10.875" style="6"/>
    <col min="10" max="10" width="16" style="6" customWidth="1"/>
  </cols>
  <sheetData>
    <row r="1" spans="1:10" ht="33">
      <c r="A1" s="106" t="s">
        <v>34</v>
      </c>
      <c r="B1" s="106"/>
      <c r="H1" s="7" t="s">
        <v>35</v>
      </c>
      <c r="I1" s="8"/>
      <c r="J1" s="7" t="s">
        <v>36</v>
      </c>
    </row>
    <row r="2" spans="1:10">
      <c r="A2" s="6" t="s">
        <v>37</v>
      </c>
      <c r="B2" s="6" t="s">
        <v>38</v>
      </c>
      <c r="H2" s="6" t="s">
        <v>39</v>
      </c>
      <c r="J2" s="6" t="s">
        <v>40</v>
      </c>
    </row>
    <row r="3" spans="1:10">
      <c r="H3" s="6" t="s">
        <v>41</v>
      </c>
      <c r="J3" s="6" t="s">
        <v>42</v>
      </c>
    </row>
    <row r="4" spans="1:10">
      <c r="H4" s="6" t="s">
        <v>43</v>
      </c>
      <c r="J4" s="6" t="s">
        <v>44</v>
      </c>
    </row>
    <row r="5" spans="1:10">
      <c r="H5" s="6" t="s">
        <v>45</v>
      </c>
      <c r="J5" s="6" t="s">
        <v>46</v>
      </c>
    </row>
    <row r="6" spans="1:10">
      <c r="H6" s="6" t="s">
        <v>47</v>
      </c>
    </row>
    <row r="7" spans="1:10">
      <c r="H7" s="6" t="s">
        <v>48</v>
      </c>
    </row>
    <row r="8" spans="1:10">
      <c r="H8" s="6" t="s">
        <v>49</v>
      </c>
    </row>
    <row r="9" spans="1:10">
      <c r="H9" s="6" t="s">
        <v>50</v>
      </c>
    </row>
    <row r="10" spans="1:10">
      <c r="H10" s="6" t="s">
        <v>51</v>
      </c>
    </row>
    <row r="11" spans="1:10">
      <c r="H11" s="6" t="s">
        <v>52</v>
      </c>
    </row>
    <row r="12" spans="1:10">
      <c r="H12" s="6" t="s">
        <v>53</v>
      </c>
    </row>
    <row r="13" spans="1:10">
      <c r="H13" s="6" t="s">
        <v>54</v>
      </c>
    </row>
  </sheetData>
  <mergeCells count="1">
    <mergeCell ref="A1:B1"/>
  </mergeCells>
  <phoneticPr fontId="20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"/>
  <sheetViews>
    <sheetView topLeftCell="B1" workbookViewId="0">
      <selection activeCell="B8" sqref="B8"/>
    </sheetView>
  </sheetViews>
  <sheetFormatPr defaultColWidth="11" defaultRowHeight="16.5"/>
  <cols>
    <col min="1" max="2" width="10.875" style="1"/>
    <col min="3" max="3" width="11.875" style="1" customWidth="1"/>
    <col min="4" max="4" width="90.5" style="2" customWidth="1"/>
  </cols>
  <sheetData>
    <row r="1" spans="1:4" ht="21">
      <c r="A1" s="107" t="s">
        <v>61</v>
      </c>
      <c r="B1" s="107"/>
      <c r="C1" s="107"/>
      <c r="D1" s="107"/>
    </row>
    <row r="4" spans="1:4">
      <c r="A4" s="3" t="s">
        <v>55</v>
      </c>
      <c r="B4" s="3" t="s">
        <v>56</v>
      </c>
      <c r="C4" s="3" t="s">
        <v>57</v>
      </c>
      <c r="D4" s="3" t="s">
        <v>58</v>
      </c>
    </row>
    <row r="5" spans="1:4">
      <c r="A5" s="1">
        <v>1</v>
      </c>
      <c r="B5" s="4">
        <v>43350</v>
      </c>
      <c r="C5" s="1" t="s">
        <v>62</v>
      </c>
      <c r="D5" s="2" t="s">
        <v>59</v>
      </c>
    </row>
    <row r="6" spans="1:4">
      <c r="A6" s="1">
        <v>2</v>
      </c>
      <c r="B6" s="4">
        <v>43354</v>
      </c>
      <c r="C6" s="1" t="s">
        <v>62</v>
      </c>
      <c r="D6" s="5" t="s">
        <v>63</v>
      </c>
    </row>
    <row r="7" spans="1:4">
      <c r="B7" s="4">
        <v>43356</v>
      </c>
      <c r="C7" s="1" t="s">
        <v>62</v>
      </c>
      <c r="D7" s="5" t="s">
        <v>64</v>
      </c>
    </row>
  </sheetData>
  <mergeCells count="1">
    <mergeCell ref="A1:D1"/>
  </mergeCells>
  <phoneticPr fontId="20" type="noConversion"/>
  <pageMargins left="0.75" right="0.75" top="1" bottom="1" header="0.5" footer="0.5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FAI</vt:lpstr>
      <vt:lpstr>Drawing</vt:lpstr>
      <vt:lpstr>Setup</vt:lpstr>
      <vt:lpstr>Revision</vt:lpstr>
    </vt:vector>
  </TitlesOfParts>
  <Company>Apple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Lucier</dc:creator>
  <cp:lastModifiedBy>yuanxiaowei(袁曉偉)</cp:lastModifiedBy>
  <dcterms:created xsi:type="dcterms:W3CDTF">2012-05-22T11:55:00Z</dcterms:created>
  <dcterms:modified xsi:type="dcterms:W3CDTF">2019-07-12T00:19:27Z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2052-10.1.0.7401</vt:lpwstr>
  </property>
</Properties>
</file>