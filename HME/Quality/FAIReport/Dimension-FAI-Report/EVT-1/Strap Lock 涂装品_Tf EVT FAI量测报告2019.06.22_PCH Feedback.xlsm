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5477" windowHeight="7776" tabRatio="500" activeTab="2"/>
  </bookViews>
  <sheets>
    <sheet name="1#" sheetId="1" r:id="rId1"/>
    <sheet name="2#" sheetId="7" r:id="rId2"/>
    <sheet name="Drawing" sheetId="2" r:id="rId3"/>
    <sheet name="Setup" sheetId="3" state="hidden" r:id="rId4"/>
    <sheet name="Revision" sheetId="4" r:id="rId5"/>
  </sheets>
  <externalReferences>
    <externalReference r:id="rId6"/>
  </externalReferences>
  <definedNames>
    <definedName name="_xlnm._FilterDatabase" localSheetId="0" hidden="1">'1#'!$A$8:$X$73</definedName>
    <definedName name="_xlnm._FilterDatabase" localSheetId="1" hidden="1">'2#'!$A$8:$X$73</definedName>
    <definedName name="dim_type">[1]Setup!$J$2:$J$5</definedName>
    <definedName name="insp_meth">[1]Setup!$H$2:$H$14</definedName>
  </definedNames>
  <calcPr calcId="124519" concurrentCalc="0"/>
</workbook>
</file>

<file path=xl/calcChain.xml><?xml version="1.0" encoding="utf-8"?>
<calcChain xmlns="http://schemas.openxmlformats.org/spreadsheetml/2006/main">
  <c r="T23" i="7"/>
  <c r="V23"/>
  <c r="S23"/>
  <c r="U23"/>
  <c r="R23"/>
  <c r="Q23"/>
  <c r="P23"/>
  <c r="O23"/>
  <c r="T22"/>
  <c r="V22"/>
  <c r="S22"/>
  <c r="U22"/>
  <c r="R22"/>
  <c r="Q22"/>
  <c r="P22"/>
  <c r="O22"/>
  <c r="T21"/>
  <c r="V21"/>
  <c r="S21"/>
  <c r="U21"/>
  <c r="R21"/>
  <c r="Q21"/>
  <c r="P21"/>
  <c r="O21"/>
  <c r="T20"/>
  <c r="V20"/>
  <c r="S20"/>
  <c r="U20"/>
  <c r="R20"/>
  <c r="Q20"/>
  <c r="P20"/>
  <c r="O20"/>
  <c r="T19"/>
  <c r="V19"/>
  <c r="S19"/>
  <c r="U19"/>
  <c r="R19"/>
  <c r="Q19"/>
  <c r="P19"/>
  <c r="O19"/>
  <c r="T18"/>
  <c r="V18"/>
  <c r="S18"/>
  <c r="U18"/>
  <c r="R18"/>
  <c r="Q18"/>
  <c r="P18"/>
  <c r="O18"/>
  <c r="T17"/>
  <c r="V17"/>
  <c r="S17"/>
  <c r="U17"/>
  <c r="R17"/>
  <c r="Q17"/>
  <c r="P17"/>
  <c r="O17"/>
  <c r="T16"/>
  <c r="V16"/>
  <c r="S16"/>
  <c r="U16"/>
  <c r="R16"/>
  <c r="Q16"/>
  <c r="P16"/>
  <c r="O16"/>
  <c r="T15"/>
  <c r="V15"/>
  <c r="S15"/>
  <c r="U15"/>
  <c r="R15"/>
  <c r="Q15"/>
  <c r="P15"/>
  <c r="O15"/>
  <c r="T13"/>
  <c r="V13"/>
  <c r="S13"/>
  <c r="U13"/>
  <c r="R13"/>
  <c r="Q13"/>
  <c r="P13"/>
  <c r="O13"/>
  <c r="T12"/>
  <c r="V12"/>
  <c r="S12"/>
  <c r="U12"/>
  <c r="R12"/>
  <c r="Q12"/>
  <c r="P12"/>
  <c r="O12"/>
  <c r="T11"/>
  <c r="V11"/>
  <c r="S11"/>
  <c r="U11"/>
  <c r="R11"/>
  <c r="Q11"/>
  <c r="P11"/>
  <c r="O11"/>
  <c r="V73"/>
  <c r="S73"/>
  <c r="U73"/>
  <c r="T73"/>
  <c r="R73"/>
  <c r="Q73"/>
  <c r="P73"/>
  <c r="O73"/>
  <c r="J73"/>
  <c r="I73"/>
  <c r="V72"/>
  <c r="S72"/>
  <c r="U72"/>
  <c r="T72"/>
  <c r="R72"/>
  <c r="Q72"/>
  <c r="P72"/>
  <c r="O72"/>
  <c r="J72"/>
  <c r="I72"/>
  <c r="V71"/>
  <c r="S71"/>
  <c r="U71"/>
  <c r="T71"/>
  <c r="R71"/>
  <c r="Q71"/>
  <c r="P71"/>
  <c r="O71"/>
  <c r="J71"/>
  <c r="I71"/>
  <c r="V70"/>
  <c r="S70"/>
  <c r="U70"/>
  <c r="T70"/>
  <c r="R70"/>
  <c r="Q70"/>
  <c r="P70"/>
  <c r="O70"/>
  <c r="J70"/>
  <c r="I70"/>
  <c r="V69"/>
  <c r="S69"/>
  <c r="U69"/>
  <c r="T69"/>
  <c r="R69"/>
  <c r="Q69"/>
  <c r="P69"/>
  <c r="O69"/>
  <c r="J69"/>
  <c r="I69"/>
  <c r="V68"/>
  <c r="S68"/>
  <c r="U68"/>
  <c r="T68"/>
  <c r="R68"/>
  <c r="Q68"/>
  <c r="P68"/>
  <c r="O68"/>
  <c r="J68"/>
  <c r="I68"/>
  <c r="V67"/>
  <c r="S67"/>
  <c r="U67"/>
  <c r="T67"/>
  <c r="R67"/>
  <c r="Q67"/>
  <c r="P67"/>
  <c r="O67"/>
  <c r="V66"/>
  <c r="S66"/>
  <c r="U66"/>
  <c r="T66"/>
  <c r="R66"/>
  <c r="Q66"/>
  <c r="P66"/>
  <c r="O66"/>
  <c r="V65"/>
  <c r="S65"/>
  <c r="U65"/>
  <c r="T65"/>
  <c r="R65"/>
  <c r="Q65"/>
  <c r="P65"/>
  <c r="O65"/>
  <c r="V64"/>
  <c r="S64"/>
  <c r="U64"/>
  <c r="T64"/>
  <c r="R64"/>
  <c r="Q64"/>
  <c r="P64"/>
  <c r="O64"/>
  <c r="V63"/>
  <c r="S63"/>
  <c r="U63"/>
  <c r="T63"/>
  <c r="R63"/>
  <c r="Q63"/>
  <c r="P63"/>
  <c r="O63"/>
  <c r="V62"/>
  <c r="S62"/>
  <c r="U62"/>
  <c r="T62"/>
  <c r="R62"/>
  <c r="Q62"/>
  <c r="P62"/>
  <c r="O62"/>
  <c r="V61"/>
  <c r="S61"/>
  <c r="U61"/>
  <c r="T61"/>
  <c r="R61"/>
  <c r="Q61"/>
  <c r="P61"/>
  <c r="O61"/>
  <c r="V60"/>
  <c r="S60"/>
  <c r="U60"/>
  <c r="T60"/>
  <c r="R60"/>
  <c r="Q60"/>
  <c r="P60"/>
  <c r="O60"/>
  <c r="V59"/>
  <c r="S59"/>
  <c r="U59"/>
  <c r="T59"/>
  <c r="R59"/>
  <c r="Q59"/>
  <c r="P59"/>
  <c r="O59"/>
  <c r="V58"/>
  <c r="S58"/>
  <c r="U58"/>
  <c r="T58"/>
  <c r="R58"/>
  <c r="Q58"/>
  <c r="P58"/>
  <c r="O58"/>
  <c r="V57"/>
  <c r="S57"/>
  <c r="U57"/>
  <c r="T57"/>
  <c r="R57"/>
  <c r="Q57"/>
  <c r="P57"/>
  <c r="O57"/>
  <c r="V56"/>
  <c r="S56"/>
  <c r="U56"/>
  <c r="T56"/>
  <c r="R56"/>
  <c r="Q56"/>
  <c r="P56"/>
  <c r="O56"/>
  <c r="V55"/>
  <c r="S55"/>
  <c r="U55"/>
  <c r="T55"/>
  <c r="R55"/>
  <c r="Q55"/>
  <c r="P55"/>
  <c r="O55"/>
  <c r="V54"/>
  <c r="S54"/>
  <c r="U54"/>
  <c r="T54"/>
  <c r="R54"/>
  <c r="Q54"/>
  <c r="P54"/>
  <c r="O54"/>
  <c r="V53"/>
  <c r="S53"/>
  <c r="U53"/>
  <c r="T53"/>
  <c r="R53"/>
  <c r="Q53"/>
  <c r="P53"/>
  <c r="O53"/>
  <c r="V52"/>
  <c r="S52"/>
  <c r="U52"/>
  <c r="T52"/>
  <c r="R52"/>
  <c r="Q52"/>
  <c r="P52"/>
  <c r="O52"/>
  <c r="V51"/>
  <c r="S51"/>
  <c r="U51"/>
  <c r="T51"/>
  <c r="R51"/>
  <c r="Q51"/>
  <c r="P51"/>
  <c r="O51"/>
  <c r="V50"/>
  <c r="S50"/>
  <c r="U50"/>
  <c r="T50"/>
  <c r="R50"/>
  <c r="Q50"/>
  <c r="P50"/>
  <c r="O50"/>
  <c r="V49"/>
  <c r="S49"/>
  <c r="U49"/>
  <c r="T49"/>
  <c r="R49"/>
  <c r="Q49"/>
  <c r="P49"/>
  <c r="O49"/>
  <c r="V48"/>
  <c r="S48"/>
  <c r="U48"/>
  <c r="T48"/>
  <c r="R48"/>
  <c r="Q48"/>
  <c r="P48"/>
  <c r="O48"/>
  <c r="V47"/>
  <c r="S47"/>
  <c r="U47"/>
  <c r="T47"/>
  <c r="R47"/>
  <c r="Q47"/>
  <c r="P47"/>
  <c r="O47"/>
  <c r="V46"/>
  <c r="S46"/>
  <c r="U46"/>
  <c r="T46"/>
  <c r="R46"/>
  <c r="Q46"/>
  <c r="P46"/>
  <c r="O46"/>
  <c r="V45"/>
  <c r="S45"/>
  <c r="U45"/>
  <c r="T45"/>
  <c r="R45"/>
  <c r="Q45"/>
  <c r="P45"/>
  <c r="O45"/>
  <c r="V44"/>
  <c r="S44"/>
  <c r="U44"/>
  <c r="T44"/>
  <c r="R44"/>
  <c r="Q44"/>
  <c r="P44"/>
  <c r="O44"/>
  <c r="V43"/>
  <c r="S43"/>
  <c r="U43"/>
  <c r="T43"/>
  <c r="R43"/>
  <c r="Q43"/>
  <c r="P43"/>
  <c r="O43"/>
  <c r="V42"/>
  <c r="S42"/>
  <c r="U42"/>
  <c r="T42"/>
  <c r="R42"/>
  <c r="Q42"/>
  <c r="P42"/>
  <c r="O42"/>
  <c r="V41"/>
  <c r="S41"/>
  <c r="U41"/>
  <c r="T41"/>
  <c r="R41"/>
  <c r="Q41"/>
  <c r="P41"/>
  <c r="O41"/>
  <c r="V40"/>
  <c r="S40"/>
  <c r="U40"/>
  <c r="T40"/>
  <c r="R40"/>
  <c r="Q40"/>
  <c r="P40"/>
  <c r="O40"/>
  <c r="V39"/>
  <c r="S39"/>
  <c r="U39"/>
  <c r="T39"/>
  <c r="R39"/>
  <c r="Q39"/>
  <c r="P39"/>
  <c r="O39"/>
  <c r="V38"/>
  <c r="S38"/>
  <c r="U38"/>
  <c r="T38"/>
  <c r="R38"/>
  <c r="Q38"/>
  <c r="P38"/>
  <c r="O38"/>
  <c r="V37"/>
  <c r="S37"/>
  <c r="U37"/>
  <c r="T37"/>
  <c r="R37"/>
  <c r="Q37"/>
  <c r="P37"/>
  <c r="O37"/>
  <c r="V36"/>
  <c r="S36"/>
  <c r="U36"/>
  <c r="T36"/>
  <c r="R36"/>
  <c r="Q36"/>
  <c r="P36"/>
  <c r="O36"/>
  <c r="V35"/>
  <c r="S35"/>
  <c r="U35"/>
  <c r="T35"/>
  <c r="R35"/>
  <c r="Q35"/>
  <c r="P35"/>
  <c r="O35"/>
  <c r="V34"/>
  <c r="S34"/>
  <c r="U34"/>
  <c r="T34"/>
  <c r="R34"/>
  <c r="Q34"/>
  <c r="P34"/>
  <c r="O34"/>
  <c r="V33"/>
  <c r="S33"/>
  <c r="U33"/>
  <c r="T33"/>
  <c r="R33"/>
  <c r="Q33"/>
  <c r="P33"/>
  <c r="O33"/>
  <c r="V32"/>
  <c r="S32"/>
  <c r="U32"/>
  <c r="T32"/>
  <c r="R32"/>
  <c r="Q32"/>
  <c r="P32"/>
  <c r="O32"/>
  <c r="V31"/>
  <c r="S31"/>
  <c r="U31"/>
  <c r="T31"/>
  <c r="R31"/>
  <c r="Q31"/>
  <c r="P31"/>
  <c r="O31"/>
  <c r="V30"/>
  <c r="S30"/>
  <c r="U30"/>
  <c r="T30"/>
  <c r="R30"/>
  <c r="Q30"/>
  <c r="P30"/>
  <c r="O30"/>
  <c r="V29"/>
  <c r="S29"/>
  <c r="U29"/>
  <c r="T29"/>
  <c r="R29"/>
  <c r="Q29"/>
  <c r="P29"/>
  <c r="O29"/>
  <c r="V28"/>
  <c r="S28"/>
  <c r="U28"/>
  <c r="T28"/>
  <c r="R28"/>
  <c r="Q28"/>
  <c r="P28"/>
  <c r="O28"/>
  <c r="V27"/>
  <c r="S27"/>
  <c r="U27"/>
  <c r="T27"/>
  <c r="R27"/>
  <c r="Q27"/>
  <c r="P27"/>
  <c r="O27"/>
  <c r="V26"/>
  <c r="S26"/>
  <c r="U26"/>
  <c r="T26"/>
  <c r="R26"/>
  <c r="Q26"/>
  <c r="P26"/>
  <c r="O26"/>
  <c r="V25"/>
  <c r="S25"/>
  <c r="U25"/>
  <c r="T25"/>
  <c r="R25"/>
  <c r="Q25"/>
  <c r="P25"/>
  <c r="O25"/>
  <c r="V24"/>
  <c r="S24"/>
  <c r="U24"/>
  <c r="T24"/>
  <c r="R24"/>
  <c r="Q24"/>
  <c r="P24"/>
  <c r="O24"/>
  <c r="J18"/>
  <c r="I18"/>
  <c r="J17"/>
  <c r="I17"/>
  <c r="J16"/>
  <c r="I16"/>
  <c r="J15"/>
  <c r="I15"/>
  <c r="T14"/>
  <c r="V14"/>
  <c r="S14"/>
  <c r="U14"/>
  <c r="R14"/>
  <c r="Q14"/>
  <c r="P14"/>
  <c r="O14"/>
  <c r="J14"/>
  <c r="I14"/>
  <c r="J13"/>
  <c r="I13"/>
  <c r="J12"/>
  <c r="I12"/>
  <c r="J11"/>
  <c r="I11"/>
  <c r="O42" i="1" l="1"/>
  <c r="P42"/>
  <c r="Q42"/>
  <c r="R42"/>
  <c r="S42"/>
  <c r="T42"/>
  <c r="U42"/>
  <c r="V42"/>
  <c r="T49"/>
  <c r="V49"/>
  <c r="T17"/>
  <c r="S17"/>
  <c r="R17"/>
  <c r="Q17"/>
  <c r="P17"/>
  <c r="O17"/>
  <c r="Q26"/>
  <c r="R26"/>
  <c r="S26"/>
  <c r="U26"/>
  <c r="T26"/>
  <c r="V26"/>
  <c r="Q25"/>
  <c r="R25"/>
  <c r="S25"/>
  <c r="U25"/>
  <c r="T25"/>
  <c r="V25"/>
  <c r="Q24"/>
  <c r="R24"/>
  <c r="S24"/>
  <c r="U24"/>
  <c r="T24"/>
  <c r="V24"/>
  <c r="Q23"/>
  <c r="R23"/>
  <c r="S23"/>
  <c r="U23"/>
  <c r="T23"/>
  <c r="V23"/>
  <c r="Q22"/>
  <c r="R22"/>
  <c r="S22"/>
  <c r="U22"/>
  <c r="T22"/>
  <c r="V22"/>
  <c r="Q21"/>
  <c r="R21"/>
  <c r="S21"/>
  <c r="U21"/>
  <c r="T21"/>
  <c r="V21"/>
  <c r="Q20"/>
  <c r="R20"/>
  <c r="S20"/>
  <c r="U20"/>
  <c r="T20"/>
  <c r="V20"/>
  <c r="P26"/>
  <c r="P25"/>
  <c r="P24"/>
  <c r="P23"/>
  <c r="P22"/>
  <c r="P21"/>
  <c r="P20"/>
  <c r="O26"/>
  <c r="O25"/>
  <c r="O24"/>
  <c r="O23"/>
  <c r="O22"/>
  <c r="O21"/>
  <c r="O20"/>
  <c r="R19"/>
  <c r="T19"/>
  <c r="V19"/>
  <c r="S19"/>
  <c r="U19"/>
  <c r="O19"/>
  <c r="P19"/>
  <c r="Q19"/>
  <c r="Q39"/>
  <c r="Q38"/>
  <c r="Q37"/>
  <c r="P39"/>
  <c r="P38"/>
  <c r="P37"/>
  <c r="O39"/>
  <c r="R39"/>
  <c r="S39"/>
  <c r="U39"/>
  <c r="T39"/>
  <c r="V39"/>
  <c r="O38"/>
  <c r="R38"/>
  <c r="S38"/>
  <c r="U38"/>
  <c r="T38"/>
  <c r="V38"/>
  <c r="O37"/>
  <c r="R37"/>
  <c r="S37"/>
  <c r="U37"/>
  <c r="T37"/>
  <c r="V37"/>
  <c r="V36"/>
  <c r="S36"/>
  <c r="U36"/>
  <c r="T36"/>
  <c r="R36"/>
  <c r="Q36"/>
  <c r="P36"/>
  <c r="O36"/>
  <c r="S35"/>
  <c r="S34"/>
  <c r="Q45"/>
  <c r="R45"/>
  <c r="S45"/>
  <c r="U45"/>
  <c r="T45"/>
  <c r="V45"/>
  <c r="P45"/>
  <c r="O45"/>
  <c r="Q35"/>
  <c r="R35"/>
  <c r="U35"/>
  <c r="T35"/>
  <c r="V35"/>
  <c r="P35"/>
  <c r="O35"/>
  <c r="Q34"/>
  <c r="R34"/>
  <c r="U34"/>
  <c r="T34"/>
  <c r="V34"/>
  <c r="P34"/>
  <c r="O34"/>
  <c r="Q33"/>
  <c r="R33"/>
  <c r="S33"/>
  <c r="U33"/>
  <c r="T33"/>
  <c r="V33"/>
  <c r="P33"/>
  <c r="O33"/>
  <c r="Q32"/>
  <c r="R32"/>
  <c r="S32"/>
  <c r="U32"/>
  <c r="T32"/>
  <c r="V32"/>
  <c r="P32"/>
  <c r="O32"/>
  <c r="Q31"/>
  <c r="R31"/>
  <c r="S31"/>
  <c r="U31"/>
  <c r="T31"/>
  <c r="V31"/>
  <c r="P31"/>
  <c r="O31"/>
  <c r="T30"/>
  <c r="V30"/>
  <c r="S30"/>
  <c r="U30"/>
  <c r="R30"/>
  <c r="Q30"/>
  <c r="P30"/>
  <c r="O30"/>
  <c r="V73" l="1"/>
  <c r="S73"/>
  <c r="U73"/>
  <c r="T73"/>
  <c r="R73"/>
  <c r="Q73"/>
  <c r="P73"/>
  <c r="O73"/>
  <c r="J73"/>
  <c r="I73"/>
  <c r="V72"/>
  <c r="S72"/>
  <c r="U72"/>
  <c r="T72"/>
  <c r="R72"/>
  <c r="Q72"/>
  <c r="P72"/>
  <c r="O72"/>
  <c r="J72"/>
  <c r="I72"/>
  <c r="V71"/>
  <c r="S71"/>
  <c r="U71"/>
  <c r="T71"/>
  <c r="R71"/>
  <c r="Q71"/>
  <c r="P71"/>
  <c r="O71"/>
  <c r="J71"/>
  <c r="I71"/>
  <c r="V70"/>
  <c r="S70"/>
  <c r="U70"/>
  <c r="T70"/>
  <c r="R70"/>
  <c r="Q70"/>
  <c r="P70"/>
  <c r="O70"/>
  <c r="J70"/>
  <c r="I70"/>
  <c r="V69"/>
  <c r="S69"/>
  <c r="U69"/>
  <c r="T69"/>
  <c r="R69"/>
  <c r="Q69"/>
  <c r="P69"/>
  <c r="O69"/>
  <c r="J69"/>
  <c r="I69"/>
  <c r="V68"/>
  <c r="S68"/>
  <c r="U68"/>
  <c r="T68"/>
  <c r="R68"/>
  <c r="Q68"/>
  <c r="P68"/>
  <c r="O68"/>
  <c r="J68"/>
  <c r="I68"/>
  <c r="V67"/>
  <c r="S67"/>
  <c r="U67"/>
  <c r="T67"/>
  <c r="R67"/>
  <c r="Q67"/>
  <c r="P67"/>
  <c r="O67"/>
  <c r="V66"/>
  <c r="S66"/>
  <c r="U66"/>
  <c r="T66"/>
  <c r="R66"/>
  <c r="Q66"/>
  <c r="P66"/>
  <c r="O66"/>
  <c r="V65"/>
  <c r="S65"/>
  <c r="U65"/>
  <c r="T65"/>
  <c r="R65"/>
  <c r="Q65"/>
  <c r="P65"/>
  <c r="O65"/>
  <c r="V64"/>
  <c r="S64"/>
  <c r="U64"/>
  <c r="T64"/>
  <c r="R64"/>
  <c r="Q64"/>
  <c r="P64"/>
  <c r="O64"/>
  <c r="V63"/>
  <c r="S63"/>
  <c r="U63"/>
  <c r="T63"/>
  <c r="R63"/>
  <c r="Q63"/>
  <c r="P63"/>
  <c r="O63"/>
  <c r="V62"/>
  <c r="S62"/>
  <c r="U62"/>
  <c r="T62"/>
  <c r="R62"/>
  <c r="Q62"/>
  <c r="P62"/>
  <c r="O62"/>
  <c r="V61"/>
  <c r="S61"/>
  <c r="U61"/>
  <c r="T61"/>
  <c r="R61"/>
  <c r="Q61"/>
  <c r="P61"/>
  <c r="O61"/>
  <c r="V60"/>
  <c r="S60"/>
  <c r="U60"/>
  <c r="T60"/>
  <c r="R60"/>
  <c r="Q60"/>
  <c r="P60"/>
  <c r="O60"/>
  <c r="V59"/>
  <c r="S59"/>
  <c r="U59"/>
  <c r="T59"/>
  <c r="R59"/>
  <c r="Q59"/>
  <c r="P59"/>
  <c r="O59"/>
  <c r="V58"/>
  <c r="S58"/>
  <c r="U58"/>
  <c r="T58"/>
  <c r="R58"/>
  <c r="Q58"/>
  <c r="P58"/>
  <c r="O58"/>
  <c r="T57"/>
  <c r="V57"/>
  <c r="S57"/>
  <c r="U57"/>
  <c r="R57"/>
  <c r="Q57"/>
  <c r="P57"/>
  <c r="O57"/>
  <c r="T56"/>
  <c r="V56"/>
  <c r="S56"/>
  <c r="U56"/>
  <c r="R56"/>
  <c r="Q56"/>
  <c r="P56"/>
  <c r="O56"/>
  <c r="T55"/>
  <c r="V55"/>
  <c r="S55"/>
  <c r="U55"/>
  <c r="R55"/>
  <c r="Q55"/>
  <c r="P55"/>
  <c r="O55"/>
  <c r="T54"/>
  <c r="V54"/>
  <c r="S54"/>
  <c r="U54"/>
  <c r="R54"/>
  <c r="Q54"/>
  <c r="P54"/>
  <c r="O54"/>
  <c r="T53"/>
  <c r="V53"/>
  <c r="S53"/>
  <c r="U53"/>
  <c r="R53"/>
  <c r="Q53"/>
  <c r="P53"/>
  <c r="O53"/>
  <c r="T52"/>
  <c r="V52"/>
  <c r="S52"/>
  <c r="U52"/>
  <c r="R52"/>
  <c r="Q52"/>
  <c r="P52"/>
  <c r="O52"/>
  <c r="T51"/>
  <c r="V51"/>
  <c r="S51"/>
  <c r="U51"/>
  <c r="R51"/>
  <c r="Q51"/>
  <c r="P51"/>
  <c r="O51"/>
  <c r="T50"/>
  <c r="V50"/>
  <c r="S50"/>
  <c r="U50"/>
  <c r="R50"/>
  <c r="Q50"/>
  <c r="P50"/>
  <c r="O50"/>
  <c r="S49"/>
  <c r="U49"/>
  <c r="R49"/>
  <c r="Q49"/>
  <c r="P49"/>
  <c r="O49"/>
  <c r="T48"/>
  <c r="V48"/>
  <c r="S48"/>
  <c r="U48"/>
  <c r="R48"/>
  <c r="Q48"/>
  <c r="P48"/>
  <c r="O48"/>
  <c r="T47"/>
  <c r="V47"/>
  <c r="S47"/>
  <c r="U47"/>
  <c r="R47"/>
  <c r="Q47"/>
  <c r="P47"/>
  <c r="O47"/>
  <c r="T46"/>
  <c r="V46"/>
  <c r="S46"/>
  <c r="U46"/>
  <c r="R46"/>
  <c r="Q46"/>
  <c r="P46"/>
  <c r="O46"/>
  <c r="T44"/>
  <c r="V44"/>
  <c r="S44"/>
  <c r="U44"/>
  <c r="R44"/>
  <c r="Q44"/>
  <c r="P44"/>
  <c r="O44"/>
  <c r="T43"/>
  <c r="V43"/>
  <c r="S43"/>
  <c r="U43"/>
  <c r="R43"/>
  <c r="Q43"/>
  <c r="P43"/>
  <c r="O43"/>
  <c r="T41"/>
  <c r="V41"/>
  <c r="S41"/>
  <c r="U41"/>
  <c r="R41"/>
  <c r="Q41"/>
  <c r="P41"/>
  <c r="O41"/>
  <c r="T40"/>
  <c r="V40"/>
  <c r="S40"/>
  <c r="U40"/>
  <c r="R40"/>
  <c r="Q40"/>
  <c r="P40"/>
  <c r="O40"/>
  <c r="T29"/>
  <c r="V29"/>
  <c r="S29"/>
  <c r="U29"/>
  <c r="R29"/>
  <c r="Q29"/>
  <c r="P29"/>
  <c r="O29"/>
  <c r="T28"/>
  <c r="V28"/>
  <c r="S28"/>
  <c r="U28"/>
  <c r="R28"/>
  <c r="Q28"/>
  <c r="P28"/>
  <c r="O28"/>
  <c r="T27"/>
  <c r="V27"/>
  <c r="S27"/>
  <c r="U27"/>
  <c r="R27"/>
  <c r="Q27"/>
  <c r="P27"/>
  <c r="O27"/>
  <c r="T18"/>
  <c r="V18"/>
  <c r="S18"/>
  <c r="U18"/>
  <c r="R18"/>
  <c r="Q18"/>
  <c r="P18"/>
  <c r="O18"/>
  <c r="J18"/>
  <c r="I18"/>
  <c r="V17"/>
  <c r="U17"/>
  <c r="J17"/>
  <c r="I17"/>
  <c r="T16"/>
  <c r="V16"/>
  <c r="S16"/>
  <c r="U16"/>
  <c r="R16"/>
  <c r="Q16"/>
  <c r="P16"/>
  <c r="O16"/>
  <c r="J16"/>
  <c r="I16"/>
  <c r="T15"/>
  <c r="V15"/>
  <c r="S15"/>
  <c r="U15"/>
  <c r="R15"/>
  <c r="Q15"/>
  <c r="P15"/>
  <c r="O15"/>
  <c r="J15"/>
  <c r="I15"/>
  <c r="T14"/>
  <c r="V14"/>
  <c r="S14"/>
  <c r="U14"/>
  <c r="R14"/>
  <c r="Q14"/>
  <c r="P14"/>
  <c r="O14"/>
  <c r="J14"/>
  <c r="I14"/>
  <c r="T13"/>
  <c r="V13"/>
  <c r="S13"/>
  <c r="U13"/>
  <c r="R13"/>
  <c r="Q13"/>
  <c r="P13"/>
  <c r="O13"/>
  <c r="J13"/>
  <c r="I13"/>
  <c r="T12"/>
  <c r="V12"/>
  <c r="S12"/>
  <c r="U12"/>
  <c r="R12"/>
  <c r="Q12"/>
  <c r="P12"/>
  <c r="O12"/>
  <c r="J12"/>
  <c r="I12"/>
  <c r="T11"/>
  <c r="V11"/>
  <c r="S11"/>
  <c r="U11"/>
  <c r="R11"/>
  <c r="Q11"/>
  <c r="P11"/>
  <c r="O11"/>
  <c r="J11"/>
  <c r="I11"/>
</calcChain>
</file>

<file path=xl/comments1.xml><?xml version="1.0" encoding="utf-8"?>
<comments xmlns="http://schemas.openxmlformats.org/spreadsheetml/2006/main">
  <authors>
    <author>Paul Lucier</author>
  </authors>
  <commentList>
    <comment ref="U2" authorId="0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H9" authorId="0">
      <text>
        <r>
          <rPr>
            <b/>
            <sz val="9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2.xml><?xml version="1.0" encoding="utf-8"?>
<comments xmlns="http://schemas.openxmlformats.org/spreadsheetml/2006/main">
  <authors>
    <author>Paul Lucier</author>
  </authors>
  <commentList>
    <comment ref="U2" authorId="0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H9" authorId="0">
      <text>
        <r>
          <rPr>
            <b/>
            <sz val="9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sharedStrings.xml><?xml version="1.0" encoding="utf-8"?>
<sst xmlns="http://schemas.openxmlformats.org/spreadsheetml/2006/main" count="190" uniqueCount="86">
  <si>
    <t>FAI Data Sheet - Enclosures MD</t>
  </si>
  <si>
    <t>Rev 2</t>
  </si>
  <si>
    <t>Instructions</t>
  </si>
  <si>
    <t>Part Number :</t>
  </si>
  <si>
    <t>Supplier :</t>
  </si>
  <si>
    <t>Tool # / Cavity # / Trial Name :</t>
  </si>
  <si>
    <t>Part Description :</t>
  </si>
  <si>
    <t>Inspector :</t>
  </si>
  <si>
    <t>Notes/Comments :</t>
  </si>
  <si>
    <t>Revision :</t>
  </si>
  <si>
    <t>Manufacturing Date :</t>
  </si>
  <si>
    <t>CMM/OMM Program version :</t>
  </si>
  <si>
    <t>DRAWING SPECIFICATIONS</t>
  </si>
  <si>
    <t>INSPECTION RESULTS</t>
  </si>
  <si>
    <t>INSPECTION ANALYSIS</t>
  </si>
  <si>
    <t xml:space="preserve"> </t>
  </si>
  <si>
    <t>Inspection Method</t>
  </si>
  <si>
    <t>USL</t>
  </si>
  <si>
    <t>LSL</t>
  </si>
  <si>
    <t>Sample Number</t>
  </si>
  <si>
    <t>Deviation from Nominal</t>
  </si>
  <si>
    <t>Mean</t>
  </si>
  <si>
    <t>% Tolerance</t>
  </si>
  <si>
    <t>Alert/Reject</t>
  </si>
  <si>
    <t>FAI#</t>
  </si>
  <si>
    <t>Location</t>
  </si>
  <si>
    <t>Dimension Type</t>
  </si>
  <si>
    <t>Nominal</t>
  </si>
  <si>
    <t>Upper</t>
  </si>
  <si>
    <t>Lower</t>
  </si>
  <si>
    <t>High</t>
  </si>
  <si>
    <t>Low</t>
  </si>
  <si>
    <t>Supplier Comment</t>
  </si>
  <si>
    <t>record of positions of data blocks</t>
  </si>
  <si>
    <t>list of inspection methods</t>
  </si>
  <si>
    <t>list of dimension types</t>
  </si>
  <si>
    <t>left</t>
  </si>
  <si>
    <t>top</t>
  </si>
  <si>
    <t>HG</t>
  </si>
  <si>
    <t>Tolerance</t>
  </si>
  <si>
    <t>MIC</t>
  </si>
  <si>
    <t>GD&amp;T</t>
  </si>
  <si>
    <t>CMM</t>
  </si>
  <si>
    <t>MIN</t>
  </si>
  <si>
    <t>OMM</t>
  </si>
  <si>
    <t>MAX</t>
  </si>
  <si>
    <t>TG</t>
  </si>
  <si>
    <t>HT</t>
  </si>
  <si>
    <t>PG</t>
  </si>
  <si>
    <t>FT</t>
  </si>
  <si>
    <t>DC</t>
  </si>
  <si>
    <t>P</t>
  </si>
  <si>
    <t>OC</t>
  </si>
  <si>
    <t>Other</t>
  </si>
  <si>
    <t>Revision Control</t>
  </si>
  <si>
    <t>Revision</t>
  </si>
  <si>
    <t>Date</t>
  </si>
  <si>
    <t>Revised by</t>
  </si>
  <si>
    <t>Description of Changes</t>
  </si>
  <si>
    <t>Paul Lucier</t>
  </si>
  <si>
    <t>Initial release</t>
  </si>
  <si>
    <t>- Added multi-sheet funcitonality
- Many bug fixes
- Added support for missing data, data errors and non-numeric data</t>
  </si>
  <si>
    <t>OMM</t>
    <phoneticPr fontId="23" type="noConversion"/>
  </si>
  <si>
    <t>COXON</t>
    <phoneticPr fontId="23" type="noConversion"/>
  </si>
  <si>
    <t>+TOL
(USL for one sided spec)</t>
  </si>
  <si>
    <t>-TOL
(LSL for one sided spec)</t>
  </si>
  <si>
    <t xml:space="preserve">  </t>
    <phoneticPr fontId="21" type="noConversion"/>
  </si>
  <si>
    <t>HG</t>
    <phoneticPr fontId="23" type="noConversion"/>
  </si>
  <si>
    <t>N021-0005T  1#</t>
    <phoneticPr fontId="23" type="noConversion"/>
  </si>
  <si>
    <t>STRAP LOCK-HME</t>
    <phoneticPr fontId="23" type="noConversion"/>
  </si>
  <si>
    <t>A2</t>
    <phoneticPr fontId="21" type="noConversion"/>
  </si>
  <si>
    <t>A3</t>
    <phoneticPr fontId="21" type="noConversion"/>
  </si>
  <si>
    <t>B1</t>
    <phoneticPr fontId="21" type="noConversion"/>
  </si>
  <si>
    <t>B2</t>
    <phoneticPr fontId="21" type="noConversion"/>
  </si>
  <si>
    <t>B4</t>
    <phoneticPr fontId="21" type="noConversion"/>
  </si>
  <si>
    <t>B5</t>
    <phoneticPr fontId="21" type="noConversion"/>
  </si>
  <si>
    <t>C2</t>
    <phoneticPr fontId="21" type="noConversion"/>
  </si>
  <si>
    <t>右</t>
    <phoneticPr fontId="21" type="noConversion"/>
  </si>
  <si>
    <r>
      <rPr>
        <sz val="10"/>
        <rFont val="Arial"/>
        <family val="2"/>
      </rPr>
      <t>Ø</t>
    </r>
    <r>
      <rPr>
        <sz val="7.3"/>
        <rFont val="細明體"/>
        <family val="3"/>
        <charset val="136"/>
      </rPr>
      <t xml:space="preserve">  </t>
    </r>
    <r>
      <rPr>
        <sz val="10"/>
        <rFont val="細明體"/>
        <family val="3"/>
        <charset val="136"/>
      </rPr>
      <t>A3   左</t>
    </r>
    <phoneticPr fontId="21" type="noConversion"/>
  </si>
  <si>
    <t xml:space="preserve">C2  </t>
    <phoneticPr fontId="21" type="noConversion"/>
  </si>
  <si>
    <t>D1   左</t>
    <phoneticPr fontId="21" type="noConversion"/>
  </si>
  <si>
    <t>HG</t>
    <phoneticPr fontId="21" type="noConversion"/>
  </si>
  <si>
    <t>OMM</t>
    <phoneticPr fontId="21" type="noConversion"/>
  </si>
  <si>
    <t>N021-0005T  2#</t>
    <phoneticPr fontId="23" type="noConversion"/>
  </si>
  <si>
    <t>CHENLI</t>
    <phoneticPr fontId="23" type="noConversion"/>
  </si>
  <si>
    <t>2019.06.22</t>
    <phoneticPr fontId="23" type="noConversion"/>
  </si>
</sst>
</file>

<file path=xl/styles.xml><?xml version="1.0" encoding="utf-8"?>
<styleSheet xmlns="http://schemas.openxmlformats.org/spreadsheetml/2006/main">
  <numFmts count="5">
    <numFmt numFmtId="176" formatCode="0.000"/>
    <numFmt numFmtId="177" formatCode="#,##0.0000"/>
    <numFmt numFmtId="178" formatCode="0.0%"/>
    <numFmt numFmtId="179" formatCode="0.00_);[Red]\(0.00\)"/>
    <numFmt numFmtId="180" formatCode="#,##0.000;[Blue]\-#,##0.000"/>
  </numFmts>
  <fonts count="33">
    <font>
      <sz val="12"/>
      <color theme="1"/>
      <name val="新細明體"/>
      <charset val="134"/>
      <scheme val="minor"/>
    </font>
    <font>
      <b/>
      <u/>
      <sz val="16"/>
      <color theme="1"/>
      <name val="新細明體"/>
      <family val="3"/>
      <charset val="134"/>
      <scheme val="minor"/>
    </font>
    <font>
      <b/>
      <sz val="12"/>
      <color theme="1"/>
      <name val="新細明體"/>
      <family val="3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2"/>
      <name val="____"/>
      <family val="1"/>
    </font>
    <font>
      <sz val="12"/>
      <name val="Arial"/>
      <family val="2"/>
    </font>
    <font>
      <b/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9"/>
      <name val="Calibri"/>
      <family val="2"/>
    </font>
    <font>
      <b/>
      <sz val="9"/>
      <name val="Calibri"/>
      <family val="2"/>
    </font>
    <font>
      <sz val="12"/>
      <color rgb="FF000000"/>
      <name val="Calibri"/>
      <family val="2"/>
    </font>
    <font>
      <sz val="9"/>
      <name val="新細明體"/>
      <family val="3"/>
      <charset val="134"/>
      <scheme val="minor"/>
    </font>
    <font>
      <sz val="10"/>
      <name val="細明體"/>
      <family val="3"/>
      <charset val="136"/>
    </font>
    <font>
      <sz val="8"/>
      <name val="Calibri"/>
      <family val="2"/>
    </font>
    <font>
      <sz val="10"/>
      <name val="宋体"/>
      <family val="3"/>
      <charset val="134"/>
    </font>
    <font>
      <sz val="12"/>
      <color rgb="FF000000"/>
      <name val="Lucida Grande"/>
      <family val="2"/>
    </font>
    <font>
      <sz val="8"/>
      <color rgb="FF000000"/>
      <name val="Lucida Grande"/>
      <family val="2"/>
    </font>
    <font>
      <sz val="10"/>
      <color theme="1"/>
      <name val="Arial"/>
      <family val="2"/>
    </font>
    <font>
      <sz val="10"/>
      <name val="MingLiU"/>
      <family val="3"/>
      <charset val="136"/>
    </font>
    <font>
      <sz val="48"/>
      <color theme="1"/>
      <name val="新細明體"/>
      <family val="1"/>
      <scheme val="minor"/>
    </font>
    <font>
      <sz val="9"/>
      <name val="新細明體"/>
      <family val="3"/>
      <charset val="136"/>
      <scheme val="minor"/>
    </font>
    <font>
      <sz val="10"/>
      <color rgb="FFFF0000"/>
      <name val="MingLiU"/>
      <family val="3"/>
      <charset val="136"/>
    </font>
    <font>
      <sz val="7.3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4">
    <xf numFmtId="0" fontId="0" fillId="0" borderId="0"/>
    <xf numFmtId="177" fontId="3" fillId="0" borderId="0" applyFill="0" applyBorder="0" applyAlignment="0"/>
    <xf numFmtId="177" fontId="3" fillId="0" borderId="0" applyFill="0" applyBorder="0" applyAlignment="0"/>
    <xf numFmtId="0" fontId="14" fillId="0" borderId="0"/>
    <xf numFmtId="178" fontId="3" fillId="0" borderId="0" applyFill="0" applyBorder="0" applyAlignment="0"/>
    <xf numFmtId="0" fontId="14" fillId="0" borderId="0"/>
    <xf numFmtId="177" fontId="3" fillId="0" borderId="0" applyFill="0" applyBorder="0" applyAlignment="0"/>
    <xf numFmtId="0" fontId="13" fillId="0" borderId="0"/>
    <xf numFmtId="0" fontId="14" fillId="0" borderId="0"/>
    <xf numFmtId="177" fontId="3" fillId="0" borderId="0" applyFill="0" applyBorder="0" applyAlignment="0"/>
    <xf numFmtId="0" fontId="15" fillId="0" borderId="12" applyNumberFormat="0" applyAlignment="0" applyProtection="0">
      <alignment horizontal="left" vertical="center"/>
    </xf>
    <xf numFmtId="0" fontId="15" fillId="0" borderId="4">
      <alignment horizontal="left" vertical="center"/>
    </xf>
    <xf numFmtId="9" fontId="16" fillId="0" borderId="0" applyFont="0" applyFill="0" applyBorder="0" applyAlignment="0" applyProtection="0"/>
    <xf numFmtId="49" fontId="17" fillId="0" borderId="0" applyFill="0" applyBorder="0" applyAlignment="0"/>
  </cellStyleXfs>
  <cellXfs count="1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0" fontId="3" fillId="3" borderId="0" xfId="0" applyFont="1" applyFill="1" applyBorder="1" applyProtection="1"/>
    <xf numFmtId="0" fontId="5" fillId="3" borderId="0" xfId="0" applyFont="1" applyFill="1" applyProtection="1"/>
    <xf numFmtId="0" fontId="3" fillId="3" borderId="0" xfId="0" applyFont="1" applyFill="1" applyProtection="1"/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center"/>
    </xf>
    <xf numFmtId="0" fontId="8" fillId="6" borderId="5" xfId="0" applyFont="1" applyFill="1" applyBorder="1" applyAlignment="1" applyProtection="1">
      <alignment horizontal="center"/>
    </xf>
    <xf numFmtId="0" fontId="9" fillId="6" borderId="7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176" fontId="3" fillId="6" borderId="7" xfId="0" applyNumberFormat="1" applyFont="1" applyFill="1" applyBorder="1" applyAlignment="1" applyProtection="1">
      <alignment horizontal="center"/>
      <protection locked="0"/>
    </xf>
    <xf numFmtId="0" fontId="3" fillId="4" borderId="8" xfId="0" applyNumberFormat="1" applyFont="1" applyFill="1" applyBorder="1" applyAlignment="1" applyProtection="1">
      <alignment horizontal="center"/>
      <protection locked="0"/>
    </xf>
    <xf numFmtId="176" fontId="3" fillId="4" borderId="1" xfId="0" applyNumberFormat="1" applyFont="1" applyFill="1" applyBorder="1" applyAlignment="1" applyProtection="1">
      <alignment horizontal="center"/>
      <protection locked="0"/>
    </xf>
    <xf numFmtId="176" fontId="6" fillId="4" borderId="1" xfId="0" applyNumberFormat="1" applyFont="1" applyFill="1" applyBorder="1" applyAlignment="1" applyProtection="1">
      <alignment horizontal="center"/>
      <protection locked="0"/>
    </xf>
    <xf numFmtId="49" fontId="3" fillId="4" borderId="9" xfId="0" applyNumberFormat="1" applyFont="1" applyFill="1" applyBorder="1" applyAlignment="1" applyProtection="1">
      <alignment horizontal="center"/>
      <protection locked="0"/>
    </xf>
    <xf numFmtId="49" fontId="3" fillId="4" borderId="1" xfId="0" applyNumberFormat="1" applyFont="1" applyFill="1" applyBorder="1" applyAlignment="1" applyProtection="1">
      <alignment horizontal="center"/>
      <protection locked="0"/>
    </xf>
    <xf numFmtId="176" fontId="3" fillId="2" borderId="9" xfId="0" applyNumberFormat="1" applyFont="1" applyFill="1" applyBorder="1" applyAlignment="1" applyProtection="1">
      <alignment horizontal="center"/>
      <protection locked="0"/>
    </xf>
    <xf numFmtId="176" fontId="3" fillId="7" borderId="8" xfId="0" applyNumberFormat="1" applyFont="1" applyFill="1" applyBorder="1" applyAlignment="1" applyProtection="1">
      <alignment horizontal="center"/>
      <protection locked="0"/>
    </xf>
    <xf numFmtId="180" fontId="10" fillId="0" borderId="10" xfId="0" applyNumberFormat="1" applyFont="1" applyFill="1" applyBorder="1" applyAlignment="1" applyProtection="1">
      <alignment horizontal="center"/>
    </xf>
    <xf numFmtId="180" fontId="10" fillId="0" borderId="8" xfId="0" applyNumberFormat="1" applyFont="1" applyFill="1" applyBorder="1" applyAlignment="1" applyProtection="1">
      <alignment horizontal="center"/>
    </xf>
    <xf numFmtId="0" fontId="8" fillId="2" borderId="10" xfId="0" applyFont="1" applyFill="1" applyBorder="1" applyAlignment="1" applyProtection="1">
      <alignment horizontal="centerContinuous"/>
    </xf>
    <xf numFmtId="0" fontId="8" fillId="2" borderId="11" xfId="0" applyFont="1" applyFill="1" applyBorder="1" applyAlignment="1" applyProtection="1">
      <alignment horizontal="centerContinuous"/>
    </xf>
    <xf numFmtId="0" fontId="8" fillId="2" borderId="10" xfId="0" applyFont="1" applyFill="1" applyBorder="1" applyAlignment="1" applyProtection="1">
      <alignment horizontal="center"/>
    </xf>
    <xf numFmtId="176" fontId="10" fillId="0" borderId="8" xfId="0" applyNumberFormat="1" applyFont="1" applyFill="1" applyBorder="1" applyAlignment="1" applyProtection="1">
      <alignment horizontal="center"/>
    </xf>
    <xf numFmtId="9" fontId="11" fillId="0" borderId="8" xfId="0" applyNumberFormat="1" applyFont="1" applyFill="1" applyBorder="1" applyAlignment="1" applyProtection="1">
      <alignment horizontal="center"/>
    </xf>
    <xf numFmtId="176" fontId="12" fillId="0" borderId="8" xfId="0" applyNumberFormat="1" applyFont="1" applyFill="1" applyBorder="1" applyAlignment="1" applyProtection="1">
      <alignment horizontal="center"/>
    </xf>
    <xf numFmtId="0" fontId="14" fillId="8" borderId="8" xfId="0" applyNumberFormat="1" applyFont="1" applyFill="1" applyBorder="1" applyAlignment="1" applyProtection="1">
      <alignment horizontal="center" vertical="center"/>
      <protection locked="0"/>
    </xf>
    <xf numFmtId="176" fontId="3" fillId="8" borderId="1" xfId="0" applyNumberFormat="1" applyFont="1" applyFill="1" applyBorder="1" applyAlignment="1" applyProtection="1">
      <alignment horizontal="center" vertical="center"/>
      <protection locked="0"/>
    </xf>
    <xf numFmtId="179" fontId="6" fillId="8" borderId="1" xfId="0" applyNumberFormat="1" applyFont="1" applyFill="1" applyBorder="1" applyAlignment="1" applyProtection="1">
      <alignment horizontal="center"/>
      <protection locked="0"/>
    </xf>
    <xf numFmtId="2" fontId="3" fillId="8" borderId="1" xfId="0" applyNumberFormat="1" applyFont="1" applyFill="1" applyBorder="1" applyAlignment="1" applyProtection="1">
      <alignment horizontal="center" vertical="center"/>
      <protection locked="0"/>
    </xf>
    <xf numFmtId="49" fontId="3" fillId="8" borderId="9" xfId="0" applyNumberFormat="1" applyFont="1" applyFill="1" applyBorder="1" applyAlignment="1" applyProtection="1">
      <alignment horizontal="center"/>
      <protection locked="0"/>
    </xf>
    <xf numFmtId="0" fontId="3" fillId="8" borderId="8" xfId="0" applyNumberFormat="1" applyFont="1" applyFill="1" applyBorder="1" applyAlignment="1" applyProtection="1">
      <alignment horizontal="center"/>
      <protection locked="0"/>
    </xf>
    <xf numFmtId="49" fontId="22" fillId="8" borderId="1" xfId="5" applyNumberFormat="1" applyFont="1" applyFill="1" applyBorder="1" applyAlignment="1" applyProtection="1">
      <alignment horizontal="center" wrapText="1"/>
      <protection locked="0"/>
    </xf>
    <xf numFmtId="49" fontId="24" fillId="8" borderId="1" xfId="5" applyNumberFormat="1" applyFont="1" applyFill="1" applyBorder="1" applyAlignment="1" applyProtection="1">
      <alignment horizontal="center" wrapText="1"/>
      <protection locked="0"/>
    </xf>
    <xf numFmtId="49" fontId="3" fillId="8" borderId="1" xfId="5" applyNumberFormat="1" applyFont="1" applyFill="1" applyBorder="1" applyAlignment="1" applyProtection="1">
      <alignment horizontal="center" wrapText="1"/>
      <protection locked="0"/>
    </xf>
    <xf numFmtId="49" fontId="3" fillId="8" borderId="1" xfId="5" applyNumberFormat="1" applyFont="1" applyFill="1" applyBorder="1" applyAlignment="1" applyProtection="1">
      <alignment horizontal="left" wrapText="1"/>
      <protection locked="0"/>
    </xf>
    <xf numFmtId="0" fontId="3" fillId="6" borderId="5" xfId="0" applyFont="1" applyFill="1" applyBorder="1" applyAlignment="1" applyProtection="1">
      <alignment horizontal="center"/>
    </xf>
    <xf numFmtId="0" fontId="3" fillId="2" borderId="6" xfId="0" applyFont="1" applyFill="1" applyBorder="1" applyProtection="1"/>
    <xf numFmtId="0" fontId="3" fillId="2" borderId="0" xfId="0" applyFont="1" applyFill="1" applyBorder="1" applyProtection="1"/>
    <xf numFmtId="179" fontId="3" fillId="2" borderId="0" xfId="0" applyNumberFormat="1" applyFont="1" applyFill="1" applyBorder="1" applyProtection="1"/>
    <xf numFmtId="0" fontId="3" fillId="2" borderId="9" xfId="0" applyFont="1" applyFill="1" applyBorder="1" applyAlignment="1" applyProtection="1">
      <alignment horizontal="centerContinuous"/>
    </xf>
    <xf numFmtId="0" fontId="3" fillId="2" borderId="10" xfId="0" applyFont="1" applyFill="1" applyBorder="1" applyAlignment="1" applyProtection="1">
      <alignment horizontal="centerContinuous"/>
    </xf>
    <xf numFmtId="0" fontId="6" fillId="6" borderId="7" xfId="0" applyFont="1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179" fontId="3" fillId="2" borderId="1" xfId="0" applyNumberFormat="1" applyFont="1" applyFill="1" applyBorder="1" applyAlignment="1" applyProtection="1">
      <alignment horizontal="center" wrapText="1"/>
    </xf>
    <xf numFmtId="179" fontId="3" fillId="2" borderId="1" xfId="0" applyNumberFormat="1" applyFont="1" applyFill="1" applyBorder="1" applyAlignment="1" applyProtection="1">
      <alignment horizontal="center"/>
    </xf>
    <xf numFmtId="0" fontId="3" fillId="2" borderId="1" xfId="0" quotePrefix="1" applyFont="1" applyFill="1" applyBorder="1" applyAlignment="1" applyProtection="1">
      <alignment horizontal="center" wrapText="1"/>
    </xf>
    <xf numFmtId="0" fontId="6" fillId="2" borderId="1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0" fontId="24" fillId="8" borderId="1" xfId="5" applyNumberFormat="1" applyFont="1" applyFill="1" applyBorder="1" applyAlignment="1" applyProtection="1">
      <alignment horizontal="center" wrapText="1"/>
      <protection locked="0"/>
    </xf>
    <xf numFmtId="0" fontId="29" fillId="2" borderId="0" xfId="0" applyFont="1" applyFill="1"/>
    <xf numFmtId="49" fontId="24" fillId="8" borderId="1" xfId="5" applyNumberFormat="1" applyFont="1" applyFill="1" applyBorder="1" applyAlignment="1" applyProtection="1">
      <alignment horizontal="center" vertical="center" wrapText="1"/>
      <protection locked="0"/>
    </xf>
    <xf numFmtId="0" fontId="24" fillId="8" borderId="1" xfId="5" applyNumberFormat="1" applyFont="1" applyFill="1" applyBorder="1" applyAlignment="1" applyProtection="1">
      <alignment horizontal="center" vertical="center" wrapText="1"/>
      <protection locked="0"/>
    </xf>
    <xf numFmtId="0" fontId="22" fillId="8" borderId="8" xfId="0" applyNumberFormat="1" applyFont="1" applyFill="1" applyBorder="1" applyAlignment="1" applyProtection="1">
      <alignment horizontal="center" vertical="center"/>
      <protection locked="0"/>
    </xf>
    <xf numFmtId="49" fontId="22" fillId="8" borderId="1" xfId="5" applyNumberFormat="1" applyFont="1" applyFill="1" applyBorder="1" applyAlignment="1" applyProtection="1">
      <alignment horizontal="center" vertical="center" wrapText="1"/>
      <protection locked="0"/>
    </xf>
    <xf numFmtId="49" fontId="28" fillId="8" borderId="1" xfId="5" applyNumberFormat="1" applyFont="1" applyFill="1" applyBorder="1" applyAlignment="1" applyProtection="1">
      <alignment horizontal="center" vertical="top" wrapText="1"/>
      <protection locked="0"/>
    </xf>
    <xf numFmtId="49" fontId="3" fillId="8" borderId="1" xfId="5" applyNumberFormat="1" applyFont="1" applyFill="1" applyBorder="1" applyAlignment="1" applyProtection="1">
      <alignment horizontal="center" vertical="top" wrapText="1"/>
      <protection locked="0"/>
    </xf>
    <xf numFmtId="49" fontId="24" fillId="8" borderId="1" xfId="5" applyNumberFormat="1" applyFont="1" applyFill="1" applyBorder="1" applyAlignment="1" applyProtection="1">
      <alignment horizontal="center" vertical="top" wrapText="1"/>
      <protection locked="0"/>
    </xf>
    <xf numFmtId="0" fontId="3" fillId="3" borderId="0" xfId="0" applyFont="1" applyFill="1" applyAlignment="1" applyProtection="1">
      <alignment horizontal="left"/>
    </xf>
    <xf numFmtId="0" fontId="8" fillId="2" borderId="5" xfId="0" applyFont="1" applyFill="1" applyBorder="1" applyAlignment="1" applyProtection="1">
      <alignment horizontal="left"/>
    </xf>
    <xf numFmtId="0" fontId="8" fillId="2" borderId="8" xfId="0" applyFont="1" applyFill="1" applyBorder="1" applyAlignment="1" applyProtection="1">
      <alignment horizontal="left"/>
    </xf>
    <xf numFmtId="49" fontId="3" fillId="4" borderId="8" xfId="0" applyNumberFormat="1" applyFont="1" applyFill="1" applyBorder="1" applyAlignment="1" applyProtection="1">
      <alignment horizontal="left" wrapText="1"/>
      <protection locked="0"/>
    </xf>
    <xf numFmtId="49" fontId="3" fillId="4" borderId="1" xfId="0" applyNumberFormat="1" applyFont="1" applyFill="1" applyBorder="1" applyAlignment="1" applyProtection="1">
      <alignment horizontal="left" wrapText="1"/>
      <protection locked="0"/>
    </xf>
    <xf numFmtId="49" fontId="31" fillId="4" borderId="1" xfId="0" applyNumberFormat="1" applyFont="1" applyFill="1" applyBorder="1" applyAlignment="1" applyProtection="1">
      <alignment horizontal="left" wrapText="1"/>
      <protection locked="0"/>
    </xf>
    <xf numFmtId="49" fontId="28" fillId="4" borderId="1" xfId="0" applyNumberFormat="1" applyFont="1" applyFill="1" applyBorder="1" applyAlignment="1" applyProtection="1">
      <alignment horizontal="left" wrapText="1"/>
      <protection locked="0"/>
    </xf>
    <xf numFmtId="0" fontId="3" fillId="0" borderId="0" xfId="0" applyFont="1" applyBorder="1" applyAlignment="1" applyProtection="1">
      <alignment horizontal="left"/>
      <protection locked="0"/>
    </xf>
    <xf numFmtId="49" fontId="28" fillId="4" borderId="1" xfId="0" applyNumberFormat="1" applyFont="1" applyFill="1" applyBorder="1" applyAlignment="1" applyProtection="1">
      <alignment horizontal="center"/>
      <protection locked="0"/>
    </xf>
    <xf numFmtId="0" fontId="7" fillId="5" borderId="2" xfId="0" applyFont="1" applyFill="1" applyBorder="1" applyAlignment="1" applyProtection="1">
      <alignment horizontal="center"/>
    </xf>
    <xf numFmtId="0" fontId="7" fillId="5" borderId="4" xfId="0" applyFont="1" applyFill="1" applyBorder="1" applyAlignment="1" applyProtection="1">
      <alignment horizontal="center"/>
    </xf>
    <xf numFmtId="0" fontId="7" fillId="5" borderId="3" xfId="0" applyFont="1" applyFill="1" applyBorder="1" applyAlignment="1" applyProtection="1">
      <alignment horizontal="center"/>
    </xf>
    <xf numFmtId="0" fontId="8" fillId="5" borderId="2" xfId="0" applyFont="1" applyFill="1" applyBorder="1" applyAlignment="1" applyProtection="1">
      <alignment horizontal="center"/>
    </xf>
    <xf numFmtId="0" fontId="8" fillId="5" borderId="3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center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2" borderId="8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/>
    </xf>
    <xf numFmtId="0" fontId="27" fillId="2" borderId="8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left"/>
    </xf>
    <xf numFmtId="0" fontId="3" fillId="4" borderId="3" xfId="0" applyFont="1" applyFill="1" applyBorder="1" applyAlignment="1" applyProtection="1">
      <alignment horizontal="left"/>
    </xf>
    <xf numFmtId="0" fontId="3" fillId="3" borderId="2" xfId="0" applyFont="1" applyFill="1" applyBorder="1" applyAlignment="1" applyProtection="1">
      <alignment horizontal="right"/>
    </xf>
    <xf numFmtId="0" fontId="3" fillId="3" borderId="3" xfId="0" applyFont="1" applyFill="1" applyBorder="1" applyAlignment="1" applyProtection="1">
      <alignment horizontal="right"/>
    </xf>
    <xf numFmtId="0" fontId="6" fillId="8" borderId="2" xfId="0" applyNumberFormat="1" applyFont="1" applyFill="1" applyBorder="1" applyAlignment="1" applyProtection="1">
      <alignment horizontal="left"/>
      <protection locked="0"/>
    </xf>
    <xf numFmtId="0" fontId="6" fillId="8" borderId="4" xfId="0" applyNumberFormat="1" applyFont="1" applyFill="1" applyBorder="1" applyAlignment="1" applyProtection="1">
      <alignment horizontal="left"/>
      <protection locked="0"/>
    </xf>
    <xf numFmtId="0" fontId="6" fillId="8" borderId="3" xfId="0" applyNumberFormat="1" applyFont="1" applyFill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right"/>
    </xf>
    <xf numFmtId="0" fontId="3" fillId="0" borderId="3" xfId="0" applyFont="1" applyBorder="1" applyAlignment="1" applyProtection="1">
      <alignment horizontal="right"/>
    </xf>
    <xf numFmtId="14" fontId="6" fillId="8" borderId="2" xfId="0" applyNumberFormat="1" applyFont="1" applyFill="1" applyBorder="1" applyAlignment="1" applyProtection="1">
      <alignment horizontal="left"/>
      <protection locked="0"/>
    </xf>
    <xf numFmtId="14" fontId="6" fillId="8" borderId="4" xfId="0" applyNumberFormat="1" applyFont="1" applyFill="1" applyBorder="1" applyAlignment="1" applyProtection="1">
      <alignment horizontal="left"/>
      <protection locked="0"/>
    </xf>
    <xf numFmtId="14" fontId="6" fillId="8" borderId="3" xfId="0" applyNumberFormat="1" applyFont="1" applyFill="1" applyBorder="1" applyAlignment="1" applyProtection="1">
      <alignment horizontal="left"/>
      <protection locked="0"/>
    </xf>
    <xf numFmtId="0" fontId="3" fillId="3" borderId="4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</cellXfs>
  <cellStyles count="14">
    <cellStyle name="___CPK__" xfId="7"/>
    <cellStyle name="Calc Percent (0)" xfId="4"/>
    <cellStyle name="Enter Currency (0)" xfId="9"/>
    <cellStyle name="Header1" xfId="10"/>
    <cellStyle name="Header2" xfId="11"/>
    <cellStyle name="Link Currency (0)" xfId="6"/>
    <cellStyle name="Normal 2" xfId="8"/>
    <cellStyle name="Normal 2 2" xfId="3"/>
    <cellStyle name="Percent 2" xfId="12"/>
    <cellStyle name="PrePop Currency (0)" xfId="1"/>
    <cellStyle name="Text Indent A" xfId="13"/>
    <cellStyle name="Text Indent B" xfId="2"/>
    <cellStyle name="常规_8364B 2009415" xfId="5"/>
    <cellStyle name="一般" xfId="0" builtinId="0"/>
  </cellStyles>
  <dxfs count="826"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19</xdr:col>
      <xdr:colOff>494129</xdr:colOff>
      <xdr:row>47</xdr:row>
      <xdr:rowOff>73713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76250"/>
          <a:ext cx="13337516" cy="975234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47</xdr:row>
      <xdr:rowOff>122903</xdr:rowOff>
    </xdr:from>
    <xdr:to>
      <xdr:col>19</xdr:col>
      <xdr:colOff>456029</xdr:colOff>
      <xdr:row>92</xdr:row>
      <xdr:rowOff>187091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0277782"/>
          <a:ext cx="13299416" cy="974281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AppData/Local/Microsoft/Windows/INetCache/Content.Outlook/A23YJQCL/Enhanced%20Cpk%20Template%20V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pk"/>
      <sheetName val="Drawing"/>
      <sheetName val="Setup"/>
      <sheetName val="Revision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73"/>
  <sheetViews>
    <sheetView zoomScale="73" zoomScaleNormal="73" workbookViewId="0">
      <selection activeCell="W17" sqref="W17"/>
    </sheetView>
  </sheetViews>
  <sheetFormatPr defaultColWidth="12.6640625" defaultRowHeight="12.7" customHeight="1"/>
  <cols>
    <col min="1" max="1" width="0.88671875" style="14" customWidth="1"/>
    <col min="2" max="2" width="9" style="14" customWidth="1"/>
    <col min="3" max="3" width="10.88671875" style="14" customWidth="1"/>
    <col min="4" max="8" width="9" style="14" customWidth="1"/>
    <col min="9" max="10" width="9" style="14" hidden="1" customWidth="1"/>
    <col min="11" max="13" width="9" style="14" customWidth="1"/>
    <col min="14" max="14" width="0.88671875" style="14" customWidth="1"/>
    <col min="15" max="22" width="9" style="14" customWidth="1"/>
    <col min="23" max="23" width="36" style="79" customWidth="1"/>
    <col min="24" max="24" width="0.88671875" style="14" customWidth="1"/>
    <col min="25" max="16384" width="12.6640625" style="14"/>
  </cols>
  <sheetData>
    <row r="1" spans="1:29" s="11" customFormat="1" ht="21.95" customHeight="1">
      <c r="A1" s="109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</row>
    <row r="2" spans="1:29" s="12" customFormat="1" ht="14.1" customHeight="1">
      <c r="A2" s="15"/>
      <c r="B2" s="16" t="s">
        <v>1</v>
      </c>
      <c r="C2" s="16"/>
      <c r="D2" s="17"/>
      <c r="E2" s="17"/>
      <c r="F2" s="17"/>
      <c r="I2" s="17"/>
      <c r="J2" s="17"/>
      <c r="K2" s="15"/>
      <c r="L2" s="15"/>
      <c r="M2" s="15"/>
      <c r="N2" s="15"/>
      <c r="O2" s="17"/>
      <c r="P2" s="9"/>
      <c r="Q2" s="9"/>
      <c r="R2" s="9"/>
      <c r="S2" s="9"/>
      <c r="T2" s="9"/>
      <c r="U2" s="110" t="s">
        <v>2</v>
      </c>
      <c r="V2" s="110"/>
      <c r="W2" s="72"/>
      <c r="X2" s="15"/>
    </row>
    <row r="3" spans="1:29" s="12" customFormat="1" ht="9.25" customHeight="1">
      <c r="A3" s="15"/>
      <c r="B3" s="17"/>
      <c r="C3" s="17"/>
      <c r="D3" s="15"/>
      <c r="E3" s="15"/>
      <c r="F3" s="17"/>
      <c r="G3" s="17"/>
      <c r="H3" s="17"/>
      <c r="I3" s="17"/>
      <c r="J3" s="17"/>
      <c r="K3" s="15"/>
      <c r="L3" s="15"/>
      <c r="M3" s="15"/>
      <c r="N3" s="15"/>
      <c r="O3" s="17"/>
      <c r="P3" s="17"/>
      <c r="Q3" s="17"/>
      <c r="R3" s="17"/>
      <c r="S3" s="17"/>
      <c r="T3" s="15"/>
      <c r="U3" s="15"/>
      <c r="V3" s="17"/>
      <c r="W3" s="72"/>
      <c r="X3" s="15"/>
    </row>
    <row r="4" spans="1:29" s="12" customFormat="1" ht="18.8" customHeight="1">
      <c r="A4" s="9"/>
      <c r="B4" s="98" t="s">
        <v>3</v>
      </c>
      <c r="C4" s="99"/>
      <c r="D4" s="105"/>
      <c r="E4" s="106"/>
      <c r="F4" s="106"/>
      <c r="G4" s="106"/>
      <c r="H4" s="107"/>
      <c r="I4" s="17"/>
      <c r="J4" s="17"/>
      <c r="K4" s="103" t="s">
        <v>4</v>
      </c>
      <c r="L4" s="104"/>
      <c r="M4" s="105" t="s">
        <v>63</v>
      </c>
      <c r="N4" s="106"/>
      <c r="O4" s="106"/>
      <c r="P4" s="106"/>
      <c r="Q4" s="107"/>
      <c r="R4" s="98" t="s">
        <v>5</v>
      </c>
      <c r="S4" s="108"/>
      <c r="T4" s="99"/>
      <c r="U4" s="105" t="s">
        <v>68</v>
      </c>
      <c r="V4" s="106"/>
      <c r="W4" s="106"/>
      <c r="X4" s="107"/>
      <c r="Y4" s="9"/>
      <c r="Z4" s="9"/>
      <c r="AA4" s="9"/>
      <c r="AB4" s="9"/>
      <c r="AC4" s="9"/>
    </row>
    <row r="5" spans="1:29" s="12" customFormat="1" ht="18.8" customHeight="1">
      <c r="A5" s="9"/>
      <c r="B5" s="98" t="s">
        <v>6</v>
      </c>
      <c r="C5" s="99"/>
      <c r="D5" s="105" t="s">
        <v>69</v>
      </c>
      <c r="E5" s="106"/>
      <c r="F5" s="106"/>
      <c r="G5" s="106"/>
      <c r="H5" s="107"/>
      <c r="I5" s="17"/>
      <c r="J5" s="17"/>
      <c r="K5" s="103" t="s">
        <v>7</v>
      </c>
      <c r="L5" s="104"/>
      <c r="M5" s="105" t="s">
        <v>84</v>
      </c>
      <c r="N5" s="106"/>
      <c r="O5" s="106"/>
      <c r="P5" s="106"/>
      <c r="Q5" s="107"/>
      <c r="R5" s="98" t="s">
        <v>8</v>
      </c>
      <c r="S5" s="108"/>
      <c r="T5" s="99"/>
      <c r="U5" s="95"/>
      <c r="V5" s="96"/>
      <c r="W5" s="96"/>
      <c r="X5" s="97"/>
      <c r="Y5" s="9"/>
      <c r="Z5" s="9"/>
      <c r="AA5" s="9"/>
      <c r="AB5" s="9"/>
      <c r="AC5" s="9"/>
    </row>
    <row r="6" spans="1:29" s="12" customFormat="1" ht="18.8" customHeight="1">
      <c r="A6" s="9"/>
      <c r="B6" s="98" t="s">
        <v>9</v>
      </c>
      <c r="C6" s="99"/>
      <c r="D6" s="100"/>
      <c r="E6" s="101"/>
      <c r="F6" s="101"/>
      <c r="G6" s="101"/>
      <c r="H6" s="102"/>
      <c r="I6" s="17"/>
      <c r="J6" s="17"/>
      <c r="K6" s="103" t="s">
        <v>10</v>
      </c>
      <c r="L6" s="104"/>
      <c r="M6" s="105" t="s">
        <v>85</v>
      </c>
      <c r="N6" s="106"/>
      <c r="O6" s="106"/>
      <c r="P6" s="106"/>
      <c r="Q6" s="107"/>
      <c r="R6" s="98" t="s">
        <v>11</v>
      </c>
      <c r="S6" s="108"/>
      <c r="T6" s="99"/>
      <c r="U6" s="95"/>
      <c r="V6" s="96"/>
      <c r="W6" s="96"/>
      <c r="X6" s="97"/>
      <c r="Y6" s="9"/>
      <c r="Z6" s="9"/>
      <c r="AA6" s="9"/>
      <c r="AB6" s="9"/>
      <c r="AC6" s="9"/>
    </row>
    <row r="7" spans="1:29" s="12" customFormat="1" ht="9.25" customHeight="1">
      <c r="A7" s="18"/>
      <c r="B7" s="19"/>
      <c r="C7" s="18"/>
      <c r="D7" s="19"/>
      <c r="E7" s="19"/>
      <c r="F7" s="18"/>
      <c r="G7" s="19"/>
      <c r="H7" s="18"/>
      <c r="I7" s="19"/>
      <c r="J7" s="18"/>
      <c r="K7" s="19"/>
      <c r="L7" s="18"/>
      <c r="M7" s="19"/>
      <c r="N7" s="18"/>
      <c r="O7" s="19"/>
      <c r="P7" s="18"/>
      <c r="Q7" s="19"/>
      <c r="R7" s="18"/>
      <c r="S7" s="19"/>
      <c r="T7" s="18"/>
      <c r="U7" s="19"/>
      <c r="V7" s="18"/>
      <c r="W7" s="72"/>
      <c r="X7" s="15"/>
    </row>
    <row r="8" spans="1:29" s="13" customFormat="1" ht="15.05" customHeight="1">
      <c r="A8" s="81" t="s">
        <v>12</v>
      </c>
      <c r="B8" s="82"/>
      <c r="C8" s="82"/>
      <c r="D8" s="82"/>
      <c r="E8" s="82"/>
      <c r="F8" s="82"/>
      <c r="G8" s="82"/>
      <c r="H8" s="82"/>
      <c r="I8" s="82"/>
      <c r="J8" s="83"/>
      <c r="K8" s="81" t="s">
        <v>13</v>
      </c>
      <c r="L8" s="82"/>
      <c r="M8" s="82"/>
      <c r="N8" s="82"/>
      <c r="O8" s="82"/>
      <c r="P8" s="82"/>
      <c r="Q8" s="83"/>
      <c r="R8" s="81" t="s">
        <v>14</v>
      </c>
      <c r="S8" s="82"/>
      <c r="T8" s="82"/>
      <c r="U8" s="82"/>
      <c r="V8" s="83"/>
      <c r="W8" s="84" t="s">
        <v>15</v>
      </c>
      <c r="X8" s="85"/>
    </row>
    <row r="9" spans="1:29" s="12" customFormat="1" ht="15.05" customHeight="1">
      <c r="A9" s="20"/>
      <c r="B9" s="50"/>
      <c r="C9" s="51"/>
      <c r="D9" s="52"/>
      <c r="E9" s="52"/>
      <c r="F9" s="51"/>
      <c r="G9" s="51"/>
      <c r="H9" s="89" t="s">
        <v>16</v>
      </c>
      <c r="I9" s="91" t="s">
        <v>17</v>
      </c>
      <c r="J9" s="91" t="s">
        <v>18</v>
      </c>
      <c r="K9" s="86" t="s">
        <v>19</v>
      </c>
      <c r="L9" s="87"/>
      <c r="M9" s="88"/>
      <c r="N9" s="49"/>
      <c r="O9" s="86" t="s">
        <v>20</v>
      </c>
      <c r="P9" s="87"/>
      <c r="Q9" s="88"/>
      <c r="R9" s="93" t="s">
        <v>21</v>
      </c>
      <c r="S9" s="53" t="s">
        <v>22</v>
      </c>
      <c r="T9" s="54"/>
      <c r="U9" s="34" t="s">
        <v>23</v>
      </c>
      <c r="V9" s="33"/>
      <c r="W9" s="73"/>
      <c r="X9" s="20"/>
    </row>
    <row r="10" spans="1:29" s="12" customFormat="1" ht="50.75">
      <c r="A10" s="21"/>
      <c r="B10" s="56" t="s">
        <v>24</v>
      </c>
      <c r="C10" s="56" t="s">
        <v>25</v>
      </c>
      <c r="D10" s="57" t="s">
        <v>26</v>
      </c>
      <c r="E10" s="58" t="s">
        <v>27</v>
      </c>
      <c r="F10" s="59" t="s">
        <v>64</v>
      </c>
      <c r="G10" s="59" t="s">
        <v>65</v>
      </c>
      <c r="H10" s="90"/>
      <c r="I10" s="92"/>
      <c r="J10" s="92"/>
      <c r="K10" s="60">
        <v>1</v>
      </c>
      <c r="L10" s="60">
        <v>2</v>
      </c>
      <c r="M10" s="60">
        <v>3</v>
      </c>
      <c r="N10" s="55"/>
      <c r="O10" s="61">
        <v>1</v>
      </c>
      <c r="P10" s="61">
        <v>2</v>
      </c>
      <c r="Q10" s="61">
        <v>3</v>
      </c>
      <c r="R10" s="94"/>
      <c r="S10" s="56" t="s">
        <v>28</v>
      </c>
      <c r="T10" s="62" t="s">
        <v>29</v>
      </c>
      <c r="U10" s="22" t="s">
        <v>30</v>
      </c>
      <c r="V10" s="35" t="s">
        <v>31</v>
      </c>
      <c r="W10" s="74" t="s">
        <v>32</v>
      </c>
      <c r="X10" s="21"/>
    </row>
    <row r="11" spans="1:29" s="12" customFormat="1" ht="18" customHeight="1">
      <c r="A11" s="23"/>
      <c r="B11" s="44">
        <v>1</v>
      </c>
      <c r="C11" s="67" t="s">
        <v>70</v>
      </c>
      <c r="D11" s="40" t="s">
        <v>39</v>
      </c>
      <c r="E11" s="41">
        <v>9.8699999999999992</v>
      </c>
      <c r="F11" s="42">
        <v>0.05</v>
      </c>
      <c r="G11" s="42">
        <v>-0.05</v>
      </c>
      <c r="H11" s="43" t="s">
        <v>44</v>
      </c>
      <c r="I11" s="29">
        <f>IF(AND(E11="",F11=""),"",IF(E11="",F11,E11+F11))</f>
        <v>9.92</v>
      </c>
      <c r="J11" s="29">
        <f>IF(AND(E11="",G11=""),"",IF(E11="",G11,E11+G11))</f>
        <v>9.8199999999999985</v>
      </c>
      <c r="K11" s="30">
        <v>9.9</v>
      </c>
      <c r="L11" s="30">
        <v>9.91</v>
      </c>
      <c r="M11" s="30">
        <v>9.9079999999999995</v>
      </c>
      <c r="N11" s="23"/>
      <c r="O11" s="31">
        <f>IF(ISERR(K11/K11)=TRUE," ",K11-$E11)</f>
        <v>3.0000000000001137E-2</v>
      </c>
      <c r="P11" s="32">
        <f>IF(ISERR(L11/L11)=TRUE," ",L11-$E11)</f>
        <v>4.0000000000000924E-2</v>
      </c>
      <c r="Q11" s="32">
        <f>IF(ISERR(M11/M11)=TRUE," ",M11-$E11)</f>
        <v>3.8000000000000256E-2</v>
      </c>
      <c r="R11" s="36">
        <f t="shared" ref="R11:R16" si="0">IF(ISERR(K11/K11)=TRUE," ",AVERAGE(K11:M11))</f>
        <v>9.9060000000000006</v>
      </c>
      <c r="S11" s="37">
        <f>IF(ISERR(F11/F11)=TRUE," ",IF(ISERR(K11/K11)=TRUE," ",IF(ISNUMBER($K11)=FALSE," ",IF(MAX($K11:$M11)&lt;$E11,0,(MAX($K11:$M11)-$E11)/$F11))))</f>
        <v>0.80000000000001847</v>
      </c>
      <c r="T11" s="37">
        <f>IF(ISERR(G11/E11)=TRUE," ",IF(ISERR(G11/G11)=TRUE," ",IF(ISERR(K11/K11)=TRUE," ",IF(ISNUMBER(K11)=FALSE," ",IF(MIN(K11:M11)&gt;$E11,0,($E11-MIN(K11:M11))/-G11)))))</f>
        <v>0</v>
      </c>
      <c r="U11" s="38" t="str">
        <f t="shared" ref="U11:U73" si="1">IF(ISNUMBER($S11)=TRUE,IF($S11&gt;0.651,IF($S11&gt;1.001,"Reject","Alert")," ")," ")</f>
        <v>Alert</v>
      </c>
      <c r="V11" s="38" t="str">
        <f>IF(K11="","",IF(ISERR(G11/G11)=TRUE," ",IF(ISERR(G11/E11)=TRUE,IF((G11-MIN(K11:M11))&gt;0.001,"Reject",""),IF(ISNUMBER($T11)=TRUE,IF($T11&gt;0.651,IF($T11&gt;1.001,"Reject","Alert")," ")," "))))</f>
        <v xml:space="preserve"> </v>
      </c>
      <c r="W11" s="75"/>
      <c r="X11" s="23"/>
    </row>
    <row r="12" spans="1:29" s="12" customFormat="1" ht="18" customHeight="1">
      <c r="A12" s="23"/>
      <c r="B12" s="44">
        <v>2</v>
      </c>
      <c r="C12" s="67" t="s">
        <v>78</v>
      </c>
      <c r="D12" s="40" t="s">
        <v>39</v>
      </c>
      <c r="E12" s="41">
        <v>1.7</v>
      </c>
      <c r="F12" s="42">
        <v>0.03</v>
      </c>
      <c r="G12" s="42">
        <v>-0.03</v>
      </c>
      <c r="H12" s="43" t="s">
        <v>62</v>
      </c>
      <c r="I12" s="29">
        <f t="shared" ref="I12:I18" si="2">IF(AND(E12="",F12=""),"",IF(E12="",F12,E12+F12))</f>
        <v>1.73</v>
      </c>
      <c r="J12" s="29">
        <f t="shared" ref="J12:J18" si="3">IF(AND(E12="",G12=""),"",IF(E12="",G12,E12+G12))</f>
        <v>1.67</v>
      </c>
      <c r="K12" s="30">
        <v>1.71</v>
      </c>
      <c r="L12" s="30">
        <v>1.7130000000000001</v>
      </c>
      <c r="M12" s="30">
        <v>1.716</v>
      </c>
      <c r="N12" s="23"/>
      <c r="O12" s="31">
        <f t="shared" ref="O12:O73" si="4">IF(ISERR(K12/K12)=TRUE," ",K12-$E12)</f>
        <v>1.0000000000000009E-2</v>
      </c>
      <c r="P12" s="32">
        <f t="shared" ref="P12:P73" si="5">IF(ISERR(L12/L12)=TRUE," ",L12-$E12)</f>
        <v>1.3000000000000123E-2</v>
      </c>
      <c r="Q12" s="32">
        <f t="shared" ref="Q12:Q73" si="6">IF(ISERR(M12/M12)=TRUE," ",M12-$E12)</f>
        <v>1.6000000000000014E-2</v>
      </c>
      <c r="R12" s="36">
        <f t="shared" si="0"/>
        <v>1.7130000000000001</v>
      </c>
      <c r="S12" s="37">
        <f t="shared" ref="S12:S40" si="7">IF(ISERR(F12/F12)=TRUE," ",IF(ISERR(K12/K12)=TRUE," ",IF(ISNUMBER($K12)=FALSE," ",IF(MAX($K12:$M12)&lt;$E12,0,(MAX($K12:$M12)-$E12)/$F12))))</f>
        <v>0.53333333333333388</v>
      </c>
      <c r="T12" s="37">
        <f t="shared" ref="T12:T73" si="8">IF(ISERR(G12/E12)=TRUE," ",IF(ISERR(G12/G12)=TRUE," ",IF(ISERR(K12/K12)=TRUE," ",IF(ISNUMBER(K12)=FALSE," ",IF(MIN(K12:M12)&gt;$E12,0,($E12-MIN(K12:M12))/-G12)))))</f>
        <v>0</v>
      </c>
      <c r="U12" s="38" t="str">
        <f t="shared" si="1"/>
        <v xml:space="preserve"> </v>
      </c>
      <c r="V12" s="38" t="str">
        <f t="shared" ref="V12:V73" si="9">IF(K12="","",IF(ISERR(G12/G12)=TRUE," ",IF(ISERR(G12/E12)=TRUE,IF((G12-MIN(K12:M12))&gt;0.001,"Reject",""),IF(ISNUMBER($T12)=TRUE,IF($T12&gt;0.651,IF($T12&gt;1.001,"Reject","Alert")," ")," "))))</f>
        <v xml:space="preserve"> </v>
      </c>
      <c r="W12" s="75"/>
      <c r="X12" s="23"/>
    </row>
    <row r="13" spans="1:29" s="12" customFormat="1" ht="18" customHeight="1">
      <c r="A13" s="23"/>
      <c r="B13" s="44"/>
      <c r="C13" s="67" t="s">
        <v>77</v>
      </c>
      <c r="D13" s="40" t="s">
        <v>39</v>
      </c>
      <c r="E13" s="41">
        <v>1.7</v>
      </c>
      <c r="F13" s="42">
        <v>0.03</v>
      </c>
      <c r="G13" s="42">
        <v>-0.03</v>
      </c>
      <c r="H13" s="43" t="s">
        <v>62</v>
      </c>
      <c r="I13" s="29">
        <f t="shared" si="2"/>
        <v>1.73</v>
      </c>
      <c r="J13" s="29">
        <f t="shared" si="3"/>
        <v>1.67</v>
      </c>
      <c r="K13" s="30">
        <v>1.7170000000000001</v>
      </c>
      <c r="L13" s="30">
        <v>1.7150000000000001</v>
      </c>
      <c r="M13" s="30">
        <v>1.712</v>
      </c>
      <c r="N13" s="23"/>
      <c r="O13" s="31">
        <f t="shared" si="4"/>
        <v>1.7000000000000126E-2</v>
      </c>
      <c r="P13" s="32">
        <f t="shared" si="5"/>
        <v>1.5000000000000124E-2</v>
      </c>
      <c r="Q13" s="32">
        <f t="shared" si="6"/>
        <v>1.2000000000000011E-2</v>
      </c>
      <c r="R13" s="36">
        <f t="shared" si="0"/>
        <v>1.7146666666666668</v>
      </c>
      <c r="S13" s="37">
        <f t="shared" si="7"/>
        <v>0.56666666666667087</v>
      </c>
      <c r="T13" s="37">
        <f t="shared" si="8"/>
        <v>0</v>
      </c>
      <c r="U13" s="38" t="str">
        <f t="shared" si="1"/>
        <v xml:space="preserve"> </v>
      </c>
      <c r="V13" s="38" t="str">
        <f t="shared" si="9"/>
        <v xml:space="preserve"> </v>
      </c>
      <c r="W13" s="75"/>
      <c r="X13" s="23"/>
    </row>
    <row r="14" spans="1:29" s="12" customFormat="1" ht="18" customHeight="1">
      <c r="A14" s="23"/>
      <c r="B14" s="39">
        <v>3</v>
      </c>
      <c r="C14" s="67" t="s">
        <v>71</v>
      </c>
      <c r="D14" s="40" t="s">
        <v>39</v>
      </c>
      <c r="E14" s="41">
        <v>3.37</v>
      </c>
      <c r="F14" s="42">
        <v>0.05</v>
      </c>
      <c r="G14" s="42">
        <v>-0.05</v>
      </c>
      <c r="H14" s="43" t="s">
        <v>44</v>
      </c>
      <c r="I14" s="29">
        <f t="shared" si="2"/>
        <v>3.42</v>
      </c>
      <c r="J14" s="29">
        <f t="shared" si="3"/>
        <v>3.3200000000000003</v>
      </c>
      <c r="K14" s="30">
        <v>3.3660000000000001</v>
      </c>
      <c r="L14" s="30">
        <v>3.3620000000000001</v>
      </c>
      <c r="M14" s="30">
        <v>3.3650000000000002</v>
      </c>
      <c r="N14" s="23"/>
      <c r="O14" s="31">
        <f t="shared" si="4"/>
        <v>-4.0000000000000036E-3</v>
      </c>
      <c r="P14" s="32">
        <f t="shared" si="5"/>
        <v>-8.0000000000000071E-3</v>
      </c>
      <c r="Q14" s="32">
        <f t="shared" si="6"/>
        <v>-4.9999999999998934E-3</v>
      </c>
      <c r="R14" s="36">
        <f t="shared" si="0"/>
        <v>3.3643333333333332</v>
      </c>
      <c r="S14" s="37">
        <f t="shared" si="7"/>
        <v>0</v>
      </c>
      <c r="T14" s="37">
        <f t="shared" si="8"/>
        <v>0.16000000000000014</v>
      </c>
      <c r="U14" s="38" t="str">
        <f t="shared" si="1"/>
        <v xml:space="preserve"> </v>
      </c>
      <c r="V14" s="38" t="str">
        <f t="shared" si="9"/>
        <v xml:space="preserve"> </v>
      </c>
      <c r="W14" s="76"/>
      <c r="X14" s="23"/>
    </row>
    <row r="15" spans="1:29" s="12" customFormat="1" ht="18" customHeight="1">
      <c r="A15" s="23"/>
      <c r="B15" s="44">
        <v>4</v>
      </c>
      <c r="C15" s="67" t="s">
        <v>72</v>
      </c>
      <c r="D15" s="40" t="s">
        <v>39</v>
      </c>
      <c r="E15" s="41">
        <v>1.69</v>
      </c>
      <c r="F15" s="42">
        <v>0.05</v>
      </c>
      <c r="G15" s="42">
        <v>-0.05</v>
      </c>
      <c r="H15" s="43" t="s">
        <v>62</v>
      </c>
      <c r="I15" s="29">
        <f t="shared" si="2"/>
        <v>1.74</v>
      </c>
      <c r="J15" s="29">
        <f t="shared" si="3"/>
        <v>1.64</v>
      </c>
      <c r="K15" s="30">
        <v>1.6719999999999999</v>
      </c>
      <c r="L15" s="30">
        <v>1.673</v>
      </c>
      <c r="M15" s="30">
        <v>1.6759999999999999</v>
      </c>
      <c r="N15" s="23"/>
      <c r="O15" s="31">
        <f t="shared" si="4"/>
        <v>-1.8000000000000016E-2</v>
      </c>
      <c r="P15" s="32">
        <f t="shared" si="5"/>
        <v>-1.6999999999999904E-2</v>
      </c>
      <c r="Q15" s="32">
        <f t="shared" si="6"/>
        <v>-1.4000000000000012E-2</v>
      </c>
      <c r="R15" s="36">
        <f t="shared" si="0"/>
        <v>1.6736666666666666</v>
      </c>
      <c r="S15" s="37">
        <f t="shared" si="7"/>
        <v>0</v>
      </c>
      <c r="T15" s="37">
        <f t="shared" si="8"/>
        <v>0.36000000000000032</v>
      </c>
      <c r="U15" s="38" t="str">
        <f t="shared" si="1"/>
        <v xml:space="preserve"> </v>
      </c>
      <c r="V15" s="38" t="str">
        <f t="shared" si="9"/>
        <v xml:space="preserve"> </v>
      </c>
      <c r="W15" s="76"/>
      <c r="X15" s="23"/>
    </row>
    <row r="16" spans="1:29" s="12" customFormat="1" ht="18" customHeight="1">
      <c r="A16" s="23"/>
      <c r="B16" s="44">
        <v>5</v>
      </c>
      <c r="C16" s="45" t="s">
        <v>73</v>
      </c>
      <c r="D16" s="40" t="s">
        <v>39</v>
      </c>
      <c r="E16" s="41">
        <v>12</v>
      </c>
      <c r="F16" s="42">
        <v>0.08</v>
      </c>
      <c r="G16" s="42">
        <v>-0.08</v>
      </c>
      <c r="H16" s="43" t="s">
        <v>62</v>
      </c>
      <c r="I16" s="29">
        <f t="shared" si="2"/>
        <v>12.08</v>
      </c>
      <c r="J16" s="29">
        <f t="shared" si="3"/>
        <v>11.92</v>
      </c>
      <c r="K16" s="30">
        <v>11.981</v>
      </c>
      <c r="L16" s="30">
        <v>11.973000000000001</v>
      </c>
      <c r="M16" s="30">
        <v>11.978</v>
      </c>
      <c r="N16" s="23"/>
      <c r="O16" s="31">
        <f t="shared" si="4"/>
        <v>-1.9000000000000128E-2</v>
      </c>
      <c r="P16" s="32">
        <f t="shared" si="5"/>
        <v>-2.6999999999999247E-2</v>
      </c>
      <c r="Q16" s="32">
        <f t="shared" si="6"/>
        <v>-2.2000000000000242E-2</v>
      </c>
      <c r="R16" s="36">
        <f t="shared" si="0"/>
        <v>11.977333333333334</v>
      </c>
      <c r="S16" s="37">
        <f t="shared" si="7"/>
        <v>0</v>
      </c>
      <c r="T16" s="37">
        <f t="shared" si="8"/>
        <v>0.33749999999999059</v>
      </c>
      <c r="U16" s="38" t="str">
        <f t="shared" si="1"/>
        <v xml:space="preserve"> </v>
      </c>
      <c r="V16" s="38" t="str">
        <f t="shared" si="9"/>
        <v xml:space="preserve"> </v>
      </c>
      <c r="W16" s="76"/>
      <c r="X16" s="23"/>
    </row>
    <row r="17" spans="1:24" s="12" customFormat="1" ht="18" customHeight="1">
      <c r="A17" s="23"/>
      <c r="B17" s="44">
        <v>6</v>
      </c>
      <c r="C17" s="46" t="s">
        <v>74</v>
      </c>
      <c r="D17" s="40" t="s">
        <v>39</v>
      </c>
      <c r="E17" s="41">
        <v>3.4</v>
      </c>
      <c r="F17" s="42">
        <v>0.05</v>
      </c>
      <c r="G17" s="42">
        <v>-0.05</v>
      </c>
      <c r="H17" s="43" t="s">
        <v>67</v>
      </c>
      <c r="I17" s="29">
        <f t="shared" si="2"/>
        <v>3.4499999999999997</v>
      </c>
      <c r="J17" s="29">
        <f t="shared" si="3"/>
        <v>3.35</v>
      </c>
      <c r="K17" s="30">
        <v>3.4289999999999998</v>
      </c>
      <c r="L17" s="30">
        <v>3.4209999999999998</v>
      </c>
      <c r="M17" s="30">
        <v>3.4260000000000002</v>
      </c>
      <c r="N17" s="23"/>
      <c r="O17" s="31">
        <f t="shared" ref="O17" si="10">IF(ISERR(K17/K17)=TRUE," ",K17-$E17)</f>
        <v>2.8999999999999915E-2</v>
      </c>
      <c r="P17" s="32">
        <f t="shared" ref="P17" si="11">IF(ISERR(L17/L17)=TRUE," ",L17-$E17)</f>
        <v>2.0999999999999908E-2</v>
      </c>
      <c r="Q17" s="32">
        <f t="shared" ref="Q17" si="12">IF(ISERR(M17/M17)=TRUE," ",M17-$E17)</f>
        <v>2.6000000000000245E-2</v>
      </c>
      <c r="R17" s="36">
        <f t="shared" ref="R17" si="13">IF(ISERR(K17/K17)=TRUE," ",AVERAGE(K17:M17))</f>
        <v>3.4253333333333331</v>
      </c>
      <c r="S17" s="37">
        <f t="shared" ref="S17" si="14">IF(ISERR(F17/F17)=TRUE," ",IF(ISERR(K17/K17)=TRUE," ",IF(ISNUMBER($K17)=FALSE," ",IF(MAX($K17:$M17)&lt;$E17,0,(MAX($K17:$M17)-$E17)/$F17))))</f>
        <v>0.57999999999999829</v>
      </c>
      <c r="T17" s="37">
        <f t="shared" ref="T17" si="15">IF(ISERR(G17/E17)=TRUE," ",IF(ISERR(G17/G17)=TRUE," ",IF(ISERR(K17/K17)=TRUE," ",IF(ISNUMBER(K17)=FALSE," ",IF(MIN(K17:M17)&gt;$E17,0,($E17-MIN(K17:M17))/-G17)))))</f>
        <v>0</v>
      </c>
      <c r="U17" s="38" t="str">
        <f t="shared" si="1"/>
        <v xml:space="preserve"> </v>
      </c>
      <c r="V17" s="38" t="str">
        <f t="shared" si="9"/>
        <v xml:space="preserve"> </v>
      </c>
      <c r="W17" s="77"/>
      <c r="X17" s="23"/>
    </row>
    <row r="18" spans="1:24" s="12" customFormat="1" ht="18" customHeight="1">
      <c r="A18" s="23"/>
      <c r="B18" s="44">
        <v>7</v>
      </c>
      <c r="C18" s="46" t="s">
        <v>75</v>
      </c>
      <c r="D18" s="40" t="s">
        <v>39</v>
      </c>
      <c r="E18" s="41">
        <v>5.5</v>
      </c>
      <c r="F18" s="42">
        <v>0.05</v>
      </c>
      <c r="G18" s="42">
        <v>-0.05</v>
      </c>
      <c r="H18" s="43" t="s">
        <v>62</v>
      </c>
      <c r="I18" s="29">
        <f t="shared" si="2"/>
        <v>5.55</v>
      </c>
      <c r="J18" s="29">
        <f t="shared" si="3"/>
        <v>5.45</v>
      </c>
      <c r="K18" s="30">
        <v>5.4930000000000003</v>
      </c>
      <c r="L18" s="30">
        <v>5.4930000000000003</v>
      </c>
      <c r="M18" s="30">
        <v>5.4989999999999997</v>
      </c>
      <c r="N18" s="23"/>
      <c r="O18" s="31">
        <f t="shared" si="4"/>
        <v>-6.9999999999996732E-3</v>
      </c>
      <c r="P18" s="32">
        <f t="shared" si="5"/>
        <v>-6.9999999999996732E-3</v>
      </c>
      <c r="Q18" s="32">
        <f t="shared" si="6"/>
        <v>-1.000000000000334E-3</v>
      </c>
      <c r="R18" s="36">
        <f t="shared" ref="R18:R40" si="16">IF(ISERR(K18/K18)=TRUE," ",AVERAGE(K18:M18))</f>
        <v>5.4950000000000001</v>
      </c>
      <c r="S18" s="37">
        <f t="shared" si="7"/>
        <v>0</v>
      </c>
      <c r="T18" s="37">
        <f t="shared" si="8"/>
        <v>0.13999999999999346</v>
      </c>
      <c r="U18" s="38" t="str">
        <f t="shared" si="1"/>
        <v xml:space="preserve"> </v>
      </c>
      <c r="V18" s="38" t="str">
        <f t="shared" si="9"/>
        <v xml:space="preserve"> </v>
      </c>
      <c r="W18" s="76"/>
      <c r="X18" s="23"/>
    </row>
    <row r="19" spans="1:24" s="12" customFormat="1" ht="18" customHeight="1">
      <c r="A19" s="23"/>
      <c r="B19" s="44">
        <v>8</v>
      </c>
      <c r="C19" s="46" t="s">
        <v>75</v>
      </c>
      <c r="D19" s="40" t="s">
        <v>39</v>
      </c>
      <c r="E19" s="41">
        <v>5.4</v>
      </c>
      <c r="F19" s="42">
        <v>0.05</v>
      </c>
      <c r="G19" s="42">
        <v>-0.05</v>
      </c>
      <c r="H19" s="43" t="s">
        <v>82</v>
      </c>
      <c r="I19" s="29"/>
      <c r="J19" s="29"/>
      <c r="K19" s="30">
        <v>5.37</v>
      </c>
      <c r="L19" s="30">
        <v>5.38</v>
      </c>
      <c r="M19" s="30">
        <v>5.3879999999999999</v>
      </c>
      <c r="N19" s="23"/>
      <c r="O19" s="31">
        <f t="shared" si="4"/>
        <v>-3.0000000000000249E-2</v>
      </c>
      <c r="P19" s="32">
        <f t="shared" si="5"/>
        <v>-2.0000000000000462E-2</v>
      </c>
      <c r="Q19" s="32">
        <f t="shared" si="6"/>
        <v>-1.2000000000000455E-2</v>
      </c>
      <c r="R19" s="36">
        <f t="shared" si="16"/>
        <v>5.3793333333333324</v>
      </c>
      <c r="S19" s="37">
        <f t="shared" si="7"/>
        <v>0</v>
      </c>
      <c r="T19" s="37">
        <f t="shared" si="8"/>
        <v>0.60000000000000497</v>
      </c>
      <c r="U19" s="38" t="str">
        <f t="shared" si="1"/>
        <v xml:space="preserve"> </v>
      </c>
      <c r="V19" s="38" t="str">
        <f t="shared" si="9"/>
        <v xml:space="preserve"> </v>
      </c>
      <c r="W19" s="76"/>
      <c r="X19" s="23"/>
    </row>
    <row r="20" spans="1:24" s="12" customFormat="1" ht="18" customHeight="1">
      <c r="A20" s="23"/>
      <c r="B20" s="44">
        <v>9</v>
      </c>
      <c r="C20" s="46" t="s">
        <v>76</v>
      </c>
      <c r="D20" s="40" t="s">
        <v>39</v>
      </c>
      <c r="E20" s="41">
        <v>6.5</v>
      </c>
      <c r="F20" s="42">
        <v>0.05</v>
      </c>
      <c r="G20" s="42">
        <v>-0.05</v>
      </c>
      <c r="H20" s="43" t="s">
        <v>82</v>
      </c>
      <c r="I20" s="29"/>
      <c r="J20" s="29"/>
      <c r="K20" s="30">
        <v>6.5140000000000002</v>
      </c>
      <c r="L20" s="30">
        <v>6.51</v>
      </c>
      <c r="M20" s="30">
        <v>6.5140000000000002</v>
      </c>
      <c r="N20" s="23"/>
      <c r="O20" s="31">
        <f t="shared" si="4"/>
        <v>1.4000000000000234E-2</v>
      </c>
      <c r="P20" s="32">
        <f t="shared" si="5"/>
        <v>9.9999999999997868E-3</v>
      </c>
      <c r="Q20" s="32">
        <f t="shared" si="6"/>
        <v>1.4000000000000234E-2</v>
      </c>
      <c r="R20" s="36">
        <f t="shared" si="16"/>
        <v>6.512666666666667</v>
      </c>
      <c r="S20" s="37">
        <f t="shared" si="7"/>
        <v>0.28000000000000469</v>
      </c>
      <c r="T20" s="37">
        <f t="shared" si="8"/>
        <v>0</v>
      </c>
      <c r="U20" s="38" t="str">
        <f t="shared" si="1"/>
        <v xml:space="preserve"> </v>
      </c>
      <c r="V20" s="38" t="str">
        <f t="shared" si="9"/>
        <v xml:space="preserve"> </v>
      </c>
      <c r="W20" s="76"/>
      <c r="X20" s="23"/>
    </row>
    <row r="21" spans="1:24" s="12" customFormat="1" ht="18" customHeight="1">
      <c r="A21" s="23"/>
      <c r="B21" s="44">
        <v>10</v>
      </c>
      <c r="C21" s="46" t="s">
        <v>79</v>
      </c>
      <c r="D21" s="40" t="s">
        <v>39</v>
      </c>
      <c r="E21" s="41">
        <v>3.25</v>
      </c>
      <c r="F21" s="42">
        <v>0.05</v>
      </c>
      <c r="G21" s="42">
        <v>-0.05</v>
      </c>
      <c r="H21" s="43" t="s">
        <v>82</v>
      </c>
      <c r="I21" s="29"/>
      <c r="J21" s="29"/>
      <c r="K21" s="30">
        <v>3.26</v>
      </c>
      <c r="L21" s="30">
        <v>3.2629999999999999</v>
      </c>
      <c r="M21" s="30">
        <v>3.2349999999999999</v>
      </c>
      <c r="N21" s="23"/>
      <c r="O21" s="31">
        <f t="shared" si="4"/>
        <v>9.9999999999997868E-3</v>
      </c>
      <c r="P21" s="32">
        <f t="shared" si="5"/>
        <v>1.2999999999999901E-2</v>
      </c>
      <c r="Q21" s="32">
        <f t="shared" si="6"/>
        <v>-1.5000000000000124E-2</v>
      </c>
      <c r="R21" s="36">
        <f t="shared" si="16"/>
        <v>3.2526666666666664</v>
      </c>
      <c r="S21" s="37">
        <f t="shared" si="7"/>
        <v>0.25999999999999801</v>
      </c>
      <c r="T21" s="37">
        <f t="shared" si="8"/>
        <v>0.30000000000000249</v>
      </c>
      <c r="U21" s="38" t="str">
        <f t="shared" si="1"/>
        <v xml:space="preserve"> </v>
      </c>
      <c r="V21" s="38" t="str">
        <f t="shared" si="9"/>
        <v xml:space="preserve"> </v>
      </c>
      <c r="W21" s="76"/>
      <c r="X21" s="23"/>
    </row>
    <row r="22" spans="1:24" s="12" customFormat="1" ht="18" customHeight="1">
      <c r="A22" s="23"/>
      <c r="B22" s="44">
        <v>11</v>
      </c>
      <c r="C22" s="46" t="s">
        <v>80</v>
      </c>
      <c r="D22" s="40" t="s">
        <v>39</v>
      </c>
      <c r="E22" s="41">
        <v>3.4</v>
      </c>
      <c r="F22" s="42">
        <v>0.5</v>
      </c>
      <c r="G22" s="42">
        <v>-0.5</v>
      </c>
      <c r="H22" s="43" t="s">
        <v>81</v>
      </c>
      <c r="I22" s="29"/>
      <c r="J22" s="29"/>
      <c r="K22" s="30">
        <v>3.306</v>
      </c>
      <c r="L22" s="30">
        <v>3.3220000000000001</v>
      </c>
      <c r="M22" s="30">
        <v>3.3250000000000002</v>
      </c>
      <c r="N22" s="23"/>
      <c r="O22" s="31">
        <f t="shared" si="4"/>
        <v>-9.3999999999999861E-2</v>
      </c>
      <c r="P22" s="32">
        <f t="shared" si="5"/>
        <v>-7.7999999999999847E-2</v>
      </c>
      <c r="Q22" s="32">
        <f t="shared" si="6"/>
        <v>-7.4999999999999734E-2</v>
      </c>
      <c r="R22" s="36">
        <f t="shared" si="16"/>
        <v>3.3176666666666663</v>
      </c>
      <c r="S22" s="37">
        <f t="shared" si="7"/>
        <v>0</v>
      </c>
      <c r="T22" s="37">
        <f t="shared" si="8"/>
        <v>0.18799999999999972</v>
      </c>
      <c r="U22" s="38" t="str">
        <f t="shared" si="1"/>
        <v xml:space="preserve"> </v>
      </c>
      <c r="V22" s="38" t="str">
        <f t="shared" si="9"/>
        <v xml:space="preserve"> </v>
      </c>
      <c r="W22" s="76"/>
      <c r="X22" s="23"/>
    </row>
    <row r="23" spans="1:24" s="12" customFormat="1" ht="18" customHeight="1">
      <c r="A23" s="23"/>
      <c r="B23" s="44"/>
      <c r="C23" s="46" t="s">
        <v>77</v>
      </c>
      <c r="D23" s="40" t="s">
        <v>39</v>
      </c>
      <c r="E23" s="41">
        <v>3.4</v>
      </c>
      <c r="F23" s="42">
        <v>0.5</v>
      </c>
      <c r="G23" s="42">
        <v>-0.5</v>
      </c>
      <c r="H23" s="43" t="s">
        <v>67</v>
      </c>
      <c r="I23" s="29"/>
      <c r="J23" s="29"/>
      <c r="K23" s="30">
        <v>3.327</v>
      </c>
      <c r="L23" s="30">
        <v>3.33</v>
      </c>
      <c r="M23" s="30">
        <v>3.3359999999999999</v>
      </c>
      <c r="N23" s="23"/>
      <c r="O23" s="31">
        <f t="shared" si="4"/>
        <v>-7.2999999999999954E-2</v>
      </c>
      <c r="P23" s="32">
        <f t="shared" si="5"/>
        <v>-6.999999999999984E-2</v>
      </c>
      <c r="Q23" s="32">
        <f t="shared" si="6"/>
        <v>-6.4000000000000057E-2</v>
      </c>
      <c r="R23" s="36">
        <f t="shared" si="16"/>
        <v>3.331</v>
      </c>
      <c r="S23" s="37">
        <f t="shared" si="7"/>
        <v>0</v>
      </c>
      <c r="T23" s="37">
        <f t="shared" si="8"/>
        <v>0.14599999999999991</v>
      </c>
      <c r="U23" s="38" t="str">
        <f t="shared" si="1"/>
        <v xml:space="preserve"> </v>
      </c>
      <c r="V23" s="38" t="str">
        <f t="shared" si="9"/>
        <v xml:space="preserve"> </v>
      </c>
      <c r="W23" s="76"/>
      <c r="X23" s="23"/>
    </row>
    <row r="24" spans="1:24" s="12" customFormat="1" ht="18" customHeight="1">
      <c r="A24" s="23"/>
      <c r="B24" s="44"/>
      <c r="C24" s="46"/>
      <c r="D24" s="40"/>
      <c r="E24" s="41"/>
      <c r="F24" s="42"/>
      <c r="G24" s="42"/>
      <c r="H24" s="43"/>
      <c r="I24" s="29"/>
      <c r="J24" s="29"/>
      <c r="K24" s="30"/>
      <c r="L24" s="30"/>
      <c r="M24" s="30"/>
      <c r="N24" s="23"/>
      <c r="O24" s="31" t="str">
        <f t="shared" si="4"/>
        <v xml:space="preserve"> </v>
      </c>
      <c r="P24" s="32" t="str">
        <f t="shared" si="5"/>
        <v xml:space="preserve"> </v>
      </c>
      <c r="Q24" s="32" t="str">
        <f t="shared" si="6"/>
        <v xml:space="preserve"> </v>
      </c>
      <c r="R24" s="36" t="str">
        <f t="shared" si="16"/>
        <v xml:space="preserve"> </v>
      </c>
      <c r="S24" s="37" t="str">
        <f t="shared" si="7"/>
        <v xml:space="preserve"> </v>
      </c>
      <c r="T24" s="37" t="str">
        <f t="shared" si="8"/>
        <v xml:space="preserve"> </v>
      </c>
      <c r="U24" s="38" t="str">
        <f t="shared" si="1"/>
        <v xml:space="preserve"> </v>
      </c>
      <c r="V24" s="38" t="str">
        <f t="shared" si="9"/>
        <v/>
      </c>
      <c r="W24" s="76"/>
      <c r="X24" s="23"/>
    </row>
    <row r="25" spans="1:24" s="12" customFormat="1" ht="18" customHeight="1">
      <c r="A25" s="23"/>
      <c r="B25" s="44"/>
      <c r="C25" s="46"/>
      <c r="D25" s="40"/>
      <c r="E25" s="41"/>
      <c r="F25" s="42"/>
      <c r="G25" s="42"/>
      <c r="H25" s="43"/>
      <c r="I25" s="29"/>
      <c r="J25" s="29"/>
      <c r="K25" s="30"/>
      <c r="L25" s="30"/>
      <c r="M25" s="30"/>
      <c r="N25" s="23"/>
      <c r="O25" s="31" t="str">
        <f t="shared" si="4"/>
        <v xml:space="preserve"> </v>
      </c>
      <c r="P25" s="32" t="str">
        <f t="shared" si="5"/>
        <v xml:space="preserve"> </v>
      </c>
      <c r="Q25" s="32" t="str">
        <f t="shared" si="6"/>
        <v xml:space="preserve"> </v>
      </c>
      <c r="R25" s="36" t="str">
        <f t="shared" si="16"/>
        <v xml:space="preserve"> </v>
      </c>
      <c r="S25" s="37" t="str">
        <f t="shared" si="7"/>
        <v xml:space="preserve"> </v>
      </c>
      <c r="T25" s="37" t="str">
        <f t="shared" si="8"/>
        <v xml:space="preserve"> </v>
      </c>
      <c r="U25" s="38" t="str">
        <f t="shared" si="1"/>
        <v xml:space="preserve"> </v>
      </c>
      <c r="V25" s="38" t="str">
        <f t="shared" si="9"/>
        <v/>
      </c>
      <c r="W25" s="78"/>
      <c r="X25" s="23"/>
    </row>
    <row r="26" spans="1:24" s="12" customFormat="1" ht="18" customHeight="1">
      <c r="A26" s="23"/>
      <c r="B26" s="44"/>
      <c r="C26" s="46"/>
      <c r="D26" s="40"/>
      <c r="E26" s="41"/>
      <c r="F26" s="42"/>
      <c r="G26" s="42"/>
      <c r="H26" s="43"/>
      <c r="I26" s="29"/>
      <c r="J26" s="29"/>
      <c r="K26" s="30"/>
      <c r="L26" s="30"/>
      <c r="M26" s="30"/>
      <c r="N26" s="23"/>
      <c r="O26" s="31" t="str">
        <f t="shared" si="4"/>
        <v xml:space="preserve"> </v>
      </c>
      <c r="P26" s="32" t="str">
        <f t="shared" si="5"/>
        <v xml:space="preserve"> </v>
      </c>
      <c r="Q26" s="32" t="str">
        <f t="shared" si="6"/>
        <v xml:space="preserve"> </v>
      </c>
      <c r="R26" s="36" t="str">
        <f t="shared" si="16"/>
        <v xml:space="preserve"> </v>
      </c>
      <c r="S26" s="37" t="str">
        <f t="shared" si="7"/>
        <v xml:space="preserve"> </v>
      </c>
      <c r="T26" s="37" t="str">
        <f t="shared" si="8"/>
        <v xml:space="preserve"> </v>
      </c>
      <c r="U26" s="38" t="str">
        <f t="shared" si="1"/>
        <v xml:space="preserve"> </v>
      </c>
      <c r="V26" s="38" t="str">
        <f t="shared" si="9"/>
        <v/>
      </c>
      <c r="W26" s="78"/>
      <c r="X26" s="23"/>
    </row>
    <row r="27" spans="1:24" s="12" customFormat="1" ht="18" customHeight="1">
      <c r="A27" s="23"/>
      <c r="B27" s="44"/>
      <c r="C27" s="46"/>
      <c r="D27" s="40"/>
      <c r="E27" s="41"/>
      <c r="F27" s="42"/>
      <c r="G27" s="42"/>
      <c r="H27" s="43"/>
      <c r="I27" s="29"/>
      <c r="J27" s="29"/>
      <c r="K27" s="30"/>
      <c r="L27" s="30"/>
      <c r="M27" s="30"/>
      <c r="N27" s="23"/>
      <c r="O27" s="31" t="str">
        <f t="shared" si="4"/>
        <v xml:space="preserve"> </v>
      </c>
      <c r="P27" s="32" t="str">
        <f t="shared" si="5"/>
        <v xml:space="preserve"> </v>
      </c>
      <c r="Q27" s="32" t="str">
        <f t="shared" si="6"/>
        <v xml:space="preserve"> </v>
      </c>
      <c r="R27" s="36" t="str">
        <f t="shared" si="16"/>
        <v xml:space="preserve"> </v>
      </c>
      <c r="S27" s="37" t="str">
        <f t="shared" si="7"/>
        <v xml:space="preserve"> </v>
      </c>
      <c r="T27" s="37" t="str">
        <f t="shared" si="8"/>
        <v xml:space="preserve"> </v>
      </c>
      <c r="U27" s="38" t="str">
        <f t="shared" si="1"/>
        <v xml:space="preserve"> </v>
      </c>
      <c r="V27" s="38" t="str">
        <f t="shared" si="9"/>
        <v/>
      </c>
      <c r="W27" s="76"/>
      <c r="X27" s="23"/>
    </row>
    <row r="28" spans="1:24" s="12" customFormat="1" ht="18" customHeight="1">
      <c r="A28" s="23"/>
      <c r="B28" s="44"/>
      <c r="C28" s="67"/>
      <c r="D28" s="40"/>
      <c r="E28" s="41"/>
      <c r="F28" s="42"/>
      <c r="G28" s="42"/>
      <c r="H28" s="43"/>
      <c r="I28" s="29"/>
      <c r="J28" s="29"/>
      <c r="K28" s="30"/>
      <c r="L28" s="30"/>
      <c r="M28" s="30"/>
      <c r="N28" s="23"/>
      <c r="O28" s="31" t="str">
        <f t="shared" si="4"/>
        <v xml:space="preserve"> </v>
      </c>
      <c r="P28" s="32" t="str">
        <f t="shared" si="5"/>
        <v xml:space="preserve"> </v>
      </c>
      <c r="Q28" s="32" t="str">
        <f t="shared" si="6"/>
        <v xml:space="preserve"> </v>
      </c>
      <c r="R28" s="36" t="str">
        <f t="shared" si="16"/>
        <v xml:space="preserve"> </v>
      </c>
      <c r="S28" s="37" t="str">
        <f t="shared" si="7"/>
        <v xml:space="preserve"> </v>
      </c>
      <c r="T28" s="37" t="str">
        <f t="shared" si="8"/>
        <v xml:space="preserve"> </v>
      </c>
      <c r="U28" s="38" t="str">
        <f t="shared" si="1"/>
        <v xml:space="preserve"> </v>
      </c>
      <c r="V28" s="38" t="str">
        <f t="shared" si="9"/>
        <v/>
      </c>
      <c r="W28" s="76"/>
      <c r="X28" s="23"/>
    </row>
    <row r="29" spans="1:24" s="12" customFormat="1" ht="18" customHeight="1">
      <c r="A29" s="23"/>
      <c r="B29" s="44"/>
      <c r="C29" s="68"/>
      <c r="D29" s="40"/>
      <c r="E29" s="41"/>
      <c r="F29" s="42"/>
      <c r="G29" s="42"/>
      <c r="H29" s="43"/>
      <c r="I29" s="29"/>
      <c r="J29" s="29"/>
      <c r="K29" s="30"/>
      <c r="L29" s="30"/>
      <c r="M29" s="30"/>
      <c r="N29" s="23"/>
      <c r="O29" s="31" t="str">
        <f t="shared" si="4"/>
        <v xml:space="preserve"> </v>
      </c>
      <c r="P29" s="32" t="str">
        <f t="shared" si="5"/>
        <v xml:space="preserve"> </v>
      </c>
      <c r="Q29" s="32" t="str">
        <f t="shared" si="6"/>
        <v xml:space="preserve"> </v>
      </c>
      <c r="R29" s="36" t="str">
        <f t="shared" si="16"/>
        <v xml:space="preserve"> </v>
      </c>
      <c r="S29" s="37" t="str">
        <f t="shared" si="7"/>
        <v xml:space="preserve"> </v>
      </c>
      <c r="T29" s="37" t="str">
        <f t="shared" si="8"/>
        <v xml:space="preserve"> </v>
      </c>
      <c r="U29" s="38" t="str">
        <f t="shared" si="1"/>
        <v xml:space="preserve"> </v>
      </c>
      <c r="V29" s="38" t="str">
        <f t="shared" si="9"/>
        <v/>
      </c>
      <c r="W29" s="76"/>
      <c r="X29" s="23"/>
    </row>
    <row r="30" spans="1:24" s="12" customFormat="1" ht="18" customHeight="1">
      <c r="A30" s="23"/>
      <c r="B30" s="44"/>
      <c r="C30" s="65"/>
      <c r="D30" s="40"/>
      <c r="E30" s="41"/>
      <c r="F30" s="42"/>
      <c r="G30" s="42"/>
      <c r="H30" s="43"/>
      <c r="I30" s="29"/>
      <c r="J30" s="29"/>
      <c r="K30" s="30"/>
      <c r="L30" s="30"/>
      <c r="M30" s="30"/>
      <c r="N30" s="23"/>
      <c r="O30" s="31" t="str">
        <f t="shared" ref="O30:O35" si="17">IF(ISERR(K30/K30)=TRUE," ",K30-$E30)</f>
        <v xml:space="preserve"> </v>
      </c>
      <c r="P30" s="32" t="str">
        <f t="shared" ref="P30:P35" si="18">IF(ISERR(L30/L30)=TRUE," ",L30-$E30)</f>
        <v xml:space="preserve"> </v>
      </c>
      <c r="Q30" s="32" t="str">
        <f t="shared" ref="Q30:Q35" si="19">IF(ISERR(M30/M30)=TRUE," ",M30-$E30)</f>
        <v xml:space="preserve"> </v>
      </c>
      <c r="R30" s="36" t="str">
        <f t="shared" si="16"/>
        <v xml:space="preserve"> </v>
      </c>
      <c r="S30" s="37" t="str">
        <f t="shared" si="7"/>
        <v xml:space="preserve"> </v>
      </c>
      <c r="T30" s="37" t="str">
        <f t="shared" ref="T30:T35" si="20">IF(ISERR(G30/E30)=TRUE," ",IF(ISERR(G30/G30)=TRUE," ",IF(ISERR(K30/K30)=TRUE," ",IF(ISNUMBER(K30)=FALSE," ",IF(MIN(K30:M30)&gt;$E30,0,($E30-MIN(K30:M30))/-G30)))))</f>
        <v xml:space="preserve"> </v>
      </c>
      <c r="U30" s="38" t="str">
        <f t="shared" si="1"/>
        <v xml:space="preserve"> </v>
      </c>
      <c r="V30" s="38" t="str">
        <f t="shared" ref="V30:V35" si="21">IF(K30="","",IF(ISERR(G30/G30)=TRUE," ",IF(ISERR(G30/E30)=TRUE,IF((G30-MIN(K30:M30))&gt;0.001,"Reject",""),IF(ISNUMBER($T30)=TRUE,IF($T30&gt;0.651,IF($T30&gt;1.001,"Reject","Alert")," ")," "))))</f>
        <v/>
      </c>
      <c r="W30" s="78"/>
      <c r="X30" s="23"/>
    </row>
    <row r="31" spans="1:24" s="12" customFormat="1" ht="18" customHeight="1">
      <c r="A31" s="23"/>
      <c r="B31" s="44"/>
      <c r="C31" s="66"/>
      <c r="D31" s="40"/>
      <c r="E31" s="41"/>
      <c r="F31" s="42"/>
      <c r="G31" s="42"/>
      <c r="H31" s="43"/>
      <c r="I31" s="29"/>
      <c r="J31" s="29"/>
      <c r="K31" s="30"/>
      <c r="L31" s="30"/>
      <c r="M31" s="30"/>
      <c r="N31" s="23"/>
      <c r="O31" s="31" t="str">
        <f t="shared" si="17"/>
        <v xml:space="preserve"> </v>
      </c>
      <c r="P31" s="32" t="str">
        <f t="shared" si="18"/>
        <v xml:space="preserve"> </v>
      </c>
      <c r="Q31" s="32" t="str">
        <f t="shared" si="19"/>
        <v xml:space="preserve"> </v>
      </c>
      <c r="R31" s="36" t="str">
        <f t="shared" si="16"/>
        <v xml:space="preserve"> </v>
      </c>
      <c r="S31" s="37" t="str">
        <f t="shared" si="7"/>
        <v xml:space="preserve"> </v>
      </c>
      <c r="T31" s="37" t="str">
        <f t="shared" si="20"/>
        <v xml:space="preserve"> </v>
      </c>
      <c r="U31" s="38" t="str">
        <f t="shared" si="1"/>
        <v xml:space="preserve"> </v>
      </c>
      <c r="V31" s="38" t="str">
        <f t="shared" si="21"/>
        <v/>
      </c>
      <c r="W31" s="76"/>
      <c r="X31" s="23"/>
    </row>
    <row r="32" spans="1:24" s="12" customFormat="1" ht="18" customHeight="1">
      <c r="A32" s="23"/>
      <c r="B32" s="44"/>
      <c r="C32" s="66"/>
      <c r="D32" s="40"/>
      <c r="E32" s="41"/>
      <c r="F32" s="42"/>
      <c r="G32" s="42"/>
      <c r="H32" s="43"/>
      <c r="I32" s="29"/>
      <c r="J32" s="29"/>
      <c r="K32" s="30"/>
      <c r="L32" s="30"/>
      <c r="M32" s="30"/>
      <c r="N32" s="23"/>
      <c r="O32" s="31" t="str">
        <f t="shared" si="17"/>
        <v xml:space="preserve"> </v>
      </c>
      <c r="P32" s="32" t="str">
        <f t="shared" si="18"/>
        <v xml:space="preserve"> </v>
      </c>
      <c r="Q32" s="32" t="str">
        <f t="shared" si="19"/>
        <v xml:space="preserve"> </v>
      </c>
      <c r="R32" s="36" t="str">
        <f t="shared" si="16"/>
        <v xml:space="preserve"> </v>
      </c>
      <c r="S32" s="37" t="str">
        <f t="shared" si="7"/>
        <v xml:space="preserve"> </v>
      </c>
      <c r="T32" s="37" t="str">
        <f t="shared" si="20"/>
        <v xml:space="preserve"> </v>
      </c>
      <c r="U32" s="38" t="str">
        <f t="shared" si="1"/>
        <v xml:space="preserve"> </v>
      </c>
      <c r="V32" s="38" t="str">
        <f t="shared" si="21"/>
        <v/>
      </c>
      <c r="W32" s="76"/>
      <c r="X32" s="23"/>
    </row>
    <row r="33" spans="1:24" s="12" customFormat="1" ht="18" customHeight="1">
      <c r="A33" s="23"/>
      <c r="B33" s="44"/>
      <c r="C33" s="66"/>
      <c r="D33" s="40"/>
      <c r="E33" s="41"/>
      <c r="F33" s="42"/>
      <c r="G33" s="42"/>
      <c r="H33" s="43"/>
      <c r="I33" s="29"/>
      <c r="J33" s="29"/>
      <c r="K33" s="30"/>
      <c r="L33" s="30"/>
      <c r="M33" s="30"/>
      <c r="N33" s="23"/>
      <c r="O33" s="31" t="str">
        <f t="shared" si="17"/>
        <v xml:space="preserve"> </v>
      </c>
      <c r="P33" s="32" t="str">
        <f t="shared" si="18"/>
        <v xml:space="preserve"> </v>
      </c>
      <c r="Q33" s="32" t="str">
        <f t="shared" si="19"/>
        <v xml:space="preserve"> </v>
      </c>
      <c r="R33" s="36" t="str">
        <f t="shared" si="16"/>
        <v xml:space="preserve"> </v>
      </c>
      <c r="S33" s="37" t="str">
        <f t="shared" si="7"/>
        <v xml:space="preserve"> </v>
      </c>
      <c r="T33" s="37" t="str">
        <f t="shared" si="20"/>
        <v xml:space="preserve"> </v>
      </c>
      <c r="U33" s="38" t="str">
        <f t="shared" si="1"/>
        <v xml:space="preserve"> </v>
      </c>
      <c r="V33" s="38" t="str">
        <f t="shared" si="21"/>
        <v/>
      </c>
      <c r="W33" s="76"/>
      <c r="X33" s="23"/>
    </row>
    <row r="34" spans="1:24" s="12" customFormat="1" ht="18" customHeight="1">
      <c r="A34" s="23"/>
      <c r="B34" s="44"/>
      <c r="C34" s="66"/>
      <c r="D34" s="40"/>
      <c r="E34" s="41"/>
      <c r="F34" s="42"/>
      <c r="G34" s="42"/>
      <c r="H34" s="43"/>
      <c r="I34" s="29"/>
      <c r="J34" s="29"/>
      <c r="K34" s="30"/>
      <c r="L34" s="30"/>
      <c r="M34" s="30"/>
      <c r="N34" s="23"/>
      <c r="O34" s="31" t="str">
        <f t="shared" si="17"/>
        <v xml:space="preserve"> </v>
      </c>
      <c r="P34" s="32" t="str">
        <f t="shared" si="18"/>
        <v xml:space="preserve"> </v>
      </c>
      <c r="Q34" s="32" t="str">
        <f t="shared" si="19"/>
        <v xml:space="preserve"> </v>
      </c>
      <c r="R34" s="36" t="str">
        <f t="shared" si="16"/>
        <v xml:space="preserve"> </v>
      </c>
      <c r="S34" s="37" t="str">
        <f t="shared" si="7"/>
        <v xml:space="preserve"> </v>
      </c>
      <c r="T34" s="37" t="str">
        <f t="shared" si="20"/>
        <v xml:space="preserve"> </v>
      </c>
      <c r="U34" s="38" t="str">
        <f t="shared" si="1"/>
        <v xml:space="preserve"> </v>
      </c>
      <c r="V34" s="38" t="str">
        <f t="shared" si="21"/>
        <v/>
      </c>
      <c r="W34" s="76"/>
      <c r="X34" s="23"/>
    </row>
    <row r="35" spans="1:24" s="12" customFormat="1" ht="18" customHeight="1">
      <c r="A35" s="23"/>
      <c r="B35" s="44"/>
      <c r="C35" s="66"/>
      <c r="D35" s="40"/>
      <c r="E35" s="41"/>
      <c r="F35" s="42"/>
      <c r="G35" s="42"/>
      <c r="H35" s="43"/>
      <c r="I35" s="29"/>
      <c r="J35" s="29"/>
      <c r="K35" s="30"/>
      <c r="L35" s="30"/>
      <c r="M35" s="30"/>
      <c r="N35" s="23"/>
      <c r="O35" s="31" t="str">
        <f t="shared" si="17"/>
        <v xml:space="preserve"> </v>
      </c>
      <c r="P35" s="32" t="str">
        <f t="shared" si="18"/>
        <v xml:space="preserve"> </v>
      </c>
      <c r="Q35" s="32" t="str">
        <f t="shared" si="19"/>
        <v xml:space="preserve"> </v>
      </c>
      <c r="R35" s="36" t="str">
        <f t="shared" si="16"/>
        <v xml:space="preserve"> </v>
      </c>
      <c r="S35" s="37" t="str">
        <f t="shared" si="7"/>
        <v xml:space="preserve"> </v>
      </c>
      <c r="T35" s="37" t="str">
        <f t="shared" si="20"/>
        <v xml:space="preserve"> </v>
      </c>
      <c r="U35" s="38" t="str">
        <f t="shared" si="1"/>
        <v xml:space="preserve"> </v>
      </c>
      <c r="V35" s="38" t="str">
        <f t="shared" si="21"/>
        <v/>
      </c>
      <c r="W35" s="76"/>
      <c r="X35" s="23"/>
    </row>
    <row r="36" spans="1:24" s="12" customFormat="1" ht="18" customHeight="1">
      <c r="A36" s="23"/>
      <c r="B36" s="44"/>
      <c r="C36" s="46"/>
      <c r="D36" s="40"/>
      <c r="E36" s="41"/>
      <c r="F36" s="42"/>
      <c r="G36" s="42"/>
      <c r="H36" s="43"/>
      <c r="I36" s="29"/>
      <c r="J36" s="29"/>
      <c r="K36" s="30"/>
      <c r="L36" s="30"/>
      <c r="M36" s="30"/>
      <c r="N36" s="23"/>
      <c r="O36" s="31" t="str">
        <f t="shared" ref="O36:O39" si="22">IF(ISERR(K36/K36)=TRUE," ",K36-$E36)</f>
        <v xml:space="preserve"> </v>
      </c>
      <c r="P36" s="32" t="str">
        <f t="shared" ref="P36:P39" si="23">IF(ISERR(L36/L36)=TRUE," ",L36-$E36)</f>
        <v xml:space="preserve"> </v>
      </c>
      <c r="Q36" s="32" t="str">
        <f t="shared" ref="Q36:Q39" si="24">IF(ISERR(M36/M36)=TRUE," ",M36-$E36)</f>
        <v xml:space="preserve"> </v>
      </c>
      <c r="R36" s="36" t="str">
        <f t="shared" ref="R36:R39" si="25">IF(ISERR(K36/K36)=TRUE," ",AVERAGE(K36:M36))</f>
        <v xml:space="preserve"> </v>
      </c>
      <c r="S36" s="37" t="str">
        <f t="shared" ref="S36:S39" si="26">IF(ISERR(F36/F36)=TRUE," ",IF(ISERR(K36/K36)=TRUE," ",IF(ISNUMBER($K36)=FALSE," ",IF(MAX($K36:$M36)&lt;$E36,0,(MAX($K36:$M36)-$E36)/$F36))))</f>
        <v xml:space="preserve"> </v>
      </c>
      <c r="T36" s="37" t="str">
        <f t="shared" ref="T36:T39" si="27">IF(ISERR(G36/E36)=TRUE," ",IF(ISERR(G36/G36)=TRUE," ",IF(ISERR(K36/K36)=TRUE," ",IF(ISNUMBER(K36)=FALSE," ",IF(MIN(K36:M36)&gt;$E36,0,($E36-MIN(K36:M36))/-G36)))))</f>
        <v xml:space="preserve"> </v>
      </c>
      <c r="U36" s="38" t="str">
        <f t="shared" si="1"/>
        <v xml:space="preserve"> </v>
      </c>
      <c r="V36" s="38" t="str">
        <f t="shared" ref="V36:V39" si="28">IF(K36="","",IF(ISERR(G36/G36)=TRUE," ",IF(ISERR(G36/E36)=TRUE,IF((G36-MIN(K36:M36))&gt;0.001,"Reject",""),IF(ISNUMBER($T36)=TRUE,IF($T36&gt;0.651,IF($T36&gt;1.001,"Reject","Alert")," ")," "))))</f>
        <v/>
      </c>
      <c r="W36" s="77"/>
      <c r="X36" s="23"/>
    </row>
    <row r="37" spans="1:24" s="12" customFormat="1" ht="18" customHeight="1">
      <c r="A37" s="23"/>
      <c r="B37" s="44"/>
      <c r="C37" s="63"/>
      <c r="D37" s="40"/>
      <c r="E37" s="41"/>
      <c r="F37" s="42"/>
      <c r="G37" s="42"/>
      <c r="H37" s="43"/>
      <c r="I37" s="29"/>
      <c r="J37" s="29"/>
      <c r="K37" s="30"/>
      <c r="L37" s="30"/>
      <c r="M37" s="30"/>
      <c r="N37" s="23"/>
      <c r="O37" s="31" t="str">
        <f t="shared" si="22"/>
        <v xml:space="preserve"> </v>
      </c>
      <c r="P37" s="32" t="str">
        <f t="shared" si="23"/>
        <v xml:space="preserve"> </v>
      </c>
      <c r="Q37" s="32" t="str">
        <f t="shared" si="24"/>
        <v xml:space="preserve"> </v>
      </c>
      <c r="R37" s="36" t="str">
        <f t="shared" si="25"/>
        <v xml:space="preserve"> </v>
      </c>
      <c r="S37" s="37" t="str">
        <f t="shared" si="26"/>
        <v xml:space="preserve"> </v>
      </c>
      <c r="T37" s="37" t="str">
        <f t="shared" si="27"/>
        <v xml:space="preserve"> </v>
      </c>
      <c r="U37" s="38" t="str">
        <f t="shared" si="1"/>
        <v xml:space="preserve"> </v>
      </c>
      <c r="V37" s="38" t="str">
        <f t="shared" si="28"/>
        <v/>
      </c>
      <c r="W37" s="76"/>
      <c r="X37" s="23"/>
    </row>
    <row r="38" spans="1:24" s="12" customFormat="1" ht="18" customHeight="1">
      <c r="A38" s="23"/>
      <c r="B38" s="44"/>
      <c r="C38" s="63"/>
      <c r="D38" s="40"/>
      <c r="E38" s="41"/>
      <c r="F38" s="42"/>
      <c r="G38" s="42"/>
      <c r="H38" s="43"/>
      <c r="I38" s="29"/>
      <c r="J38" s="29"/>
      <c r="K38" s="30"/>
      <c r="L38" s="30"/>
      <c r="M38" s="30"/>
      <c r="N38" s="23"/>
      <c r="O38" s="31" t="str">
        <f t="shared" si="22"/>
        <v xml:space="preserve"> </v>
      </c>
      <c r="P38" s="32" t="str">
        <f t="shared" si="23"/>
        <v xml:space="preserve"> </v>
      </c>
      <c r="Q38" s="32" t="str">
        <f t="shared" si="24"/>
        <v xml:space="preserve"> </v>
      </c>
      <c r="R38" s="36" t="str">
        <f t="shared" si="25"/>
        <v xml:space="preserve"> </v>
      </c>
      <c r="S38" s="37" t="str">
        <f t="shared" si="26"/>
        <v xml:space="preserve"> </v>
      </c>
      <c r="T38" s="37" t="str">
        <f t="shared" si="27"/>
        <v xml:space="preserve"> </v>
      </c>
      <c r="U38" s="38" t="str">
        <f t="shared" si="1"/>
        <v xml:space="preserve"> </v>
      </c>
      <c r="V38" s="38" t="str">
        <f t="shared" si="28"/>
        <v/>
      </c>
      <c r="W38" s="76"/>
      <c r="X38" s="23"/>
    </row>
    <row r="39" spans="1:24" s="12" customFormat="1" ht="18" customHeight="1">
      <c r="A39" s="23"/>
      <c r="B39" s="44"/>
      <c r="C39" s="63"/>
      <c r="D39" s="40"/>
      <c r="E39" s="41"/>
      <c r="F39" s="42"/>
      <c r="G39" s="42"/>
      <c r="H39" s="43"/>
      <c r="I39" s="29"/>
      <c r="J39" s="29"/>
      <c r="K39" s="30"/>
      <c r="L39" s="30"/>
      <c r="M39" s="30"/>
      <c r="N39" s="23"/>
      <c r="O39" s="31" t="str">
        <f t="shared" si="22"/>
        <v xml:space="preserve"> </v>
      </c>
      <c r="P39" s="32" t="str">
        <f t="shared" si="23"/>
        <v xml:space="preserve"> </v>
      </c>
      <c r="Q39" s="32" t="str">
        <f t="shared" si="24"/>
        <v xml:space="preserve"> </v>
      </c>
      <c r="R39" s="36" t="str">
        <f t="shared" si="25"/>
        <v xml:space="preserve"> </v>
      </c>
      <c r="S39" s="37" t="str">
        <f t="shared" si="26"/>
        <v xml:space="preserve"> </v>
      </c>
      <c r="T39" s="37" t="str">
        <f t="shared" si="27"/>
        <v xml:space="preserve"> </v>
      </c>
      <c r="U39" s="38" t="str">
        <f t="shared" si="1"/>
        <v xml:space="preserve"> </v>
      </c>
      <c r="V39" s="38" t="str">
        <f t="shared" si="28"/>
        <v/>
      </c>
      <c r="W39" s="76"/>
      <c r="X39" s="23"/>
    </row>
    <row r="40" spans="1:24" s="12" customFormat="1" ht="18" customHeight="1">
      <c r="A40" s="23"/>
      <c r="B40" s="44"/>
      <c r="C40" s="46"/>
      <c r="D40" s="40"/>
      <c r="E40" s="41"/>
      <c r="F40" s="42"/>
      <c r="G40" s="42"/>
      <c r="H40" s="43"/>
      <c r="I40" s="29"/>
      <c r="J40" s="29"/>
      <c r="K40" s="30"/>
      <c r="L40" s="30"/>
      <c r="M40" s="30"/>
      <c r="N40" s="23"/>
      <c r="O40" s="31" t="str">
        <f t="shared" si="4"/>
        <v xml:space="preserve"> </v>
      </c>
      <c r="P40" s="32" t="str">
        <f t="shared" si="5"/>
        <v xml:space="preserve"> </v>
      </c>
      <c r="Q40" s="32" t="str">
        <f t="shared" si="6"/>
        <v xml:space="preserve"> </v>
      </c>
      <c r="R40" s="36" t="str">
        <f t="shared" si="16"/>
        <v xml:space="preserve"> </v>
      </c>
      <c r="S40" s="37" t="str">
        <f t="shared" si="7"/>
        <v xml:space="preserve"> </v>
      </c>
      <c r="T40" s="37" t="str">
        <f t="shared" si="8"/>
        <v xml:space="preserve"> </v>
      </c>
      <c r="U40" s="38" t="str">
        <f t="shared" si="1"/>
        <v xml:space="preserve"> </v>
      </c>
      <c r="V40" s="38" t="str">
        <f t="shared" si="9"/>
        <v/>
      </c>
      <c r="W40" s="76"/>
      <c r="X40" s="23"/>
    </row>
    <row r="41" spans="1:24" s="12" customFormat="1" ht="18" customHeight="1">
      <c r="A41" s="23"/>
      <c r="B41" s="44"/>
      <c r="C41" s="46"/>
      <c r="D41" s="40"/>
      <c r="E41" s="41"/>
      <c r="F41" s="42"/>
      <c r="G41" s="42"/>
      <c r="H41" s="43"/>
      <c r="I41" s="29"/>
      <c r="J41" s="29"/>
      <c r="K41" s="30"/>
      <c r="L41" s="30"/>
      <c r="M41" s="30"/>
      <c r="N41" s="23"/>
      <c r="O41" s="31" t="str">
        <f t="shared" si="4"/>
        <v xml:space="preserve"> </v>
      </c>
      <c r="P41" s="32" t="str">
        <f t="shared" si="5"/>
        <v xml:space="preserve"> </v>
      </c>
      <c r="Q41" s="32" t="str">
        <f t="shared" si="6"/>
        <v xml:space="preserve"> </v>
      </c>
      <c r="R41" s="36" t="str">
        <f t="shared" ref="R41:R73" si="29">IF(ISERR(K41/K41)=TRUE," ",AVERAGE(K41:M41))</f>
        <v xml:space="preserve"> </v>
      </c>
      <c r="S41" s="37" t="str">
        <f t="shared" ref="S41:S73" si="30">IF(ISERR(F41/F41)=TRUE," ",IF(ISERR(K41/K41)=TRUE," ",IF(ISNUMBER($K41)=FALSE," ",IF(MAX($K41:$M41)&lt;$E41,0,(MAX($K41:$M41)-$E41)/$F41))))</f>
        <v xml:space="preserve"> </v>
      </c>
      <c r="T41" s="37" t="str">
        <f t="shared" si="8"/>
        <v xml:space="preserve"> </v>
      </c>
      <c r="U41" s="38" t="str">
        <f t="shared" si="1"/>
        <v xml:space="preserve"> </v>
      </c>
      <c r="V41" s="38" t="str">
        <f t="shared" si="9"/>
        <v/>
      </c>
      <c r="W41" s="76"/>
      <c r="X41" s="23"/>
    </row>
    <row r="42" spans="1:24" s="12" customFormat="1" ht="18" customHeight="1">
      <c r="A42" s="23"/>
      <c r="B42" s="44"/>
      <c r="C42" s="46"/>
      <c r="D42" s="40"/>
      <c r="E42" s="41"/>
      <c r="F42" s="42"/>
      <c r="G42" s="42"/>
      <c r="H42" s="43"/>
      <c r="I42" s="29"/>
      <c r="J42" s="29"/>
      <c r="K42" s="30"/>
      <c r="L42" s="30"/>
      <c r="M42" s="30"/>
      <c r="N42" s="23"/>
      <c r="O42" s="31" t="str">
        <f t="shared" ref="O42" si="31">IF(ISERR(K42/K42)=TRUE," ",K42-$E42)</f>
        <v xml:space="preserve"> </v>
      </c>
      <c r="P42" s="32" t="str">
        <f t="shared" ref="P42" si="32">IF(ISERR(L42/L42)=TRUE," ",L42-$E42)</f>
        <v xml:space="preserve"> </v>
      </c>
      <c r="Q42" s="32" t="str">
        <f t="shared" ref="Q42" si="33">IF(ISERR(M42/M42)=TRUE," ",M42-$E42)</f>
        <v xml:space="preserve"> </v>
      </c>
      <c r="R42" s="36" t="str">
        <f t="shared" ref="R42" si="34">IF(ISERR(K42/K42)=TRUE," ",AVERAGE(K42:M42))</f>
        <v xml:space="preserve"> </v>
      </c>
      <c r="S42" s="37" t="str">
        <f t="shared" ref="S42" si="35">IF(ISERR(F42/F42)=TRUE," ",IF(ISERR(K42/K42)=TRUE," ",IF(ISNUMBER($K42)=FALSE," ",IF(MAX($K42:$M42)&lt;$E42,0,(MAX($K42:$M42)-$E42)/$F42))))</f>
        <v xml:space="preserve"> </v>
      </c>
      <c r="T42" s="37" t="str">
        <f t="shared" ref="T42" si="36">IF(ISERR(G42/E42)=TRUE," ",IF(ISERR(G42/G42)=TRUE," ",IF(ISERR(K42/K42)=TRUE," ",IF(ISNUMBER(K42)=FALSE," ",IF(MIN(K42:M42)&gt;$E42,0,($E42-MIN(K42:M42))/-G42)))))</f>
        <v xml:space="preserve"> </v>
      </c>
      <c r="U42" s="38" t="str">
        <f t="shared" si="1"/>
        <v xml:space="preserve"> </v>
      </c>
      <c r="V42" s="38" t="str">
        <f t="shared" ref="V42" si="37">IF(K42="","",IF(ISERR(G42/G42)=TRUE," ",IF(ISERR(G42/E42)=TRUE,IF((G42-MIN(K42:M42))&gt;0.001,"Reject",""),IF(ISNUMBER($T42)=TRUE,IF($T42&gt;0.651,IF($T42&gt;1.001,"Reject","Alert")," ")," "))))</f>
        <v/>
      </c>
      <c r="W42" s="76"/>
      <c r="X42" s="23"/>
    </row>
    <row r="43" spans="1:24" s="12" customFormat="1" ht="18" customHeight="1">
      <c r="A43" s="23"/>
      <c r="B43" s="44"/>
      <c r="C43" s="46"/>
      <c r="D43" s="40"/>
      <c r="E43" s="41"/>
      <c r="F43" s="42"/>
      <c r="G43" s="42"/>
      <c r="H43" s="43"/>
      <c r="I43" s="29"/>
      <c r="J43" s="29"/>
      <c r="K43" s="30"/>
      <c r="L43" s="30"/>
      <c r="M43" s="30"/>
      <c r="N43" s="23"/>
      <c r="O43" s="31" t="str">
        <f t="shared" si="4"/>
        <v xml:space="preserve"> </v>
      </c>
      <c r="P43" s="32" t="str">
        <f t="shared" si="5"/>
        <v xml:space="preserve"> </v>
      </c>
      <c r="Q43" s="32" t="str">
        <f t="shared" si="6"/>
        <v xml:space="preserve"> </v>
      </c>
      <c r="R43" s="36" t="str">
        <f t="shared" si="29"/>
        <v xml:space="preserve"> </v>
      </c>
      <c r="S43" s="37" t="str">
        <f t="shared" si="30"/>
        <v xml:space="preserve"> </v>
      </c>
      <c r="T43" s="37" t="str">
        <f t="shared" si="8"/>
        <v xml:space="preserve"> </v>
      </c>
      <c r="U43" s="38" t="str">
        <f t="shared" si="1"/>
        <v xml:space="preserve"> </v>
      </c>
      <c r="V43" s="38" t="str">
        <f t="shared" si="9"/>
        <v/>
      </c>
      <c r="W43" s="76"/>
      <c r="X43" s="23"/>
    </row>
    <row r="44" spans="1:24" s="12" customFormat="1" ht="18" customHeight="1">
      <c r="A44" s="23"/>
      <c r="B44" s="44"/>
      <c r="C44" s="47"/>
      <c r="D44" s="40"/>
      <c r="E44" s="41"/>
      <c r="F44" s="42"/>
      <c r="G44" s="42"/>
      <c r="H44" s="43"/>
      <c r="I44" s="29"/>
      <c r="J44" s="29"/>
      <c r="K44" s="30"/>
      <c r="L44" s="30"/>
      <c r="M44" s="30"/>
      <c r="N44" s="23"/>
      <c r="O44" s="31" t="str">
        <f t="shared" si="4"/>
        <v xml:space="preserve"> </v>
      </c>
      <c r="P44" s="32" t="str">
        <f t="shared" si="5"/>
        <v xml:space="preserve"> </v>
      </c>
      <c r="Q44" s="32" t="str">
        <f t="shared" si="6"/>
        <v xml:space="preserve"> </v>
      </c>
      <c r="R44" s="36" t="str">
        <f t="shared" si="29"/>
        <v xml:space="preserve"> </v>
      </c>
      <c r="S44" s="37" t="str">
        <f t="shared" si="30"/>
        <v xml:space="preserve"> </v>
      </c>
      <c r="T44" s="37" t="str">
        <f t="shared" si="8"/>
        <v xml:space="preserve"> </v>
      </c>
      <c r="U44" s="38" t="str">
        <f t="shared" si="1"/>
        <v xml:space="preserve"> </v>
      </c>
      <c r="V44" s="38" t="str">
        <f t="shared" si="9"/>
        <v/>
      </c>
      <c r="W44" s="76"/>
      <c r="X44" s="23"/>
    </row>
    <row r="45" spans="1:24" s="12" customFormat="1" ht="18" customHeight="1">
      <c r="A45" s="23"/>
      <c r="B45" s="44"/>
      <c r="C45" s="47"/>
      <c r="D45" s="40"/>
      <c r="E45" s="41"/>
      <c r="F45" s="42"/>
      <c r="G45" s="42"/>
      <c r="H45" s="43"/>
      <c r="I45" s="29"/>
      <c r="J45" s="29"/>
      <c r="K45" s="30"/>
      <c r="L45" s="30"/>
      <c r="M45" s="30"/>
      <c r="N45" s="23"/>
      <c r="O45" s="31" t="str">
        <f t="shared" si="4"/>
        <v xml:space="preserve"> </v>
      </c>
      <c r="P45" s="32" t="str">
        <f t="shared" si="5"/>
        <v xml:space="preserve"> </v>
      </c>
      <c r="Q45" s="32" t="str">
        <f t="shared" si="6"/>
        <v xml:space="preserve"> </v>
      </c>
      <c r="R45" s="36" t="str">
        <f t="shared" si="29"/>
        <v xml:space="preserve"> </v>
      </c>
      <c r="S45" s="37" t="str">
        <f t="shared" si="30"/>
        <v xml:space="preserve"> </v>
      </c>
      <c r="T45" s="37" t="str">
        <f t="shared" si="8"/>
        <v xml:space="preserve"> </v>
      </c>
      <c r="U45" s="38" t="str">
        <f t="shared" si="1"/>
        <v xml:space="preserve"> </v>
      </c>
      <c r="V45" s="38" t="str">
        <f t="shared" si="9"/>
        <v/>
      </c>
      <c r="W45" s="76"/>
      <c r="X45" s="23"/>
    </row>
    <row r="46" spans="1:24" s="12" customFormat="1" ht="18" customHeight="1">
      <c r="A46" s="23"/>
      <c r="B46" s="44"/>
      <c r="C46" s="69"/>
      <c r="D46" s="40"/>
      <c r="E46" s="41"/>
      <c r="F46" s="42"/>
      <c r="G46" s="42"/>
      <c r="H46" s="43"/>
      <c r="I46" s="29"/>
      <c r="J46" s="29"/>
      <c r="K46" s="30"/>
      <c r="L46" s="30"/>
      <c r="M46" s="30"/>
      <c r="N46" s="23"/>
      <c r="O46" s="31" t="str">
        <f t="shared" si="4"/>
        <v xml:space="preserve"> </v>
      </c>
      <c r="P46" s="32" t="str">
        <f t="shared" si="5"/>
        <v xml:space="preserve"> </v>
      </c>
      <c r="Q46" s="32" t="str">
        <f t="shared" si="6"/>
        <v xml:space="preserve"> </v>
      </c>
      <c r="R46" s="36" t="str">
        <f t="shared" si="29"/>
        <v xml:space="preserve"> </v>
      </c>
      <c r="S46" s="37" t="str">
        <f t="shared" si="30"/>
        <v xml:space="preserve"> </v>
      </c>
      <c r="T46" s="37" t="str">
        <f t="shared" si="8"/>
        <v xml:space="preserve"> </v>
      </c>
      <c r="U46" s="38" t="str">
        <f t="shared" si="1"/>
        <v xml:space="preserve"> </v>
      </c>
      <c r="V46" s="38" t="str">
        <f t="shared" si="9"/>
        <v/>
      </c>
      <c r="W46" s="76"/>
      <c r="X46" s="23"/>
    </row>
    <row r="47" spans="1:24" s="12" customFormat="1" ht="18" customHeight="1">
      <c r="A47" s="23"/>
      <c r="B47" s="44"/>
      <c r="C47" s="70"/>
      <c r="D47" s="40"/>
      <c r="E47" s="41"/>
      <c r="F47" s="42"/>
      <c r="G47" s="42"/>
      <c r="H47" s="43"/>
      <c r="I47" s="29"/>
      <c r="J47" s="29"/>
      <c r="K47" s="30"/>
      <c r="L47" s="30"/>
      <c r="M47" s="30"/>
      <c r="N47" s="23"/>
      <c r="O47" s="31" t="str">
        <f t="shared" si="4"/>
        <v xml:space="preserve"> </v>
      </c>
      <c r="P47" s="32" t="str">
        <f t="shared" si="5"/>
        <v xml:space="preserve"> </v>
      </c>
      <c r="Q47" s="32" t="str">
        <f t="shared" si="6"/>
        <v xml:space="preserve"> </v>
      </c>
      <c r="R47" s="36" t="str">
        <f t="shared" si="29"/>
        <v xml:space="preserve"> </v>
      </c>
      <c r="S47" s="37" t="str">
        <f t="shared" si="30"/>
        <v xml:space="preserve"> </v>
      </c>
      <c r="T47" s="37" t="str">
        <f t="shared" si="8"/>
        <v xml:space="preserve"> </v>
      </c>
      <c r="U47" s="38" t="str">
        <f t="shared" si="1"/>
        <v xml:space="preserve"> </v>
      </c>
      <c r="V47" s="38" t="str">
        <f t="shared" si="9"/>
        <v/>
      </c>
      <c r="W47" s="76"/>
      <c r="X47" s="23"/>
    </row>
    <row r="48" spans="1:24" s="12" customFormat="1" ht="18" customHeight="1">
      <c r="A48" s="23"/>
      <c r="B48" s="44"/>
      <c r="C48" s="71"/>
      <c r="D48" s="40"/>
      <c r="E48" s="41"/>
      <c r="F48" s="42"/>
      <c r="G48" s="42"/>
      <c r="H48" s="43"/>
      <c r="I48" s="29"/>
      <c r="J48" s="29"/>
      <c r="K48" s="30"/>
      <c r="L48" s="30"/>
      <c r="M48" s="30"/>
      <c r="N48" s="23"/>
      <c r="O48" s="31" t="str">
        <f t="shared" si="4"/>
        <v xml:space="preserve"> </v>
      </c>
      <c r="P48" s="32" t="str">
        <f t="shared" si="5"/>
        <v xml:space="preserve"> </v>
      </c>
      <c r="Q48" s="32" t="str">
        <f t="shared" si="6"/>
        <v xml:space="preserve"> </v>
      </c>
      <c r="R48" s="36" t="str">
        <f t="shared" si="29"/>
        <v xml:space="preserve"> </v>
      </c>
      <c r="S48" s="37" t="str">
        <f t="shared" si="30"/>
        <v xml:space="preserve"> </v>
      </c>
      <c r="T48" s="37" t="str">
        <f t="shared" si="8"/>
        <v xml:space="preserve"> </v>
      </c>
      <c r="U48" s="38" t="str">
        <f t="shared" si="1"/>
        <v xml:space="preserve"> </v>
      </c>
      <c r="V48" s="38" t="str">
        <f t="shared" si="9"/>
        <v/>
      </c>
      <c r="W48" s="76"/>
      <c r="X48" s="23"/>
    </row>
    <row r="49" spans="1:24" s="12" customFormat="1" ht="18" customHeight="1">
      <c r="A49" s="23"/>
      <c r="B49" s="44"/>
      <c r="C49" s="48"/>
      <c r="D49" s="40"/>
      <c r="E49" s="41"/>
      <c r="F49" s="42"/>
      <c r="G49" s="42"/>
      <c r="H49" s="43"/>
      <c r="I49" s="29"/>
      <c r="J49" s="29"/>
      <c r="K49" s="30"/>
      <c r="L49" s="30"/>
      <c r="M49" s="30"/>
      <c r="N49" s="23"/>
      <c r="O49" s="31" t="str">
        <f t="shared" si="4"/>
        <v xml:space="preserve"> </v>
      </c>
      <c r="P49" s="32" t="str">
        <f t="shared" si="5"/>
        <v xml:space="preserve"> </v>
      </c>
      <c r="Q49" s="32" t="str">
        <f t="shared" si="6"/>
        <v xml:space="preserve"> </v>
      </c>
      <c r="R49" s="36" t="str">
        <f t="shared" si="29"/>
        <v xml:space="preserve"> </v>
      </c>
      <c r="S49" s="37" t="str">
        <f t="shared" si="30"/>
        <v xml:space="preserve"> </v>
      </c>
      <c r="T49" s="37" t="str">
        <f t="shared" si="8"/>
        <v xml:space="preserve"> </v>
      </c>
      <c r="U49" s="38" t="str">
        <f t="shared" si="1"/>
        <v xml:space="preserve"> </v>
      </c>
      <c r="V49" s="38" t="str">
        <f t="shared" si="9"/>
        <v/>
      </c>
      <c r="W49" s="76"/>
      <c r="X49" s="23"/>
    </row>
    <row r="50" spans="1:24" s="12" customFormat="1" ht="18" customHeight="1">
      <c r="A50" s="23"/>
      <c r="B50" s="24"/>
      <c r="C50" s="80"/>
      <c r="D50" s="40"/>
      <c r="E50" s="41"/>
      <c r="F50" s="42"/>
      <c r="G50" s="42"/>
      <c r="H50" s="43"/>
      <c r="I50" s="29"/>
      <c r="J50" s="29"/>
      <c r="K50" s="30"/>
      <c r="L50" s="30"/>
      <c r="M50" s="30"/>
      <c r="N50" s="23"/>
      <c r="O50" s="31" t="str">
        <f t="shared" si="4"/>
        <v xml:space="preserve"> </v>
      </c>
      <c r="P50" s="32" t="str">
        <f t="shared" si="5"/>
        <v xml:space="preserve"> </v>
      </c>
      <c r="Q50" s="32" t="str">
        <f t="shared" si="6"/>
        <v xml:space="preserve"> </v>
      </c>
      <c r="R50" s="36" t="str">
        <f t="shared" si="29"/>
        <v xml:space="preserve"> </v>
      </c>
      <c r="S50" s="37" t="str">
        <f t="shared" si="30"/>
        <v xml:space="preserve"> </v>
      </c>
      <c r="T50" s="37" t="str">
        <f t="shared" si="8"/>
        <v xml:space="preserve"> </v>
      </c>
      <c r="U50" s="38" t="str">
        <f t="shared" si="1"/>
        <v xml:space="preserve"> </v>
      </c>
      <c r="V50" s="38" t="str">
        <f t="shared" si="9"/>
        <v/>
      </c>
      <c r="W50" s="76"/>
      <c r="X50" s="23"/>
    </row>
    <row r="51" spans="1:24" s="12" customFormat="1" ht="18" customHeight="1">
      <c r="A51" s="23"/>
      <c r="B51" s="39"/>
      <c r="C51" s="67"/>
      <c r="D51" s="40"/>
      <c r="E51" s="41"/>
      <c r="F51" s="42"/>
      <c r="G51" s="42"/>
      <c r="H51" s="43"/>
      <c r="I51" s="29"/>
      <c r="J51" s="29"/>
      <c r="K51" s="30"/>
      <c r="L51" s="30"/>
      <c r="M51" s="30"/>
      <c r="N51" s="23"/>
      <c r="O51" s="31" t="str">
        <f t="shared" si="4"/>
        <v xml:space="preserve"> </v>
      </c>
      <c r="P51" s="32" t="str">
        <f t="shared" si="5"/>
        <v xml:space="preserve"> </v>
      </c>
      <c r="Q51" s="32" t="str">
        <f t="shared" si="6"/>
        <v xml:space="preserve"> </v>
      </c>
      <c r="R51" s="36" t="str">
        <f t="shared" si="29"/>
        <v xml:space="preserve"> </v>
      </c>
      <c r="S51" s="37" t="str">
        <f t="shared" si="30"/>
        <v xml:space="preserve"> </v>
      </c>
      <c r="T51" s="37" t="str">
        <f t="shared" si="8"/>
        <v xml:space="preserve"> </v>
      </c>
      <c r="U51" s="38" t="str">
        <f t="shared" si="1"/>
        <v xml:space="preserve"> </v>
      </c>
      <c r="V51" s="38" t="str">
        <f t="shared" si="9"/>
        <v/>
      </c>
      <c r="W51" s="76"/>
      <c r="X51" s="23"/>
    </row>
    <row r="52" spans="1:24" s="12" customFormat="1" ht="18" customHeight="1">
      <c r="A52" s="23"/>
      <c r="B52" s="44"/>
      <c r="C52" s="67"/>
      <c r="D52" s="40"/>
      <c r="E52" s="41"/>
      <c r="F52" s="42"/>
      <c r="G52" s="42"/>
      <c r="H52" s="43"/>
      <c r="I52" s="29"/>
      <c r="J52" s="29"/>
      <c r="K52" s="30"/>
      <c r="L52" s="30"/>
      <c r="M52" s="30"/>
      <c r="N52" s="23"/>
      <c r="O52" s="31" t="str">
        <f t="shared" si="4"/>
        <v xml:space="preserve"> </v>
      </c>
      <c r="P52" s="32" t="str">
        <f t="shared" si="5"/>
        <v xml:space="preserve"> </v>
      </c>
      <c r="Q52" s="32" t="str">
        <f t="shared" si="6"/>
        <v xml:space="preserve"> </v>
      </c>
      <c r="R52" s="36" t="str">
        <f t="shared" si="29"/>
        <v xml:space="preserve"> </v>
      </c>
      <c r="S52" s="37" t="str">
        <f t="shared" si="30"/>
        <v xml:space="preserve"> </v>
      </c>
      <c r="T52" s="37" t="str">
        <f t="shared" si="8"/>
        <v xml:space="preserve"> </v>
      </c>
      <c r="U52" s="38" t="str">
        <f t="shared" si="1"/>
        <v xml:space="preserve"> </v>
      </c>
      <c r="V52" s="38" t="str">
        <f t="shared" si="9"/>
        <v/>
      </c>
      <c r="W52" s="76"/>
      <c r="X52" s="23"/>
    </row>
    <row r="53" spans="1:24" s="12" customFormat="1" ht="18" customHeight="1">
      <c r="A53" s="23"/>
      <c r="B53" s="44"/>
      <c r="C53" s="67"/>
      <c r="D53" s="40"/>
      <c r="E53" s="41"/>
      <c r="F53" s="42"/>
      <c r="G53" s="42"/>
      <c r="H53" s="43"/>
      <c r="I53" s="29"/>
      <c r="J53" s="29"/>
      <c r="K53" s="30"/>
      <c r="L53" s="30"/>
      <c r="M53" s="30"/>
      <c r="N53" s="23"/>
      <c r="O53" s="31" t="str">
        <f t="shared" si="4"/>
        <v xml:space="preserve"> </v>
      </c>
      <c r="P53" s="32" t="str">
        <f t="shared" si="5"/>
        <v xml:space="preserve"> </v>
      </c>
      <c r="Q53" s="32" t="str">
        <f t="shared" si="6"/>
        <v xml:space="preserve"> </v>
      </c>
      <c r="R53" s="36" t="str">
        <f t="shared" si="29"/>
        <v xml:space="preserve"> </v>
      </c>
      <c r="S53" s="37" t="str">
        <f t="shared" si="30"/>
        <v xml:space="preserve"> </v>
      </c>
      <c r="T53" s="37" t="str">
        <f t="shared" si="8"/>
        <v xml:space="preserve"> </v>
      </c>
      <c r="U53" s="38" t="str">
        <f t="shared" si="1"/>
        <v xml:space="preserve"> </v>
      </c>
      <c r="V53" s="38" t="str">
        <f t="shared" si="9"/>
        <v/>
      </c>
      <c r="W53" s="76"/>
      <c r="X53" s="23"/>
    </row>
    <row r="54" spans="1:24" s="12" customFormat="1" ht="18" customHeight="1">
      <c r="A54" s="23"/>
      <c r="B54" s="39"/>
      <c r="C54" s="67"/>
      <c r="D54" s="40"/>
      <c r="E54" s="41"/>
      <c r="F54" s="42"/>
      <c r="G54" s="42"/>
      <c r="H54" s="43"/>
      <c r="I54" s="29"/>
      <c r="J54" s="29"/>
      <c r="K54" s="30"/>
      <c r="L54" s="30"/>
      <c r="M54" s="30"/>
      <c r="N54" s="23"/>
      <c r="O54" s="31" t="str">
        <f t="shared" si="4"/>
        <v xml:space="preserve"> </v>
      </c>
      <c r="P54" s="32" t="str">
        <f t="shared" si="5"/>
        <v xml:space="preserve"> </v>
      </c>
      <c r="Q54" s="32" t="str">
        <f t="shared" si="6"/>
        <v xml:space="preserve"> </v>
      </c>
      <c r="R54" s="36" t="str">
        <f t="shared" si="29"/>
        <v xml:space="preserve"> </v>
      </c>
      <c r="S54" s="37" t="str">
        <f t="shared" si="30"/>
        <v xml:space="preserve"> </v>
      </c>
      <c r="T54" s="37" t="str">
        <f t="shared" si="8"/>
        <v xml:space="preserve"> </v>
      </c>
      <c r="U54" s="38" t="str">
        <f t="shared" si="1"/>
        <v xml:space="preserve"> </v>
      </c>
      <c r="V54" s="38" t="str">
        <f t="shared" si="9"/>
        <v/>
      </c>
      <c r="W54" s="76"/>
      <c r="X54" s="23"/>
    </row>
    <row r="55" spans="1:24" s="12" customFormat="1" ht="18" customHeight="1">
      <c r="A55" s="23"/>
      <c r="B55" s="44"/>
      <c r="C55" s="67"/>
      <c r="D55" s="40"/>
      <c r="E55" s="41"/>
      <c r="F55" s="42"/>
      <c r="G55" s="42"/>
      <c r="H55" s="43"/>
      <c r="I55" s="29"/>
      <c r="J55" s="29"/>
      <c r="K55" s="30"/>
      <c r="L55" s="30"/>
      <c r="M55" s="30"/>
      <c r="N55" s="23"/>
      <c r="O55" s="31" t="str">
        <f t="shared" si="4"/>
        <v xml:space="preserve"> </v>
      </c>
      <c r="P55" s="32" t="str">
        <f t="shared" si="5"/>
        <v xml:space="preserve"> </v>
      </c>
      <c r="Q55" s="32" t="str">
        <f t="shared" si="6"/>
        <v xml:space="preserve"> </v>
      </c>
      <c r="R55" s="36" t="str">
        <f t="shared" si="29"/>
        <v xml:space="preserve"> </v>
      </c>
      <c r="S55" s="37" t="str">
        <f t="shared" si="30"/>
        <v xml:space="preserve"> </v>
      </c>
      <c r="T55" s="37" t="str">
        <f t="shared" si="8"/>
        <v xml:space="preserve"> </v>
      </c>
      <c r="U55" s="38" t="str">
        <f t="shared" si="1"/>
        <v xml:space="preserve"> </v>
      </c>
      <c r="V55" s="38" t="str">
        <f t="shared" si="9"/>
        <v/>
      </c>
      <c r="W55" s="76"/>
      <c r="X55" s="23"/>
    </row>
    <row r="56" spans="1:24" s="12" customFormat="1" ht="18" customHeight="1">
      <c r="A56" s="23"/>
      <c r="B56" s="44"/>
      <c r="C56" s="45"/>
      <c r="D56" s="40"/>
      <c r="E56" s="41"/>
      <c r="F56" s="42"/>
      <c r="G56" s="42"/>
      <c r="H56" s="43"/>
      <c r="I56" s="29"/>
      <c r="J56" s="29"/>
      <c r="K56" s="30"/>
      <c r="L56" s="30"/>
      <c r="M56" s="30"/>
      <c r="N56" s="23"/>
      <c r="O56" s="31" t="str">
        <f t="shared" si="4"/>
        <v xml:space="preserve"> </v>
      </c>
      <c r="P56" s="32" t="str">
        <f t="shared" si="5"/>
        <v xml:space="preserve"> </v>
      </c>
      <c r="Q56" s="32" t="str">
        <f t="shared" si="6"/>
        <v xml:space="preserve"> </v>
      </c>
      <c r="R56" s="36" t="str">
        <f t="shared" si="29"/>
        <v xml:space="preserve"> </v>
      </c>
      <c r="S56" s="37" t="str">
        <f t="shared" si="30"/>
        <v xml:space="preserve"> </v>
      </c>
      <c r="T56" s="37" t="str">
        <f t="shared" si="8"/>
        <v xml:space="preserve"> </v>
      </c>
      <c r="U56" s="38" t="str">
        <f t="shared" si="1"/>
        <v xml:space="preserve"> </v>
      </c>
      <c r="V56" s="38" t="str">
        <f t="shared" si="9"/>
        <v/>
      </c>
      <c r="W56" s="76"/>
      <c r="X56" s="23"/>
    </row>
    <row r="57" spans="1:24" s="12" customFormat="1" ht="18" customHeight="1">
      <c r="A57" s="23"/>
      <c r="B57" s="39"/>
      <c r="C57" s="46"/>
      <c r="D57" s="40"/>
      <c r="E57" s="41"/>
      <c r="F57" s="42"/>
      <c r="G57" s="42"/>
      <c r="H57" s="43"/>
      <c r="I57" s="29"/>
      <c r="J57" s="29"/>
      <c r="K57" s="30"/>
      <c r="L57" s="30"/>
      <c r="M57" s="30"/>
      <c r="N57" s="23"/>
      <c r="O57" s="31" t="str">
        <f t="shared" si="4"/>
        <v xml:space="preserve"> </v>
      </c>
      <c r="P57" s="32" t="str">
        <f t="shared" si="5"/>
        <v xml:space="preserve"> </v>
      </c>
      <c r="Q57" s="32" t="str">
        <f t="shared" si="6"/>
        <v xml:space="preserve"> </v>
      </c>
      <c r="R57" s="36" t="str">
        <f t="shared" si="29"/>
        <v xml:space="preserve"> </v>
      </c>
      <c r="S57" s="37" t="str">
        <f t="shared" si="30"/>
        <v xml:space="preserve"> </v>
      </c>
      <c r="T57" s="37" t="str">
        <f t="shared" si="8"/>
        <v xml:space="preserve"> </v>
      </c>
      <c r="U57" s="38" t="str">
        <f t="shared" si="1"/>
        <v xml:space="preserve"> </v>
      </c>
      <c r="V57" s="38" t="str">
        <f t="shared" si="9"/>
        <v/>
      </c>
      <c r="W57" s="76"/>
      <c r="X57" s="23"/>
    </row>
    <row r="58" spans="1:24" s="12" customFormat="1" ht="18" customHeight="1">
      <c r="A58" s="23"/>
      <c r="B58" s="24"/>
      <c r="C58" s="28"/>
      <c r="D58" s="25"/>
      <c r="E58" s="26"/>
      <c r="F58" s="25"/>
      <c r="G58" s="25"/>
      <c r="H58" s="27"/>
      <c r="I58" s="29"/>
      <c r="J58" s="29"/>
      <c r="K58" s="30"/>
      <c r="L58" s="30"/>
      <c r="M58" s="30"/>
      <c r="N58" s="23"/>
      <c r="O58" s="31" t="str">
        <f t="shared" si="4"/>
        <v xml:space="preserve"> </v>
      </c>
      <c r="P58" s="32" t="str">
        <f t="shared" si="5"/>
        <v xml:space="preserve"> </v>
      </c>
      <c r="Q58" s="32" t="str">
        <f t="shared" si="6"/>
        <v xml:space="preserve"> </v>
      </c>
      <c r="R58" s="36" t="str">
        <f t="shared" si="29"/>
        <v xml:space="preserve"> </v>
      </c>
      <c r="S58" s="37" t="str">
        <f t="shared" si="30"/>
        <v xml:space="preserve"> </v>
      </c>
      <c r="T58" s="37" t="str">
        <f t="shared" si="8"/>
        <v xml:space="preserve"> </v>
      </c>
      <c r="U58" s="38" t="str">
        <f t="shared" si="1"/>
        <v xml:space="preserve"> </v>
      </c>
      <c r="V58" s="38" t="str">
        <f t="shared" si="9"/>
        <v/>
      </c>
      <c r="W58" s="76"/>
      <c r="X58" s="23"/>
    </row>
    <row r="59" spans="1:24" s="12" customFormat="1" ht="18" customHeight="1">
      <c r="A59" s="23"/>
      <c r="B59" s="24"/>
      <c r="C59" s="28"/>
      <c r="D59" s="25"/>
      <c r="E59" s="26"/>
      <c r="F59" s="25"/>
      <c r="G59" s="25"/>
      <c r="H59" s="27"/>
      <c r="I59" s="29"/>
      <c r="J59" s="29"/>
      <c r="K59" s="30"/>
      <c r="L59" s="30"/>
      <c r="M59" s="30"/>
      <c r="N59" s="23"/>
      <c r="O59" s="31" t="str">
        <f t="shared" si="4"/>
        <v xml:space="preserve"> </v>
      </c>
      <c r="P59" s="32" t="str">
        <f t="shared" si="5"/>
        <v xml:space="preserve"> </v>
      </c>
      <c r="Q59" s="32" t="str">
        <f t="shared" si="6"/>
        <v xml:space="preserve"> </v>
      </c>
      <c r="R59" s="36" t="str">
        <f t="shared" si="29"/>
        <v xml:space="preserve"> </v>
      </c>
      <c r="S59" s="37" t="str">
        <f t="shared" si="30"/>
        <v xml:space="preserve"> </v>
      </c>
      <c r="T59" s="37" t="str">
        <f t="shared" si="8"/>
        <v xml:space="preserve"> </v>
      </c>
      <c r="U59" s="38" t="str">
        <f t="shared" si="1"/>
        <v xml:space="preserve"> </v>
      </c>
      <c r="V59" s="38" t="str">
        <f t="shared" si="9"/>
        <v/>
      </c>
      <c r="W59" s="76"/>
      <c r="X59" s="23"/>
    </row>
    <row r="60" spans="1:24" s="12" customFormat="1" ht="18" customHeight="1">
      <c r="A60" s="23"/>
      <c r="B60" s="24"/>
      <c r="C60" s="28"/>
      <c r="D60" s="25"/>
      <c r="E60" s="26"/>
      <c r="F60" s="25"/>
      <c r="G60" s="25"/>
      <c r="H60" s="27"/>
      <c r="I60" s="29"/>
      <c r="J60" s="29"/>
      <c r="K60" s="30"/>
      <c r="L60" s="30"/>
      <c r="M60" s="30"/>
      <c r="N60" s="23"/>
      <c r="O60" s="31" t="str">
        <f t="shared" si="4"/>
        <v xml:space="preserve"> </v>
      </c>
      <c r="P60" s="32" t="str">
        <f t="shared" si="5"/>
        <v xml:space="preserve"> </v>
      </c>
      <c r="Q60" s="32" t="str">
        <f t="shared" si="6"/>
        <v xml:space="preserve"> </v>
      </c>
      <c r="R60" s="36" t="str">
        <f t="shared" si="29"/>
        <v xml:space="preserve"> </v>
      </c>
      <c r="S60" s="37" t="str">
        <f t="shared" si="30"/>
        <v xml:space="preserve"> </v>
      </c>
      <c r="T60" s="37" t="str">
        <f t="shared" si="8"/>
        <v xml:space="preserve"> </v>
      </c>
      <c r="U60" s="38" t="str">
        <f t="shared" si="1"/>
        <v xml:space="preserve"> </v>
      </c>
      <c r="V60" s="38" t="str">
        <f t="shared" si="9"/>
        <v/>
      </c>
      <c r="W60" s="76" t="s">
        <v>66</v>
      </c>
      <c r="X60" s="23"/>
    </row>
    <row r="61" spans="1:24" s="12" customFormat="1" ht="18" customHeight="1">
      <c r="A61" s="23"/>
      <c r="B61" s="24"/>
      <c r="C61" s="28"/>
      <c r="D61" s="25"/>
      <c r="E61" s="26"/>
      <c r="F61" s="25"/>
      <c r="G61" s="25"/>
      <c r="H61" s="27"/>
      <c r="I61" s="29"/>
      <c r="J61" s="29"/>
      <c r="K61" s="30"/>
      <c r="L61" s="30"/>
      <c r="M61" s="30"/>
      <c r="N61" s="23"/>
      <c r="O61" s="31" t="str">
        <f t="shared" si="4"/>
        <v xml:space="preserve"> </v>
      </c>
      <c r="P61" s="32" t="str">
        <f t="shared" si="5"/>
        <v xml:space="preserve"> </v>
      </c>
      <c r="Q61" s="32" t="str">
        <f t="shared" si="6"/>
        <v xml:space="preserve"> </v>
      </c>
      <c r="R61" s="36" t="str">
        <f t="shared" si="29"/>
        <v xml:space="preserve"> </v>
      </c>
      <c r="S61" s="37" t="str">
        <f t="shared" si="30"/>
        <v xml:space="preserve"> </v>
      </c>
      <c r="T61" s="37" t="str">
        <f t="shared" si="8"/>
        <v xml:space="preserve"> </v>
      </c>
      <c r="U61" s="38" t="str">
        <f t="shared" si="1"/>
        <v xml:space="preserve"> </v>
      </c>
      <c r="V61" s="38" t="str">
        <f t="shared" si="9"/>
        <v/>
      </c>
      <c r="W61" s="76"/>
      <c r="X61" s="23"/>
    </row>
    <row r="62" spans="1:24" s="12" customFormat="1" ht="18" customHeight="1">
      <c r="A62" s="23"/>
      <c r="B62" s="24"/>
      <c r="C62" s="28"/>
      <c r="D62" s="25"/>
      <c r="E62" s="26"/>
      <c r="F62" s="25"/>
      <c r="G62" s="25"/>
      <c r="H62" s="27"/>
      <c r="I62" s="29"/>
      <c r="J62" s="29"/>
      <c r="K62" s="30"/>
      <c r="L62" s="30"/>
      <c r="M62" s="30"/>
      <c r="N62" s="23"/>
      <c r="O62" s="31" t="str">
        <f t="shared" si="4"/>
        <v xml:space="preserve"> </v>
      </c>
      <c r="P62" s="32" t="str">
        <f t="shared" si="5"/>
        <v xml:space="preserve"> </v>
      </c>
      <c r="Q62" s="32" t="str">
        <f t="shared" si="6"/>
        <v xml:space="preserve"> </v>
      </c>
      <c r="R62" s="36" t="str">
        <f t="shared" si="29"/>
        <v xml:space="preserve"> </v>
      </c>
      <c r="S62" s="37" t="str">
        <f t="shared" si="30"/>
        <v xml:space="preserve"> </v>
      </c>
      <c r="T62" s="37" t="str">
        <f t="shared" si="8"/>
        <v xml:space="preserve"> </v>
      </c>
      <c r="U62" s="38" t="str">
        <f t="shared" si="1"/>
        <v xml:space="preserve"> </v>
      </c>
      <c r="V62" s="38" t="str">
        <f t="shared" si="9"/>
        <v/>
      </c>
      <c r="W62" s="76"/>
      <c r="X62" s="23"/>
    </row>
    <row r="63" spans="1:24" s="12" customFormat="1" ht="18" customHeight="1">
      <c r="A63" s="23"/>
      <c r="B63" s="24"/>
      <c r="C63" s="28"/>
      <c r="D63" s="25"/>
      <c r="E63" s="26"/>
      <c r="F63" s="25"/>
      <c r="G63" s="25"/>
      <c r="H63" s="27"/>
      <c r="I63" s="29"/>
      <c r="J63" s="29"/>
      <c r="K63" s="30"/>
      <c r="L63" s="30"/>
      <c r="M63" s="30"/>
      <c r="N63" s="23"/>
      <c r="O63" s="31" t="str">
        <f t="shared" si="4"/>
        <v xml:space="preserve"> </v>
      </c>
      <c r="P63" s="32" t="str">
        <f t="shared" si="5"/>
        <v xml:space="preserve"> </v>
      </c>
      <c r="Q63" s="32" t="str">
        <f t="shared" si="6"/>
        <v xml:space="preserve"> </v>
      </c>
      <c r="R63" s="36" t="str">
        <f t="shared" si="29"/>
        <v xml:space="preserve"> </v>
      </c>
      <c r="S63" s="37" t="str">
        <f t="shared" si="30"/>
        <v xml:space="preserve"> </v>
      </c>
      <c r="T63" s="37" t="str">
        <f t="shared" si="8"/>
        <v xml:space="preserve"> </v>
      </c>
      <c r="U63" s="38" t="str">
        <f t="shared" si="1"/>
        <v xml:space="preserve"> </v>
      </c>
      <c r="V63" s="38" t="str">
        <f t="shared" si="9"/>
        <v/>
      </c>
      <c r="W63" s="76"/>
      <c r="X63" s="23"/>
    </row>
    <row r="64" spans="1:24" s="12" customFormat="1" ht="18" customHeight="1">
      <c r="A64" s="23"/>
      <c r="B64" s="24"/>
      <c r="C64" s="28"/>
      <c r="D64" s="25"/>
      <c r="E64" s="26"/>
      <c r="F64" s="25"/>
      <c r="G64" s="25"/>
      <c r="H64" s="27"/>
      <c r="I64" s="29"/>
      <c r="J64" s="29"/>
      <c r="K64" s="30"/>
      <c r="L64" s="30"/>
      <c r="M64" s="30"/>
      <c r="N64" s="23"/>
      <c r="O64" s="31" t="str">
        <f t="shared" si="4"/>
        <v xml:space="preserve"> </v>
      </c>
      <c r="P64" s="32" t="str">
        <f t="shared" si="5"/>
        <v xml:space="preserve"> </v>
      </c>
      <c r="Q64" s="32" t="str">
        <f t="shared" si="6"/>
        <v xml:space="preserve"> </v>
      </c>
      <c r="R64" s="36" t="str">
        <f t="shared" si="29"/>
        <v xml:space="preserve"> </v>
      </c>
      <c r="S64" s="37" t="str">
        <f t="shared" si="30"/>
        <v xml:space="preserve"> </v>
      </c>
      <c r="T64" s="37" t="str">
        <f t="shared" si="8"/>
        <v xml:space="preserve"> </v>
      </c>
      <c r="U64" s="38" t="str">
        <f t="shared" si="1"/>
        <v xml:space="preserve"> </v>
      </c>
      <c r="V64" s="38" t="str">
        <f t="shared" si="9"/>
        <v/>
      </c>
      <c r="W64" s="76"/>
      <c r="X64" s="23"/>
    </row>
    <row r="65" spans="1:24" s="12" customFormat="1" ht="18" customHeight="1">
      <c r="A65" s="23"/>
      <c r="B65" s="24"/>
      <c r="C65" s="28"/>
      <c r="D65" s="25"/>
      <c r="E65" s="26"/>
      <c r="F65" s="25"/>
      <c r="G65" s="25"/>
      <c r="H65" s="27"/>
      <c r="I65" s="29"/>
      <c r="J65" s="29"/>
      <c r="K65" s="30"/>
      <c r="L65" s="30"/>
      <c r="M65" s="30"/>
      <c r="N65" s="23"/>
      <c r="O65" s="31" t="str">
        <f t="shared" si="4"/>
        <v xml:space="preserve"> </v>
      </c>
      <c r="P65" s="32" t="str">
        <f t="shared" si="5"/>
        <v xml:space="preserve"> </v>
      </c>
      <c r="Q65" s="32" t="str">
        <f t="shared" si="6"/>
        <v xml:space="preserve"> </v>
      </c>
      <c r="R65" s="36" t="str">
        <f t="shared" si="29"/>
        <v xml:space="preserve"> </v>
      </c>
      <c r="S65" s="37" t="str">
        <f t="shared" si="30"/>
        <v xml:space="preserve"> </v>
      </c>
      <c r="T65" s="37" t="str">
        <f t="shared" si="8"/>
        <v xml:space="preserve"> </v>
      </c>
      <c r="U65" s="38" t="str">
        <f t="shared" si="1"/>
        <v xml:space="preserve"> </v>
      </c>
      <c r="V65" s="38" t="str">
        <f t="shared" si="9"/>
        <v/>
      </c>
      <c r="W65" s="76"/>
      <c r="X65" s="23"/>
    </row>
    <row r="66" spans="1:24" s="12" customFormat="1" ht="18" customHeight="1">
      <c r="A66" s="23"/>
      <c r="B66" s="24"/>
      <c r="C66" s="28"/>
      <c r="D66" s="25"/>
      <c r="E66" s="26"/>
      <c r="F66" s="25"/>
      <c r="G66" s="25"/>
      <c r="H66" s="27"/>
      <c r="I66" s="29"/>
      <c r="J66" s="29"/>
      <c r="K66" s="30"/>
      <c r="L66" s="30"/>
      <c r="M66" s="30"/>
      <c r="N66" s="23"/>
      <c r="O66" s="31" t="str">
        <f t="shared" si="4"/>
        <v xml:space="preserve"> </v>
      </c>
      <c r="P66" s="32" t="str">
        <f t="shared" si="5"/>
        <v xml:space="preserve"> </v>
      </c>
      <c r="Q66" s="32" t="str">
        <f t="shared" si="6"/>
        <v xml:space="preserve"> </v>
      </c>
      <c r="R66" s="36" t="str">
        <f t="shared" si="29"/>
        <v xml:space="preserve"> </v>
      </c>
      <c r="S66" s="37" t="str">
        <f t="shared" si="30"/>
        <v xml:space="preserve"> </v>
      </c>
      <c r="T66" s="37" t="str">
        <f t="shared" si="8"/>
        <v xml:space="preserve"> </v>
      </c>
      <c r="U66" s="38" t="str">
        <f t="shared" si="1"/>
        <v xml:space="preserve"> </v>
      </c>
      <c r="V66" s="38" t="str">
        <f t="shared" si="9"/>
        <v/>
      </c>
      <c r="W66" s="76"/>
      <c r="X66" s="23"/>
    </row>
    <row r="67" spans="1:24" s="12" customFormat="1" ht="18" customHeight="1">
      <c r="A67" s="23"/>
      <c r="B67" s="24"/>
      <c r="C67" s="28"/>
      <c r="D67" s="25"/>
      <c r="E67" s="26"/>
      <c r="F67" s="25"/>
      <c r="G67" s="25"/>
      <c r="H67" s="27"/>
      <c r="I67" s="29"/>
      <c r="J67" s="29"/>
      <c r="K67" s="30"/>
      <c r="L67" s="30"/>
      <c r="M67" s="30"/>
      <c r="N67" s="23"/>
      <c r="O67" s="31" t="str">
        <f t="shared" si="4"/>
        <v xml:space="preserve"> </v>
      </c>
      <c r="P67" s="32" t="str">
        <f t="shared" si="5"/>
        <v xml:space="preserve"> </v>
      </c>
      <c r="Q67" s="32" t="str">
        <f t="shared" si="6"/>
        <v xml:space="preserve"> </v>
      </c>
      <c r="R67" s="36" t="str">
        <f t="shared" si="29"/>
        <v xml:space="preserve"> </v>
      </c>
      <c r="S67" s="37" t="str">
        <f t="shared" si="30"/>
        <v xml:space="preserve"> </v>
      </c>
      <c r="T67" s="37" t="str">
        <f t="shared" si="8"/>
        <v xml:space="preserve"> </v>
      </c>
      <c r="U67" s="38" t="str">
        <f t="shared" si="1"/>
        <v xml:space="preserve"> </v>
      </c>
      <c r="V67" s="38" t="str">
        <f t="shared" si="9"/>
        <v/>
      </c>
      <c r="W67" s="76"/>
      <c r="X67" s="23"/>
    </row>
    <row r="68" spans="1:24" s="12" customFormat="1" ht="18" customHeight="1">
      <c r="A68" s="23"/>
      <c r="B68" s="24"/>
      <c r="C68" s="28"/>
      <c r="D68" s="25"/>
      <c r="E68" s="26"/>
      <c r="F68" s="25"/>
      <c r="G68" s="25"/>
      <c r="H68" s="27"/>
      <c r="I68" s="29" t="str">
        <f t="shared" ref="I68:I73" si="38">IF(AND(E68="",F68=""),"",IF(E68="",F68,E68+F68))</f>
        <v/>
      </c>
      <c r="J68" s="29" t="str">
        <f t="shared" ref="J68:J73" si="39">IF(AND(E68="",G68=""),"",IF(E68="",G68,E68+G68))</f>
        <v/>
      </c>
      <c r="K68" s="30"/>
      <c r="L68" s="30"/>
      <c r="M68" s="30"/>
      <c r="N68" s="23"/>
      <c r="O68" s="31" t="str">
        <f t="shared" si="4"/>
        <v xml:space="preserve"> </v>
      </c>
      <c r="P68" s="32" t="str">
        <f t="shared" si="5"/>
        <v xml:space="preserve"> </v>
      </c>
      <c r="Q68" s="32" t="str">
        <f t="shared" si="6"/>
        <v xml:space="preserve"> </v>
      </c>
      <c r="R68" s="36" t="str">
        <f t="shared" si="29"/>
        <v xml:space="preserve"> </v>
      </c>
      <c r="S68" s="37" t="str">
        <f t="shared" si="30"/>
        <v xml:space="preserve"> </v>
      </c>
      <c r="T68" s="37" t="str">
        <f t="shared" si="8"/>
        <v xml:space="preserve"> </v>
      </c>
      <c r="U68" s="38" t="str">
        <f t="shared" si="1"/>
        <v xml:space="preserve"> </v>
      </c>
      <c r="V68" s="38" t="str">
        <f t="shared" si="9"/>
        <v/>
      </c>
      <c r="W68" s="76"/>
      <c r="X68" s="23"/>
    </row>
    <row r="69" spans="1:24" s="12" customFormat="1" ht="18" customHeight="1">
      <c r="A69" s="23"/>
      <c r="B69" s="24"/>
      <c r="C69" s="28"/>
      <c r="D69" s="25"/>
      <c r="E69" s="26"/>
      <c r="F69" s="25"/>
      <c r="G69" s="25"/>
      <c r="H69" s="27"/>
      <c r="I69" s="29" t="str">
        <f t="shared" si="38"/>
        <v/>
      </c>
      <c r="J69" s="29" t="str">
        <f t="shared" si="39"/>
        <v/>
      </c>
      <c r="K69" s="30"/>
      <c r="L69" s="30"/>
      <c r="M69" s="30"/>
      <c r="N69" s="23"/>
      <c r="O69" s="31" t="str">
        <f t="shared" si="4"/>
        <v xml:space="preserve"> </v>
      </c>
      <c r="P69" s="32" t="str">
        <f t="shared" si="5"/>
        <v xml:space="preserve"> </v>
      </c>
      <c r="Q69" s="32" t="str">
        <f t="shared" si="6"/>
        <v xml:space="preserve"> </v>
      </c>
      <c r="R69" s="36" t="str">
        <f t="shared" si="29"/>
        <v xml:space="preserve"> </v>
      </c>
      <c r="S69" s="37" t="str">
        <f t="shared" si="30"/>
        <v xml:space="preserve"> </v>
      </c>
      <c r="T69" s="37" t="str">
        <f t="shared" si="8"/>
        <v xml:space="preserve"> </v>
      </c>
      <c r="U69" s="38" t="str">
        <f t="shared" si="1"/>
        <v xml:space="preserve"> </v>
      </c>
      <c r="V69" s="38" t="str">
        <f t="shared" si="9"/>
        <v/>
      </c>
      <c r="W69" s="76"/>
      <c r="X69" s="23"/>
    </row>
    <row r="70" spans="1:24" s="12" customFormat="1" ht="18" customHeight="1">
      <c r="A70" s="23"/>
      <c r="B70" s="24"/>
      <c r="C70" s="28"/>
      <c r="D70" s="25"/>
      <c r="E70" s="26"/>
      <c r="F70" s="25"/>
      <c r="G70" s="25"/>
      <c r="H70" s="27"/>
      <c r="I70" s="29" t="str">
        <f t="shared" si="38"/>
        <v/>
      </c>
      <c r="J70" s="29" t="str">
        <f t="shared" si="39"/>
        <v/>
      </c>
      <c r="K70" s="30"/>
      <c r="L70" s="30"/>
      <c r="M70" s="30"/>
      <c r="N70" s="23"/>
      <c r="O70" s="31" t="str">
        <f t="shared" si="4"/>
        <v xml:space="preserve"> </v>
      </c>
      <c r="P70" s="32" t="str">
        <f t="shared" si="5"/>
        <v xml:space="preserve"> </v>
      </c>
      <c r="Q70" s="32" t="str">
        <f t="shared" si="6"/>
        <v xml:space="preserve"> </v>
      </c>
      <c r="R70" s="36" t="str">
        <f t="shared" si="29"/>
        <v xml:space="preserve"> </v>
      </c>
      <c r="S70" s="37" t="str">
        <f t="shared" si="30"/>
        <v xml:space="preserve"> </v>
      </c>
      <c r="T70" s="37" t="str">
        <f t="shared" si="8"/>
        <v xml:space="preserve"> </v>
      </c>
      <c r="U70" s="38" t="str">
        <f t="shared" si="1"/>
        <v xml:space="preserve"> </v>
      </c>
      <c r="V70" s="38" t="str">
        <f t="shared" si="9"/>
        <v/>
      </c>
      <c r="W70" s="76"/>
      <c r="X70" s="23"/>
    </row>
    <row r="71" spans="1:24" s="12" customFormat="1" ht="18" customHeight="1">
      <c r="A71" s="23"/>
      <c r="B71" s="24"/>
      <c r="C71" s="28"/>
      <c r="D71" s="25"/>
      <c r="E71" s="26"/>
      <c r="F71" s="25"/>
      <c r="G71" s="25"/>
      <c r="H71" s="27"/>
      <c r="I71" s="29" t="str">
        <f t="shared" si="38"/>
        <v/>
      </c>
      <c r="J71" s="29" t="str">
        <f t="shared" si="39"/>
        <v/>
      </c>
      <c r="K71" s="30"/>
      <c r="L71" s="30"/>
      <c r="M71" s="30"/>
      <c r="N71" s="23"/>
      <c r="O71" s="31" t="str">
        <f t="shared" si="4"/>
        <v xml:space="preserve"> </v>
      </c>
      <c r="P71" s="32" t="str">
        <f t="shared" si="5"/>
        <v xml:space="preserve"> </v>
      </c>
      <c r="Q71" s="32" t="str">
        <f t="shared" si="6"/>
        <v xml:space="preserve"> </v>
      </c>
      <c r="R71" s="36" t="str">
        <f t="shared" si="29"/>
        <v xml:space="preserve"> </v>
      </c>
      <c r="S71" s="37" t="str">
        <f t="shared" si="30"/>
        <v xml:space="preserve"> </v>
      </c>
      <c r="T71" s="37" t="str">
        <f t="shared" si="8"/>
        <v xml:space="preserve"> </v>
      </c>
      <c r="U71" s="38" t="str">
        <f t="shared" si="1"/>
        <v xml:space="preserve"> </v>
      </c>
      <c r="V71" s="38" t="str">
        <f t="shared" si="9"/>
        <v/>
      </c>
      <c r="W71" s="76"/>
      <c r="X71" s="23"/>
    </row>
    <row r="72" spans="1:24" s="12" customFormat="1" ht="18" customHeight="1">
      <c r="A72" s="23"/>
      <c r="B72" s="24"/>
      <c r="C72" s="28"/>
      <c r="D72" s="25"/>
      <c r="E72" s="26"/>
      <c r="F72" s="25"/>
      <c r="G72" s="25"/>
      <c r="H72" s="27"/>
      <c r="I72" s="29" t="str">
        <f t="shared" si="38"/>
        <v/>
      </c>
      <c r="J72" s="29" t="str">
        <f t="shared" si="39"/>
        <v/>
      </c>
      <c r="K72" s="30"/>
      <c r="L72" s="30"/>
      <c r="M72" s="30"/>
      <c r="N72" s="23"/>
      <c r="O72" s="31" t="str">
        <f t="shared" si="4"/>
        <v xml:space="preserve"> </v>
      </c>
      <c r="P72" s="32" t="str">
        <f t="shared" si="5"/>
        <v xml:space="preserve"> </v>
      </c>
      <c r="Q72" s="32" t="str">
        <f t="shared" si="6"/>
        <v xml:space="preserve"> </v>
      </c>
      <c r="R72" s="36" t="str">
        <f t="shared" si="29"/>
        <v xml:space="preserve"> </v>
      </c>
      <c r="S72" s="37" t="str">
        <f t="shared" si="30"/>
        <v xml:space="preserve"> </v>
      </c>
      <c r="T72" s="37" t="str">
        <f t="shared" si="8"/>
        <v xml:space="preserve"> </v>
      </c>
      <c r="U72" s="38" t="str">
        <f t="shared" si="1"/>
        <v xml:space="preserve"> </v>
      </c>
      <c r="V72" s="38" t="str">
        <f t="shared" si="9"/>
        <v/>
      </c>
      <c r="W72" s="76"/>
      <c r="X72" s="23"/>
    </row>
    <row r="73" spans="1:24" s="12" customFormat="1" ht="18" customHeight="1">
      <c r="A73" s="23"/>
      <c r="B73" s="24"/>
      <c r="C73" s="28"/>
      <c r="D73" s="25"/>
      <c r="E73" s="26"/>
      <c r="F73" s="25"/>
      <c r="G73" s="25"/>
      <c r="H73" s="27"/>
      <c r="I73" s="29" t="str">
        <f t="shared" si="38"/>
        <v/>
      </c>
      <c r="J73" s="29" t="str">
        <f t="shared" si="39"/>
        <v/>
      </c>
      <c r="K73" s="30"/>
      <c r="L73" s="30"/>
      <c r="M73" s="30"/>
      <c r="N73" s="23"/>
      <c r="O73" s="31" t="str">
        <f t="shared" si="4"/>
        <v xml:space="preserve"> </v>
      </c>
      <c r="P73" s="32" t="str">
        <f t="shared" si="5"/>
        <v xml:space="preserve"> </v>
      </c>
      <c r="Q73" s="32" t="str">
        <f t="shared" si="6"/>
        <v xml:space="preserve"> </v>
      </c>
      <c r="R73" s="36" t="str">
        <f t="shared" si="29"/>
        <v xml:space="preserve"> </v>
      </c>
      <c r="S73" s="37" t="str">
        <f t="shared" si="30"/>
        <v xml:space="preserve"> </v>
      </c>
      <c r="T73" s="37" t="str">
        <f t="shared" si="8"/>
        <v xml:space="preserve"> </v>
      </c>
      <c r="U73" s="38" t="str">
        <f t="shared" si="1"/>
        <v xml:space="preserve"> </v>
      </c>
      <c r="V73" s="38" t="str">
        <f t="shared" si="9"/>
        <v/>
      </c>
      <c r="W73" s="76"/>
      <c r="X73" s="23"/>
    </row>
  </sheetData>
  <mergeCells count="30">
    <mergeCell ref="A1:W1"/>
    <mergeCell ref="U2:V2"/>
    <mergeCell ref="B4:C4"/>
    <mergeCell ref="D4:H4"/>
    <mergeCell ref="K4:L4"/>
    <mergeCell ref="M4:Q4"/>
    <mergeCell ref="R4:T4"/>
    <mergeCell ref="U4:X4"/>
    <mergeCell ref="U5:X5"/>
    <mergeCell ref="B6:C6"/>
    <mergeCell ref="D6:H6"/>
    <mergeCell ref="K6:L6"/>
    <mergeCell ref="M6:Q6"/>
    <mergeCell ref="R6:T6"/>
    <mergeCell ref="U6:X6"/>
    <mergeCell ref="B5:C5"/>
    <mergeCell ref="D5:H5"/>
    <mergeCell ref="K5:L5"/>
    <mergeCell ref="M5:Q5"/>
    <mergeCell ref="R5:T5"/>
    <mergeCell ref="A8:J8"/>
    <mergeCell ref="K8:Q8"/>
    <mergeCell ref="R8:V8"/>
    <mergeCell ref="W8:X8"/>
    <mergeCell ref="K9:M9"/>
    <mergeCell ref="O9:Q9"/>
    <mergeCell ref="H9:H10"/>
    <mergeCell ref="I9:I10"/>
    <mergeCell ref="J9:J10"/>
    <mergeCell ref="R9:R10"/>
  </mergeCells>
  <phoneticPr fontId="21" type="noConversion"/>
  <conditionalFormatting sqref="E50:E73 E11:E48">
    <cfRule type="expression" dxfId="825" priority="431">
      <formula>AND($D11&lt;&gt;"Tolerance",$E11&lt;&gt;"")</formula>
    </cfRule>
    <cfRule type="expression" dxfId="824" priority="432">
      <formula>AND(OR($D11="GD&amp;T",$D11="MAX",$D11="MIN"),$E11="")</formula>
    </cfRule>
    <cfRule type="containsBlanks" dxfId="823" priority="433">
      <formula>LEN(TRIM(E11))=0</formula>
    </cfRule>
  </conditionalFormatting>
  <conditionalFormatting sqref="F50:F73 F11:F48">
    <cfRule type="expression" dxfId="822" priority="428">
      <formula>AND($D11="MIN",$F11&lt;&gt;"")</formula>
    </cfRule>
    <cfRule type="expression" dxfId="821" priority="429">
      <formula>AND($D11="MIN",$F11="")</formula>
    </cfRule>
    <cfRule type="containsBlanks" dxfId="820" priority="430">
      <formula>LEN(TRIM(F11))=0</formula>
    </cfRule>
  </conditionalFormatting>
  <conditionalFormatting sqref="G50:G73 G11:G48">
    <cfRule type="expression" dxfId="819" priority="425">
      <formula>AND(OR($D11="GD&amp;T",$D11="MAX"),$G11&lt;&gt;"")</formula>
    </cfRule>
    <cfRule type="expression" dxfId="818" priority="426">
      <formula>AND(OR($D11="GD&amp;T",$D11="MAX"),$G11="")</formula>
    </cfRule>
    <cfRule type="containsBlanks" dxfId="817" priority="427">
      <formula>LEN(TRIM(G11))=0</formula>
    </cfRule>
  </conditionalFormatting>
  <conditionalFormatting sqref="U11:V73">
    <cfRule type="containsText" dxfId="816" priority="434" operator="containsText" text="Alert">
      <formula>NOT(ISERROR(SEARCH("Alert",U11)))</formula>
    </cfRule>
    <cfRule type="containsText" dxfId="815" priority="435" operator="containsText" text="Reject">
      <formula>NOT(ISERROR(SEARCH("Reject",U11)))</formula>
    </cfRule>
  </conditionalFormatting>
  <conditionalFormatting sqref="K50:M73 K11:M48">
    <cfRule type="containsBlanks" dxfId="814" priority="438">
      <formula>LEN(TRIM(K11))=0</formula>
    </cfRule>
  </conditionalFormatting>
  <conditionalFormatting sqref="K50:M73 R11:R73 K11:M48">
    <cfRule type="expression" dxfId="813" priority="439">
      <formula>AND($J11&lt;&gt;"",K11&lt;$J11)</formula>
    </cfRule>
    <cfRule type="expression" dxfId="812" priority="440">
      <formula>AND($I11&lt;&gt;"",K11&gt;$I11)</formula>
    </cfRule>
    <cfRule type="notContainsBlanks" dxfId="811" priority="441">
      <formula>LEN(TRIM(K11))&gt;0</formula>
    </cfRule>
  </conditionalFormatting>
  <conditionalFormatting sqref="R11:T73">
    <cfRule type="containsBlanks" dxfId="810" priority="436">
      <formula>LEN(TRIM(R11))=0</formula>
    </cfRule>
  </conditionalFormatting>
  <conditionalFormatting sqref="S11:T73">
    <cfRule type="cellIs" dxfId="809" priority="437" operator="greaterThanOrEqual">
      <formula>1</formula>
    </cfRule>
  </conditionalFormatting>
  <conditionalFormatting sqref="E50 E11:E48">
    <cfRule type="expression" dxfId="808" priority="420">
      <formula>AND($D11&lt;&gt;"Tolerance",$E11&lt;&gt;"")</formula>
    </cfRule>
    <cfRule type="expression" dxfId="807" priority="421">
      <formula>AND(OR($D11="GD&amp;T",$D11="MAX",$D11="MIN"),$E11="")</formula>
    </cfRule>
    <cfRule type="containsBlanks" dxfId="806" priority="422">
      <formula>LEN(TRIM(E11))=0</formula>
    </cfRule>
  </conditionalFormatting>
  <conditionalFormatting sqref="F50:F57 F11:F48">
    <cfRule type="expression" dxfId="805" priority="417">
      <formula>AND($D11="MIN",$F11&lt;&gt;"")</formula>
    </cfRule>
    <cfRule type="expression" dxfId="804" priority="418">
      <formula>AND($D11="MIN",$F11="")</formula>
    </cfRule>
    <cfRule type="containsBlanks" dxfId="803" priority="419">
      <formula>LEN(TRIM(F11))=0</formula>
    </cfRule>
  </conditionalFormatting>
  <conditionalFormatting sqref="G50:G57 G11:G48">
    <cfRule type="expression" dxfId="802" priority="414">
      <formula>AND(OR($D11="GD&amp;T",$D11="MAX"),$G11&lt;&gt;"")</formula>
    </cfRule>
    <cfRule type="expression" dxfId="801" priority="415">
      <formula>AND(OR($D11="GD&amp;T",$D11="MAX"),$G11="")</formula>
    </cfRule>
    <cfRule type="containsBlanks" dxfId="800" priority="416">
      <formula>LEN(TRIM(G11))=0</formula>
    </cfRule>
  </conditionalFormatting>
  <conditionalFormatting sqref="F11">
    <cfRule type="expression" dxfId="799" priority="411">
      <formula>AND($D11="MIN",$F11&lt;&gt;"")</formula>
    </cfRule>
    <cfRule type="expression" dxfId="798" priority="412">
      <formula>AND($D11="MIN",$F11="")</formula>
    </cfRule>
    <cfRule type="containsBlanks" dxfId="797" priority="413">
      <formula>LEN(TRIM(F11))=0</formula>
    </cfRule>
  </conditionalFormatting>
  <conditionalFormatting sqref="G11">
    <cfRule type="expression" dxfId="796" priority="408">
      <formula>AND(OR($D11="GD&amp;T",$D11="MAX"),$G11&lt;&gt;"")</formula>
    </cfRule>
    <cfRule type="expression" dxfId="795" priority="409">
      <formula>AND(OR($D11="GD&amp;T",$D11="MAX"),$G11="")</formula>
    </cfRule>
    <cfRule type="containsBlanks" dxfId="794" priority="410">
      <formula>LEN(TRIM(G11))=0</formula>
    </cfRule>
  </conditionalFormatting>
  <conditionalFormatting sqref="E11">
    <cfRule type="expression" dxfId="793" priority="405">
      <formula>AND($D11&lt;&gt;"Tolerance",$E11&lt;&gt;"")</formula>
    </cfRule>
    <cfRule type="expression" dxfId="792" priority="406">
      <formula>AND(OR($D11="GD&amp;T",$D11="MAX",$D11="MIN"),$E11="")</formula>
    </cfRule>
    <cfRule type="containsBlanks" dxfId="791" priority="407">
      <formula>LEN(TRIM(E11))=0</formula>
    </cfRule>
  </conditionalFormatting>
  <conditionalFormatting sqref="E11">
    <cfRule type="expression" dxfId="790" priority="402">
      <formula>AND($D11&lt;&gt;"Tolerance",$E11&lt;&gt;"")</formula>
    </cfRule>
    <cfRule type="expression" dxfId="789" priority="403">
      <formula>AND(OR($D11="GD&amp;T",$D11="MAX",$D11="MIN"),$E11="")</formula>
    </cfRule>
    <cfRule type="containsBlanks" dxfId="788" priority="404">
      <formula>LEN(TRIM(E11))=0</formula>
    </cfRule>
  </conditionalFormatting>
  <conditionalFormatting sqref="E11">
    <cfRule type="expression" dxfId="787" priority="399">
      <formula>AND($D11="MIN",$F11&lt;&gt;"")</formula>
    </cfRule>
    <cfRule type="expression" dxfId="786" priority="400">
      <formula>AND($D11="MIN",$F11="")</formula>
    </cfRule>
    <cfRule type="containsBlanks" dxfId="785" priority="401">
      <formula>LEN(TRIM(E11))=0</formula>
    </cfRule>
  </conditionalFormatting>
  <conditionalFormatting sqref="E11">
    <cfRule type="expression" dxfId="784" priority="396">
      <formula>AND($D11="MIN",$F11&lt;&gt;"")</formula>
    </cfRule>
    <cfRule type="expression" dxfId="783" priority="397">
      <formula>AND($D11="MIN",$F11="")</formula>
    </cfRule>
    <cfRule type="containsBlanks" dxfId="782" priority="398">
      <formula>LEN(TRIM(E11))=0</formula>
    </cfRule>
  </conditionalFormatting>
  <conditionalFormatting sqref="F12">
    <cfRule type="expression" dxfId="781" priority="393">
      <formula>AND($D12="MIN",$F12&lt;&gt;"")</formula>
    </cfRule>
    <cfRule type="expression" dxfId="780" priority="394">
      <formula>AND($D12="MIN",$F12="")</formula>
    </cfRule>
    <cfRule type="containsBlanks" dxfId="779" priority="395">
      <formula>LEN(TRIM(F12))=0</formula>
    </cfRule>
  </conditionalFormatting>
  <conditionalFormatting sqref="G12">
    <cfRule type="expression" dxfId="778" priority="390">
      <formula>AND(OR($D12="GD&amp;T",$D12="MAX"),$G12&lt;&gt;"")</formula>
    </cfRule>
    <cfRule type="expression" dxfId="777" priority="391">
      <formula>AND(OR($D12="GD&amp;T",$D12="MAX"),$G12="")</formula>
    </cfRule>
    <cfRule type="containsBlanks" dxfId="776" priority="392">
      <formula>LEN(TRIM(G12))=0</formula>
    </cfRule>
  </conditionalFormatting>
  <conditionalFormatting sqref="F13">
    <cfRule type="expression" dxfId="775" priority="387">
      <formula>AND($D13="MIN",$F13&lt;&gt;"")</formula>
    </cfRule>
    <cfRule type="expression" dxfId="774" priority="388">
      <formula>AND($D13="MIN",$F13="")</formula>
    </cfRule>
    <cfRule type="containsBlanks" dxfId="773" priority="389">
      <formula>LEN(TRIM(F13))=0</formula>
    </cfRule>
  </conditionalFormatting>
  <conditionalFormatting sqref="G13">
    <cfRule type="expression" dxfId="772" priority="384">
      <formula>AND(OR($D13="GD&amp;T",$D13="MAX"),$G13&lt;&gt;"")</formula>
    </cfRule>
    <cfRule type="expression" dxfId="771" priority="385">
      <formula>AND(OR($D13="GD&amp;T",$D13="MAX"),$G13="")</formula>
    </cfRule>
    <cfRule type="containsBlanks" dxfId="770" priority="386">
      <formula>LEN(TRIM(G13))=0</formula>
    </cfRule>
  </conditionalFormatting>
  <conditionalFormatting sqref="F14">
    <cfRule type="expression" dxfId="769" priority="381">
      <formula>AND($D14="MIN",$F14&lt;&gt;"")</formula>
    </cfRule>
    <cfRule type="expression" dxfId="768" priority="382">
      <formula>AND($D14="MIN",$F14="")</formula>
    </cfRule>
    <cfRule type="containsBlanks" dxfId="767" priority="383">
      <formula>LEN(TRIM(F14))=0</formula>
    </cfRule>
  </conditionalFormatting>
  <conditionalFormatting sqref="G14">
    <cfRule type="expression" dxfId="766" priority="378">
      <formula>AND(OR($D14="GD&amp;T",$D14="MAX"),$G14&lt;&gt;"")</formula>
    </cfRule>
    <cfRule type="expression" dxfId="765" priority="379">
      <formula>AND(OR($D14="GD&amp;T",$D14="MAX"),$G14="")</formula>
    </cfRule>
    <cfRule type="containsBlanks" dxfId="764" priority="380">
      <formula>LEN(TRIM(G14))=0</formula>
    </cfRule>
  </conditionalFormatting>
  <conditionalFormatting sqref="F15">
    <cfRule type="expression" dxfId="763" priority="375">
      <formula>AND($D15="MIN",$F15&lt;&gt;"")</formula>
    </cfRule>
    <cfRule type="expression" dxfId="762" priority="376">
      <formula>AND($D15="MIN",$F15="")</formula>
    </cfRule>
    <cfRule type="containsBlanks" dxfId="761" priority="377">
      <formula>LEN(TRIM(F15))=0</formula>
    </cfRule>
  </conditionalFormatting>
  <conditionalFormatting sqref="G15">
    <cfRule type="expression" dxfId="760" priority="372">
      <formula>AND(OR($D15="GD&amp;T",$D15="MAX"),$G15&lt;&gt;"")</formula>
    </cfRule>
    <cfRule type="expression" dxfId="759" priority="373">
      <formula>AND(OR($D15="GD&amp;T",$D15="MAX"),$G15="")</formula>
    </cfRule>
    <cfRule type="containsBlanks" dxfId="758" priority="374">
      <formula>LEN(TRIM(G15))=0</formula>
    </cfRule>
  </conditionalFormatting>
  <conditionalFormatting sqref="E43">
    <cfRule type="expression" dxfId="757" priority="369">
      <formula>AND($D43&lt;&gt;"Tolerance",$E43&lt;&gt;"")</formula>
    </cfRule>
    <cfRule type="expression" dxfId="756" priority="370">
      <formula>AND(OR($D43="GD&amp;T",$D43="MAX",$D43="MIN"),$E43="")</formula>
    </cfRule>
    <cfRule type="containsBlanks" dxfId="755" priority="371">
      <formula>LEN(TRIM(E43))=0</formula>
    </cfRule>
  </conditionalFormatting>
  <conditionalFormatting sqref="F43">
    <cfRule type="expression" dxfId="754" priority="366">
      <formula>AND($D43="MIN",$F43&lt;&gt;"")</formula>
    </cfRule>
    <cfRule type="expression" dxfId="753" priority="367">
      <formula>AND($D43="MIN",$F43="")</formula>
    </cfRule>
    <cfRule type="containsBlanks" dxfId="752" priority="368">
      <formula>LEN(TRIM(F43))=0</formula>
    </cfRule>
  </conditionalFormatting>
  <conditionalFormatting sqref="G43">
    <cfRule type="expression" dxfId="751" priority="363">
      <formula>AND(OR($D43="GD&amp;T",$D43="MAX"),$G43&lt;&gt;"")</formula>
    </cfRule>
    <cfRule type="expression" dxfId="750" priority="364">
      <formula>AND(OR($D43="GD&amp;T",$D43="MAX"),$G43="")</formula>
    </cfRule>
    <cfRule type="containsBlanks" dxfId="749" priority="365">
      <formula>LEN(TRIM(G43))=0</formula>
    </cfRule>
  </conditionalFormatting>
  <conditionalFormatting sqref="F43">
    <cfRule type="expression" dxfId="748" priority="360">
      <formula>AND($D43="MIN",$F43&lt;&gt;"")</formula>
    </cfRule>
    <cfRule type="expression" dxfId="747" priority="361">
      <formula>AND($D43="MIN",$F43="")</formula>
    </cfRule>
    <cfRule type="containsBlanks" dxfId="746" priority="362">
      <formula>LEN(TRIM(F43))=0</formula>
    </cfRule>
  </conditionalFormatting>
  <conditionalFormatting sqref="G43">
    <cfRule type="expression" dxfId="745" priority="357">
      <formula>AND(OR($D43="GD&amp;T",$D43="MAX"),$G43&lt;&gt;"")</formula>
    </cfRule>
    <cfRule type="expression" dxfId="744" priority="358">
      <formula>AND(OR($D43="GD&amp;T",$D43="MAX"),$G43="")</formula>
    </cfRule>
    <cfRule type="containsBlanks" dxfId="743" priority="359">
      <formula>LEN(TRIM(G43))=0</formula>
    </cfRule>
  </conditionalFormatting>
  <conditionalFormatting sqref="F43">
    <cfRule type="expression" dxfId="742" priority="354">
      <formula>AND($D43="MIN",$F43&lt;&gt;"")</formula>
    </cfRule>
    <cfRule type="expression" dxfId="741" priority="355">
      <formula>AND($D43="MIN",$F43="")</formula>
    </cfRule>
    <cfRule type="containsBlanks" dxfId="740" priority="356">
      <formula>LEN(TRIM(F43))=0</formula>
    </cfRule>
  </conditionalFormatting>
  <conditionalFormatting sqref="G43">
    <cfRule type="expression" dxfId="739" priority="351">
      <formula>AND(OR($D43="GD&amp;T",$D43="MAX"),$G43&lt;&gt;"")</formula>
    </cfRule>
    <cfRule type="expression" dxfId="738" priority="352">
      <formula>AND(OR($D43="GD&amp;T",$D43="MAX"),$G43="")</formula>
    </cfRule>
    <cfRule type="containsBlanks" dxfId="737" priority="353">
      <formula>LEN(TRIM(G43))=0</formula>
    </cfRule>
  </conditionalFormatting>
  <conditionalFormatting sqref="E42">
    <cfRule type="expression" dxfId="736" priority="327">
      <formula>AND($D42&lt;&gt;"Tolerance",$E42&lt;&gt;"")</formula>
    </cfRule>
    <cfRule type="expression" dxfId="735" priority="328">
      <formula>AND(OR($D42="GD&amp;T",$D42="MAX",$D42="MIN"),$E42="")</formula>
    </cfRule>
    <cfRule type="containsBlanks" dxfId="734" priority="329">
      <formula>LEN(TRIM(E42))=0</formula>
    </cfRule>
  </conditionalFormatting>
  <conditionalFormatting sqref="F42">
    <cfRule type="expression" dxfId="733" priority="324">
      <formula>AND($D42="MIN",$F42&lt;&gt;"")</formula>
    </cfRule>
    <cfRule type="expression" dxfId="732" priority="325">
      <formula>AND($D42="MIN",$F42="")</formula>
    </cfRule>
    <cfRule type="containsBlanks" dxfId="731" priority="326">
      <formula>LEN(TRIM(F42))=0</formula>
    </cfRule>
  </conditionalFormatting>
  <conditionalFormatting sqref="G42">
    <cfRule type="expression" dxfId="730" priority="321">
      <formula>AND(OR($D42="GD&amp;T",$D42="MAX"),$G42&lt;&gt;"")</formula>
    </cfRule>
    <cfRule type="expression" dxfId="729" priority="322">
      <formula>AND(OR($D42="GD&amp;T",$D42="MAX"),$G42="")</formula>
    </cfRule>
    <cfRule type="containsBlanks" dxfId="728" priority="323">
      <formula>LEN(TRIM(G42))=0</formula>
    </cfRule>
  </conditionalFormatting>
  <conditionalFormatting sqref="F42">
    <cfRule type="expression" dxfId="727" priority="318">
      <formula>AND($D42="MIN",$F42&lt;&gt;"")</formula>
    </cfRule>
    <cfRule type="expression" dxfId="726" priority="319">
      <formula>AND($D42="MIN",$F42="")</formula>
    </cfRule>
    <cfRule type="containsBlanks" dxfId="725" priority="320">
      <formula>LEN(TRIM(F42))=0</formula>
    </cfRule>
  </conditionalFormatting>
  <conditionalFormatting sqref="G42">
    <cfRule type="expression" dxfId="724" priority="315">
      <formula>AND(OR($D42="GD&amp;T",$D42="MAX"),$G42&lt;&gt;"")</formula>
    </cfRule>
    <cfRule type="expression" dxfId="723" priority="316">
      <formula>AND(OR($D42="GD&amp;T",$D42="MAX"),$G42="")</formula>
    </cfRule>
    <cfRule type="containsBlanks" dxfId="722" priority="317">
      <formula>LEN(TRIM(G42))=0</formula>
    </cfRule>
  </conditionalFormatting>
  <conditionalFormatting sqref="F42">
    <cfRule type="expression" dxfId="721" priority="312">
      <formula>AND($D42="MIN",$F42&lt;&gt;"")</formula>
    </cfRule>
    <cfRule type="expression" dxfId="720" priority="313">
      <formula>AND($D42="MIN",$F42="")</formula>
    </cfRule>
    <cfRule type="containsBlanks" dxfId="719" priority="314">
      <formula>LEN(TRIM(F42))=0</formula>
    </cfRule>
  </conditionalFormatting>
  <conditionalFormatting sqref="G42">
    <cfRule type="expression" dxfId="718" priority="309">
      <formula>AND(OR($D42="GD&amp;T",$D42="MAX"),$G42&lt;&gt;"")</formula>
    </cfRule>
    <cfRule type="expression" dxfId="717" priority="310">
      <formula>AND(OR($D42="GD&amp;T",$D42="MAX"),$G42="")</formula>
    </cfRule>
    <cfRule type="containsBlanks" dxfId="716" priority="311">
      <formula>LEN(TRIM(G42))=0</formula>
    </cfRule>
  </conditionalFormatting>
  <conditionalFormatting sqref="E43">
    <cfRule type="expression" dxfId="715" priority="306">
      <formula>AND($D43&lt;&gt;"Tolerance",$E43&lt;&gt;"")</formula>
    </cfRule>
    <cfRule type="expression" dxfId="714" priority="307">
      <formula>AND(OR($D43="GD&amp;T",$D43="MAX",$D43="MIN"),$E43="")</formula>
    </cfRule>
    <cfRule type="containsBlanks" dxfId="713" priority="308">
      <formula>LEN(TRIM(E43))=0</formula>
    </cfRule>
  </conditionalFormatting>
  <conditionalFormatting sqref="F43">
    <cfRule type="expression" dxfId="712" priority="303">
      <formula>AND($D43="MIN",$F43&lt;&gt;"")</formula>
    </cfRule>
    <cfRule type="expression" dxfId="711" priority="304">
      <formula>AND($D43="MIN",$F43="")</formula>
    </cfRule>
    <cfRule type="containsBlanks" dxfId="710" priority="305">
      <formula>LEN(TRIM(F43))=0</formula>
    </cfRule>
  </conditionalFormatting>
  <conditionalFormatting sqref="G43">
    <cfRule type="expression" dxfId="709" priority="300">
      <formula>AND(OR($D43="GD&amp;T",$D43="MAX"),$G43&lt;&gt;"")</formula>
    </cfRule>
    <cfRule type="expression" dxfId="708" priority="301">
      <formula>AND(OR($D43="GD&amp;T",$D43="MAX"),$G43="")</formula>
    </cfRule>
    <cfRule type="containsBlanks" dxfId="707" priority="302">
      <formula>LEN(TRIM(G43))=0</formula>
    </cfRule>
  </conditionalFormatting>
  <conditionalFormatting sqref="F43">
    <cfRule type="expression" dxfId="706" priority="297">
      <formula>AND($D43="MIN",$F43&lt;&gt;"")</formula>
    </cfRule>
    <cfRule type="expression" dxfId="705" priority="298">
      <formula>AND($D43="MIN",$F43="")</formula>
    </cfRule>
    <cfRule type="containsBlanks" dxfId="704" priority="299">
      <formula>LEN(TRIM(F43))=0</formula>
    </cfRule>
  </conditionalFormatting>
  <conditionalFormatting sqref="G43">
    <cfRule type="expression" dxfId="703" priority="294">
      <formula>AND(OR($D43="GD&amp;T",$D43="MAX"),$G43&lt;&gt;"")</formula>
    </cfRule>
    <cfRule type="expression" dxfId="702" priority="295">
      <formula>AND(OR($D43="GD&amp;T",$D43="MAX"),$G43="")</formula>
    </cfRule>
    <cfRule type="containsBlanks" dxfId="701" priority="296">
      <formula>LEN(TRIM(G43))=0</formula>
    </cfRule>
  </conditionalFormatting>
  <conditionalFormatting sqref="F43">
    <cfRule type="expression" dxfId="700" priority="291">
      <formula>AND($D43="MIN",$F43&lt;&gt;"")</formula>
    </cfRule>
    <cfRule type="expression" dxfId="699" priority="292">
      <formula>AND($D43="MIN",$F43="")</formula>
    </cfRule>
    <cfRule type="containsBlanks" dxfId="698" priority="293">
      <formula>LEN(TRIM(F43))=0</formula>
    </cfRule>
  </conditionalFormatting>
  <conditionalFormatting sqref="G43">
    <cfRule type="expression" dxfId="697" priority="288">
      <formula>AND(OR($D43="GD&amp;T",$D43="MAX"),$G43&lt;&gt;"")</formula>
    </cfRule>
    <cfRule type="expression" dxfId="696" priority="289">
      <formula>AND(OR($D43="GD&amp;T",$D43="MAX"),$G43="")</formula>
    </cfRule>
    <cfRule type="containsBlanks" dxfId="695" priority="290">
      <formula>LEN(TRIM(G43))=0</formula>
    </cfRule>
  </conditionalFormatting>
  <conditionalFormatting sqref="K50:M50 K44:M48 K11:M42">
    <cfRule type="containsBlanks" dxfId="694" priority="287">
      <formula>LEN(TRIM(K11))=0</formula>
    </cfRule>
  </conditionalFormatting>
  <conditionalFormatting sqref="K44:M48 K11:M42">
    <cfRule type="expression" dxfId="693" priority="284">
      <formula>AND($J11&lt;&gt;"",K11&lt;$J11)</formula>
    </cfRule>
    <cfRule type="expression" dxfId="692" priority="285">
      <formula>AND($I11&lt;&gt;"",K11&gt;$I11)</formula>
    </cfRule>
    <cfRule type="notContainsBlanks" dxfId="691" priority="286">
      <formula>LEN(TRIM(K11))&gt;0</formula>
    </cfRule>
  </conditionalFormatting>
  <conditionalFormatting sqref="K50:M50">
    <cfRule type="expression" dxfId="690" priority="280">
      <formula>AND($J50&lt;&gt;"",K50&lt;$J50)</formula>
    </cfRule>
    <cfRule type="expression" dxfId="689" priority="281">
      <formula>AND($I50&lt;&gt;"",K50&gt;$I50)</formula>
    </cfRule>
    <cfRule type="notContainsBlanks" dxfId="688" priority="282">
      <formula>LEN(TRIM(K50))&gt;0</formula>
    </cfRule>
  </conditionalFormatting>
  <conditionalFormatting sqref="E49">
    <cfRule type="expression" dxfId="687" priority="269">
      <formula>AND($D49&lt;&gt;"Tolerance",$E49&lt;&gt;"")</formula>
    </cfRule>
    <cfRule type="expression" dxfId="686" priority="270">
      <formula>AND(OR($D49="GD&amp;T",$D49="MAX",$D49="MIN"),$E49="")</formula>
    </cfRule>
    <cfRule type="containsBlanks" dxfId="685" priority="271">
      <formula>LEN(TRIM(E49))=0</formula>
    </cfRule>
  </conditionalFormatting>
  <conditionalFormatting sqref="F49">
    <cfRule type="expression" dxfId="684" priority="266">
      <formula>AND($D49="MIN",$F49&lt;&gt;"")</formula>
    </cfRule>
    <cfRule type="expression" dxfId="683" priority="267">
      <formula>AND($D49="MIN",$F49="")</formula>
    </cfRule>
    <cfRule type="containsBlanks" dxfId="682" priority="268">
      <formula>LEN(TRIM(F49))=0</formula>
    </cfRule>
  </conditionalFormatting>
  <conditionalFormatting sqref="G49">
    <cfRule type="expression" dxfId="681" priority="263">
      <formula>AND(OR($D49="GD&amp;T",$D49="MAX"),$G49&lt;&gt;"")</formula>
    </cfRule>
    <cfRule type="expression" dxfId="680" priority="264">
      <formula>AND(OR($D49="GD&amp;T",$D49="MAX"),$G49="")</formula>
    </cfRule>
    <cfRule type="containsBlanks" dxfId="679" priority="265">
      <formula>LEN(TRIM(G49))=0</formula>
    </cfRule>
  </conditionalFormatting>
  <conditionalFormatting sqref="K49:M49">
    <cfRule type="containsBlanks" dxfId="678" priority="272">
      <formula>LEN(TRIM(K49))=0</formula>
    </cfRule>
  </conditionalFormatting>
  <conditionalFormatting sqref="K49:M49">
    <cfRule type="expression" dxfId="677" priority="273">
      <formula>AND($J49&lt;&gt;"",K49&lt;$J49)</formula>
    </cfRule>
    <cfRule type="expression" dxfId="676" priority="274">
      <formula>AND($I49&lt;&gt;"",K49&gt;$I49)</formula>
    </cfRule>
    <cfRule type="notContainsBlanks" dxfId="675" priority="275">
      <formula>LEN(TRIM(K49))&gt;0</formula>
    </cfRule>
  </conditionalFormatting>
  <conditionalFormatting sqref="E49">
    <cfRule type="expression" dxfId="674" priority="260">
      <formula>AND($D49&lt;&gt;"Tolerance",$E49&lt;&gt;"")</formula>
    </cfRule>
    <cfRule type="expression" dxfId="673" priority="261">
      <formula>AND(OR($D49="GD&amp;T",$D49="MAX",$D49="MIN"),$E49="")</formula>
    </cfRule>
    <cfRule type="containsBlanks" dxfId="672" priority="262">
      <formula>LEN(TRIM(E49))=0</formula>
    </cfRule>
  </conditionalFormatting>
  <conditionalFormatting sqref="F49">
    <cfRule type="expression" dxfId="671" priority="257">
      <formula>AND($D49="MIN",$F49&lt;&gt;"")</formula>
    </cfRule>
    <cfRule type="expression" dxfId="670" priority="258">
      <formula>AND($D49="MIN",$F49="")</formula>
    </cfRule>
    <cfRule type="containsBlanks" dxfId="669" priority="259">
      <formula>LEN(TRIM(F49))=0</formula>
    </cfRule>
  </conditionalFormatting>
  <conditionalFormatting sqref="G49">
    <cfRule type="expression" dxfId="668" priority="254">
      <formula>AND(OR($D49="GD&amp;T",$D49="MAX"),$G49&lt;&gt;"")</formula>
    </cfRule>
    <cfRule type="expression" dxfId="667" priority="255">
      <formula>AND(OR($D49="GD&amp;T",$D49="MAX"),$G49="")</formula>
    </cfRule>
    <cfRule type="containsBlanks" dxfId="666" priority="256">
      <formula>LEN(TRIM(G49))=0</formula>
    </cfRule>
  </conditionalFormatting>
  <conditionalFormatting sqref="K49:M49">
    <cfRule type="containsBlanks" dxfId="665" priority="253">
      <formula>LEN(TRIM(K49))=0</formula>
    </cfRule>
  </conditionalFormatting>
  <conditionalFormatting sqref="K49:M49">
    <cfRule type="expression" dxfId="664" priority="250">
      <formula>AND($J49&lt;&gt;"",K49&lt;$J49)</formula>
    </cfRule>
    <cfRule type="expression" dxfId="663" priority="251">
      <formula>AND($I49&lt;&gt;"",K49&gt;$I49)</formula>
    </cfRule>
    <cfRule type="notContainsBlanks" dxfId="662" priority="252">
      <formula>LEN(TRIM(K49))&gt;0</formula>
    </cfRule>
  </conditionalFormatting>
  <conditionalFormatting sqref="F53">
    <cfRule type="expression" dxfId="661" priority="247">
      <formula>AND($D53="MIN",$F53&lt;&gt;"")</formula>
    </cfRule>
    <cfRule type="expression" dxfId="660" priority="248">
      <formula>AND($D53="MIN",$F53="")</formula>
    </cfRule>
    <cfRule type="containsBlanks" dxfId="659" priority="249">
      <formula>LEN(TRIM(F53))=0</formula>
    </cfRule>
  </conditionalFormatting>
  <conditionalFormatting sqref="G53">
    <cfRule type="expression" dxfId="658" priority="244">
      <formula>AND(OR($D53="GD&amp;T",$D53="MAX"),$G53&lt;&gt;"")</formula>
    </cfRule>
    <cfRule type="expression" dxfId="657" priority="245">
      <formula>AND(OR($D53="GD&amp;T",$D53="MAX"),$G53="")</formula>
    </cfRule>
    <cfRule type="containsBlanks" dxfId="656" priority="246">
      <formula>LEN(TRIM(G53))=0</formula>
    </cfRule>
  </conditionalFormatting>
  <conditionalFormatting sqref="F53">
    <cfRule type="expression" dxfId="655" priority="241">
      <formula>AND($D53="MIN",$F53&lt;&gt;"")</formula>
    </cfRule>
    <cfRule type="expression" dxfId="654" priority="242">
      <formula>AND($D53="MIN",$F53="")</formula>
    </cfRule>
    <cfRule type="containsBlanks" dxfId="653" priority="243">
      <formula>LEN(TRIM(F53))=0</formula>
    </cfRule>
  </conditionalFormatting>
  <conditionalFormatting sqref="G53">
    <cfRule type="expression" dxfId="652" priority="238">
      <formula>AND(OR($D53="GD&amp;T",$D53="MAX"),$G53&lt;&gt;"")</formula>
    </cfRule>
    <cfRule type="expression" dxfId="651" priority="239">
      <formula>AND(OR($D53="GD&amp;T",$D53="MAX"),$G53="")</formula>
    </cfRule>
    <cfRule type="containsBlanks" dxfId="650" priority="240">
      <formula>LEN(TRIM(G53))=0</formula>
    </cfRule>
  </conditionalFormatting>
  <conditionalFormatting sqref="E51:E57">
    <cfRule type="expression" dxfId="649" priority="235">
      <formula>AND($D51&lt;&gt;"Tolerance",$E51&lt;&gt;"")</formula>
    </cfRule>
    <cfRule type="expression" dxfId="648" priority="236">
      <formula>AND(OR($D51="GD&amp;T",$D51="MAX",$D51="MIN"),$E51="")</formula>
    </cfRule>
    <cfRule type="containsBlanks" dxfId="647" priority="237">
      <formula>LEN(TRIM(E51))=0</formula>
    </cfRule>
  </conditionalFormatting>
  <conditionalFormatting sqref="E51:E57">
    <cfRule type="expression" dxfId="646" priority="232">
      <formula>AND($D51&lt;&gt;"Tolerance",$E51&lt;&gt;"")</formula>
    </cfRule>
    <cfRule type="expression" dxfId="645" priority="233">
      <formula>AND(OR($D51="GD&amp;T",$D51="MAX",$D51="MIN"),$E51="")</formula>
    </cfRule>
    <cfRule type="containsBlanks" dxfId="644" priority="234">
      <formula>LEN(TRIM(E51))=0</formula>
    </cfRule>
  </conditionalFormatting>
  <conditionalFormatting sqref="E50:E57">
    <cfRule type="expression" dxfId="643" priority="229">
      <formula>AND($D50&lt;&gt;"Tolerance",$E50&lt;&gt;"")</formula>
    </cfRule>
    <cfRule type="expression" dxfId="642" priority="230">
      <formula>AND(OR($D50="GD&amp;T",$D50="MAX",$D50="MIN"),$E50="")</formula>
    </cfRule>
    <cfRule type="containsBlanks" dxfId="641" priority="231">
      <formula>LEN(TRIM(E50))=0</formula>
    </cfRule>
  </conditionalFormatting>
  <conditionalFormatting sqref="F50:F57">
    <cfRule type="expression" dxfId="640" priority="226">
      <formula>AND($D50="MIN",$F50&lt;&gt;"")</formula>
    </cfRule>
    <cfRule type="expression" dxfId="639" priority="227">
      <formula>AND($D50="MIN",$F50="")</formula>
    </cfRule>
    <cfRule type="containsBlanks" dxfId="638" priority="228">
      <formula>LEN(TRIM(F50))=0</formula>
    </cfRule>
  </conditionalFormatting>
  <conditionalFormatting sqref="G50:G57">
    <cfRule type="expression" dxfId="637" priority="223">
      <formula>AND(OR($D50="GD&amp;T",$D50="MAX"),$G50&lt;&gt;"")</formula>
    </cfRule>
    <cfRule type="expression" dxfId="636" priority="224">
      <formula>AND(OR($D50="GD&amp;T",$D50="MAX"),$G50="")</formula>
    </cfRule>
    <cfRule type="containsBlanks" dxfId="635" priority="225">
      <formula>LEN(TRIM(G50))=0</formula>
    </cfRule>
  </conditionalFormatting>
  <conditionalFormatting sqref="K50:M57">
    <cfRule type="containsBlanks" dxfId="634" priority="222">
      <formula>LEN(TRIM(K50))=0</formula>
    </cfRule>
  </conditionalFormatting>
  <conditionalFormatting sqref="K50:M57">
    <cfRule type="expression" dxfId="633" priority="219">
      <formula>AND($J50&lt;&gt;"",K50&lt;$J50)</formula>
    </cfRule>
    <cfRule type="expression" dxfId="632" priority="220">
      <formula>AND($I50&lt;&gt;"",K50&gt;$I50)</formula>
    </cfRule>
    <cfRule type="notContainsBlanks" dxfId="631" priority="221">
      <formula>LEN(TRIM(K50))&gt;0</formula>
    </cfRule>
  </conditionalFormatting>
  <conditionalFormatting sqref="F50:F56">
    <cfRule type="expression" dxfId="630" priority="216">
      <formula>AND($D50="MIN",$F50&lt;&gt;"")</formula>
    </cfRule>
    <cfRule type="expression" dxfId="629" priority="217">
      <formula>AND($D50="MIN",$F50="")</formula>
    </cfRule>
    <cfRule type="containsBlanks" dxfId="628" priority="218">
      <formula>LEN(TRIM(F50))=0</formula>
    </cfRule>
  </conditionalFormatting>
  <conditionalFormatting sqref="G50:G56">
    <cfRule type="expression" dxfId="627" priority="213">
      <formula>AND(OR($D50="GD&amp;T",$D50="MAX"),$G50&lt;&gt;"")</formula>
    </cfRule>
    <cfRule type="expression" dxfId="626" priority="214">
      <formula>AND(OR($D50="GD&amp;T",$D50="MAX"),$G50="")</formula>
    </cfRule>
    <cfRule type="containsBlanks" dxfId="625" priority="215">
      <formula>LEN(TRIM(G50))=0</formula>
    </cfRule>
  </conditionalFormatting>
  <conditionalFormatting sqref="F52">
    <cfRule type="expression" dxfId="624" priority="210">
      <formula>AND($D52="MIN",$F52&lt;&gt;"")</formula>
    </cfRule>
    <cfRule type="expression" dxfId="623" priority="211">
      <formula>AND($D52="MIN",$F52="")</formula>
    </cfRule>
    <cfRule type="containsBlanks" dxfId="622" priority="212">
      <formula>LEN(TRIM(F52))=0</formula>
    </cfRule>
  </conditionalFormatting>
  <conditionalFormatting sqref="G52">
    <cfRule type="expression" dxfId="621" priority="207">
      <formula>AND(OR($D52="GD&amp;T",$D52="MAX"),$G52&lt;&gt;"")</formula>
    </cfRule>
    <cfRule type="expression" dxfId="620" priority="208">
      <formula>AND(OR($D52="GD&amp;T",$D52="MAX"),$G52="")</formula>
    </cfRule>
    <cfRule type="containsBlanks" dxfId="619" priority="209">
      <formula>LEN(TRIM(G52))=0</formula>
    </cfRule>
  </conditionalFormatting>
  <conditionalFormatting sqref="F52">
    <cfRule type="expression" dxfId="618" priority="204">
      <formula>AND($D52="MIN",$F52&lt;&gt;"")</formula>
    </cfRule>
    <cfRule type="expression" dxfId="617" priority="205">
      <formula>AND($D52="MIN",$F52="")</formula>
    </cfRule>
    <cfRule type="containsBlanks" dxfId="616" priority="206">
      <formula>LEN(TRIM(F52))=0</formula>
    </cfRule>
  </conditionalFormatting>
  <conditionalFormatting sqref="G52">
    <cfRule type="expression" dxfId="615" priority="201">
      <formula>AND(OR($D52="GD&amp;T",$D52="MAX"),$G52&lt;&gt;"")</formula>
    </cfRule>
    <cfRule type="expression" dxfId="614" priority="202">
      <formula>AND(OR($D52="GD&amp;T",$D52="MAX"),$G52="")</formula>
    </cfRule>
    <cfRule type="containsBlanks" dxfId="613" priority="203">
      <formula>LEN(TRIM(G52))=0</formula>
    </cfRule>
  </conditionalFormatting>
  <conditionalFormatting sqref="F52">
    <cfRule type="expression" dxfId="612" priority="198">
      <formula>AND($D52="MIN",$F52&lt;&gt;"")</formula>
    </cfRule>
    <cfRule type="expression" dxfId="611" priority="199">
      <formula>AND($D52="MIN",$F52="")</formula>
    </cfRule>
    <cfRule type="containsBlanks" dxfId="610" priority="200">
      <formula>LEN(TRIM(F52))=0</formula>
    </cfRule>
  </conditionalFormatting>
  <conditionalFormatting sqref="G52">
    <cfRule type="expression" dxfId="609" priority="195">
      <formula>AND(OR($D52="GD&amp;T",$D52="MAX"),$G52&lt;&gt;"")</formula>
    </cfRule>
    <cfRule type="expression" dxfId="608" priority="196">
      <formula>AND(OR($D52="GD&amp;T",$D52="MAX"),$G52="")</formula>
    </cfRule>
    <cfRule type="containsBlanks" dxfId="607" priority="197">
      <formula>LEN(TRIM(G52))=0</formula>
    </cfRule>
  </conditionalFormatting>
  <conditionalFormatting sqref="F52">
    <cfRule type="expression" dxfId="606" priority="192">
      <formula>AND($D52="MIN",$F52&lt;&gt;"")</formula>
    </cfRule>
    <cfRule type="expression" dxfId="605" priority="193">
      <formula>AND($D52="MIN",$F52="")</formula>
    </cfRule>
    <cfRule type="containsBlanks" dxfId="604" priority="194">
      <formula>LEN(TRIM(F52))=0</formula>
    </cfRule>
  </conditionalFormatting>
  <conditionalFormatting sqref="G52">
    <cfRule type="expression" dxfId="603" priority="189">
      <formula>AND(OR($D52="GD&amp;T",$D52="MAX"),$G52&lt;&gt;"")</formula>
    </cfRule>
    <cfRule type="expression" dxfId="602" priority="190">
      <formula>AND(OR($D52="GD&amp;T",$D52="MAX"),$G52="")</formula>
    </cfRule>
    <cfRule type="containsBlanks" dxfId="601" priority="191">
      <formula>LEN(TRIM(G52))=0</formula>
    </cfRule>
  </conditionalFormatting>
  <conditionalFormatting sqref="E50:E56">
    <cfRule type="expression" dxfId="600" priority="186">
      <formula>AND($D50&lt;&gt;"Tolerance",$E50&lt;&gt;"")</formula>
    </cfRule>
    <cfRule type="expression" dxfId="599" priority="187">
      <formula>AND(OR($D50="GD&amp;T",$D50="MAX",$D50="MIN"),$E50="")</formula>
    </cfRule>
    <cfRule type="containsBlanks" dxfId="598" priority="188">
      <formula>LEN(TRIM(E50))=0</formula>
    </cfRule>
  </conditionalFormatting>
  <conditionalFormatting sqref="E50:E56">
    <cfRule type="expression" dxfId="597" priority="183">
      <formula>AND($D50&lt;&gt;"Tolerance",$E50&lt;&gt;"")</formula>
    </cfRule>
    <cfRule type="expression" dxfId="596" priority="184">
      <formula>AND(OR($D50="GD&amp;T",$D50="MAX",$D50="MIN"),$E50="")</formula>
    </cfRule>
    <cfRule type="containsBlanks" dxfId="595" priority="185">
      <formula>LEN(TRIM(E50))=0</formula>
    </cfRule>
  </conditionalFormatting>
  <conditionalFormatting sqref="E51:E57">
    <cfRule type="expression" dxfId="594" priority="180">
      <formula>AND($D51&lt;&gt;"Tolerance",$E51&lt;&gt;"")</formula>
    </cfRule>
    <cfRule type="expression" dxfId="593" priority="181">
      <formula>AND(OR($D51="GD&amp;T",$D51="MAX",$D51="MIN"),$E51="")</formula>
    </cfRule>
    <cfRule type="containsBlanks" dxfId="592" priority="182">
      <formula>LEN(TRIM(E51))=0</formula>
    </cfRule>
  </conditionalFormatting>
  <conditionalFormatting sqref="F51:F57">
    <cfRule type="expression" dxfId="591" priority="177">
      <formula>AND($D51="MIN",$F51&lt;&gt;"")</formula>
    </cfRule>
    <cfRule type="expression" dxfId="590" priority="178">
      <formula>AND($D51="MIN",$F51="")</formula>
    </cfRule>
    <cfRule type="containsBlanks" dxfId="589" priority="179">
      <formula>LEN(TRIM(F51))=0</formula>
    </cfRule>
  </conditionalFormatting>
  <conditionalFormatting sqref="G51:G57">
    <cfRule type="expression" dxfId="588" priority="174">
      <formula>AND(OR($D51="GD&amp;T",$D51="MAX"),$G51&lt;&gt;"")</formula>
    </cfRule>
    <cfRule type="expression" dxfId="587" priority="175">
      <formula>AND(OR($D51="GD&amp;T",$D51="MAX"),$G51="")</formula>
    </cfRule>
    <cfRule type="containsBlanks" dxfId="586" priority="176">
      <formula>LEN(TRIM(G51))=0</formula>
    </cfRule>
  </conditionalFormatting>
  <conditionalFormatting sqref="K51:M57">
    <cfRule type="containsBlanks" dxfId="585" priority="173">
      <formula>LEN(TRIM(K51))=0</formula>
    </cfRule>
  </conditionalFormatting>
  <conditionalFormatting sqref="K51:M57">
    <cfRule type="expression" dxfId="584" priority="170">
      <formula>AND($J51&lt;&gt;"",K51&lt;$J51)</formula>
    </cfRule>
    <cfRule type="expression" dxfId="583" priority="171">
      <formula>AND($I51&lt;&gt;"",K51&gt;$I51)</formula>
    </cfRule>
    <cfRule type="notContainsBlanks" dxfId="582" priority="172">
      <formula>LEN(TRIM(K51))&gt;0</formula>
    </cfRule>
  </conditionalFormatting>
  <conditionalFormatting sqref="E51:E57">
    <cfRule type="expression" dxfId="581" priority="167">
      <formula>AND($D51&lt;&gt;"Tolerance",$E51&lt;&gt;"")</formula>
    </cfRule>
    <cfRule type="expression" dxfId="580" priority="168">
      <formula>AND(OR($D51="GD&amp;T",$D51="MAX",$D51="MIN"),$E51="")</formula>
    </cfRule>
    <cfRule type="containsBlanks" dxfId="579" priority="169">
      <formula>LEN(TRIM(E51))=0</formula>
    </cfRule>
  </conditionalFormatting>
  <conditionalFormatting sqref="F51:F57">
    <cfRule type="expression" dxfId="578" priority="164">
      <formula>AND($D51="MIN",$F51&lt;&gt;"")</formula>
    </cfRule>
    <cfRule type="expression" dxfId="577" priority="165">
      <formula>AND($D51="MIN",$F51="")</formula>
    </cfRule>
    <cfRule type="containsBlanks" dxfId="576" priority="166">
      <formula>LEN(TRIM(F51))=0</formula>
    </cfRule>
  </conditionalFormatting>
  <conditionalFormatting sqref="G51:G57">
    <cfRule type="expression" dxfId="575" priority="161">
      <formula>AND(OR($D51="GD&amp;T",$D51="MAX"),$G51&lt;&gt;"")</formula>
    </cfRule>
    <cfRule type="expression" dxfId="574" priority="162">
      <formula>AND(OR($D51="GD&amp;T",$D51="MAX"),$G51="")</formula>
    </cfRule>
    <cfRule type="containsBlanks" dxfId="573" priority="163">
      <formula>LEN(TRIM(G51))=0</formula>
    </cfRule>
  </conditionalFormatting>
  <conditionalFormatting sqref="F51">
    <cfRule type="expression" dxfId="572" priority="158">
      <formula>AND($D51="MIN",$F51&lt;&gt;"")</formula>
    </cfRule>
    <cfRule type="expression" dxfId="571" priority="159">
      <formula>AND($D51="MIN",$F51="")</formula>
    </cfRule>
    <cfRule type="containsBlanks" dxfId="570" priority="160">
      <formula>LEN(TRIM(F51))=0</formula>
    </cfRule>
  </conditionalFormatting>
  <conditionalFormatting sqref="G51">
    <cfRule type="expression" dxfId="569" priority="155">
      <formula>AND(OR($D51="GD&amp;T",$D51="MAX"),$G51&lt;&gt;"")</formula>
    </cfRule>
    <cfRule type="expression" dxfId="568" priority="156">
      <formula>AND(OR($D51="GD&amp;T",$D51="MAX"),$G51="")</formula>
    </cfRule>
    <cfRule type="containsBlanks" dxfId="567" priority="157">
      <formula>LEN(TRIM(G51))=0</formula>
    </cfRule>
  </conditionalFormatting>
  <conditionalFormatting sqref="E51">
    <cfRule type="expression" dxfId="566" priority="152">
      <formula>AND($D51&lt;&gt;"Tolerance",$E51&lt;&gt;"")</formula>
    </cfRule>
    <cfRule type="expression" dxfId="565" priority="153">
      <formula>AND(OR($D51="GD&amp;T",$D51="MAX",$D51="MIN"),$E51="")</formula>
    </cfRule>
    <cfRule type="containsBlanks" dxfId="564" priority="154">
      <formula>LEN(TRIM(E51))=0</formula>
    </cfRule>
  </conditionalFormatting>
  <conditionalFormatting sqref="E51">
    <cfRule type="expression" dxfId="563" priority="149">
      <formula>AND($D51&lt;&gt;"Tolerance",$E51&lt;&gt;"")</formula>
    </cfRule>
    <cfRule type="expression" dxfId="562" priority="150">
      <formula>AND(OR($D51="GD&amp;T",$D51="MAX",$D51="MIN"),$E51="")</formula>
    </cfRule>
    <cfRule type="containsBlanks" dxfId="561" priority="151">
      <formula>LEN(TRIM(E51))=0</formula>
    </cfRule>
  </conditionalFormatting>
  <conditionalFormatting sqref="E51">
    <cfRule type="expression" dxfId="560" priority="146">
      <formula>AND($D51="MIN",$F51&lt;&gt;"")</formula>
    </cfRule>
    <cfRule type="expression" dxfId="559" priority="147">
      <formula>AND($D51="MIN",$F51="")</formula>
    </cfRule>
    <cfRule type="containsBlanks" dxfId="558" priority="148">
      <formula>LEN(TRIM(E51))=0</formula>
    </cfRule>
  </conditionalFormatting>
  <conditionalFormatting sqref="E51">
    <cfRule type="expression" dxfId="557" priority="143">
      <formula>AND($D51="MIN",$F51&lt;&gt;"")</formula>
    </cfRule>
    <cfRule type="expression" dxfId="556" priority="144">
      <formula>AND($D51="MIN",$F51="")</formula>
    </cfRule>
    <cfRule type="containsBlanks" dxfId="555" priority="145">
      <formula>LEN(TRIM(E51))=0</formula>
    </cfRule>
  </conditionalFormatting>
  <conditionalFormatting sqref="F52">
    <cfRule type="expression" dxfId="554" priority="140">
      <formula>AND($D52="MIN",$F52&lt;&gt;"")</formula>
    </cfRule>
    <cfRule type="expression" dxfId="553" priority="141">
      <formula>AND($D52="MIN",$F52="")</formula>
    </cfRule>
    <cfRule type="containsBlanks" dxfId="552" priority="142">
      <formula>LEN(TRIM(F52))=0</formula>
    </cfRule>
  </conditionalFormatting>
  <conditionalFormatting sqref="G52">
    <cfRule type="expression" dxfId="551" priority="137">
      <formula>AND(OR($D52="GD&amp;T",$D52="MAX"),$G52&lt;&gt;"")</formula>
    </cfRule>
    <cfRule type="expression" dxfId="550" priority="138">
      <formula>AND(OR($D52="GD&amp;T",$D52="MAX"),$G52="")</formula>
    </cfRule>
    <cfRule type="containsBlanks" dxfId="549" priority="139">
      <formula>LEN(TRIM(G52))=0</formula>
    </cfRule>
  </conditionalFormatting>
  <conditionalFormatting sqref="F53">
    <cfRule type="expression" dxfId="548" priority="134">
      <formula>AND($D53="MIN",$F53&lt;&gt;"")</formula>
    </cfRule>
    <cfRule type="expression" dxfId="547" priority="135">
      <formula>AND($D53="MIN",$F53="")</formula>
    </cfRule>
    <cfRule type="containsBlanks" dxfId="546" priority="136">
      <formula>LEN(TRIM(F53))=0</formula>
    </cfRule>
  </conditionalFormatting>
  <conditionalFormatting sqref="G53">
    <cfRule type="expression" dxfId="545" priority="131">
      <formula>AND(OR($D53="GD&amp;T",$D53="MAX"),$G53&lt;&gt;"")</formula>
    </cfRule>
    <cfRule type="expression" dxfId="544" priority="132">
      <formula>AND(OR($D53="GD&amp;T",$D53="MAX"),$G53="")</formula>
    </cfRule>
    <cfRule type="containsBlanks" dxfId="543" priority="133">
      <formula>LEN(TRIM(G53))=0</formula>
    </cfRule>
  </conditionalFormatting>
  <conditionalFormatting sqref="F54">
    <cfRule type="expression" dxfId="542" priority="128">
      <formula>AND($D54="MIN",$F54&lt;&gt;"")</formula>
    </cfRule>
    <cfRule type="expression" dxfId="541" priority="129">
      <formula>AND($D54="MIN",$F54="")</formula>
    </cfRule>
    <cfRule type="containsBlanks" dxfId="540" priority="130">
      <formula>LEN(TRIM(F54))=0</formula>
    </cfRule>
  </conditionalFormatting>
  <conditionalFormatting sqref="G54">
    <cfRule type="expression" dxfId="539" priority="125">
      <formula>AND(OR($D54="GD&amp;T",$D54="MAX"),$G54&lt;&gt;"")</formula>
    </cfRule>
    <cfRule type="expression" dxfId="538" priority="126">
      <formula>AND(OR($D54="GD&amp;T",$D54="MAX"),$G54="")</formula>
    </cfRule>
    <cfRule type="containsBlanks" dxfId="537" priority="127">
      <formula>LEN(TRIM(G54))=0</formula>
    </cfRule>
  </conditionalFormatting>
  <conditionalFormatting sqref="F55">
    <cfRule type="expression" dxfId="536" priority="122">
      <formula>AND($D55="MIN",$F55&lt;&gt;"")</formula>
    </cfRule>
    <cfRule type="expression" dxfId="535" priority="123">
      <formula>AND($D55="MIN",$F55="")</formula>
    </cfRule>
    <cfRule type="containsBlanks" dxfId="534" priority="124">
      <formula>LEN(TRIM(F55))=0</formula>
    </cfRule>
  </conditionalFormatting>
  <conditionalFormatting sqref="G55">
    <cfRule type="expression" dxfId="533" priority="119">
      <formula>AND(OR($D55="GD&amp;T",$D55="MAX"),$G55&lt;&gt;"")</formula>
    </cfRule>
    <cfRule type="expression" dxfId="532" priority="120">
      <formula>AND(OR($D55="GD&amp;T",$D55="MAX"),$G55="")</formula>
    </cfRule>
    <cfRule type="containsBlanks" dxfId="531" priority="121">
      <formula>LEN(TRIM(G55))=0</formula>
    </cfRule>
  </conditionalFormatting>
  <conditionalFormatting sqref="K51:M57">
    <cfRule type="containsBlanks" dxfId="530" priority="118">
      <formula>LEN(TRIM(K51))=0</formula>
    </cfRule>
  </conditionalFormatting>
  <conditionalFormatting sqref="K51:M57">
    <cfRule type="expression" dxfId="529" priority="115">
      <formula>AND($J51&lt;&gt;"",K51&lt;$J51)</formula>
    </cfRule>
    <cfRule type="expression" dxfId="528" priority="116">
      <formula>AND($I51&lt;&gt;"",K51&gt;$I51)</formula>
    </cfRule>
    <cfRule type="notContainsBlanks" dxfId="527" priority="117">
      <formula>LEN(TRIM(K51))&gt;0</formula>
    </cfRule>
  </conditionalFormatting>
  <conditionalFormatting sqref="F52">
    <cfRule type="expression" dxfId="526" priority="112">
      <formula>AND($D52="MIN",$F52&lt;&gt;"")</formula>
    </cfRule>
    <cfRule type="expression" dxfId="525" priority="113">
      <formula>AND($D52="MIN",$F52="")</formula>
    </cfRule>
    <cfRule type="containsBlanks" dxfId="524" priority="114">
      <formula>LEN(TRIM(F52))=0</formula>
    </cfRule>
  </conditionalFormatting>
  <conditionalFormatting sqref="G52">
    <cfRule type="expression" dxfId="523" priority="109">
      <formula>AND(OR($D52="GD&amp;T",$D52="MAX"),$G52&lt;&gt;"")</formula>
    </cfRule>
    <cfRule type="expression" dxfId="522" priority="110">
      <formula>AND(OR($D52="GD&amp;T",$D52="MAX"),$G52="")</formula>
    </cfRule>
    <cfRule type="containsBlanks" dxfId="521" priority="111">
      <formula>LEN(TRIM(G52))=0</formula>
    </cfRule>
  </conditionalFormatting>
  <conditionalFormatting sqref="F53">
    <cfRule type="expression" dxfId="520" priority="106">
      <formula>AND($D53="MIN",$F53&lt;&gt;"")</formula>
    </cfRule>
    <cfRule type="expression" dxfId="519" priority="107">
      <formula>AND($D53="MIN",$F53="")</formula>
    </cfRule>
    <cfRule type="containsBlanks" dxfId="518" priority="108">
      <formula>LEN(TRIM(F53))=0</formula>
    </cfRule>
  </conditionalFormatting>
  <conditionalFormatting sqref="G53">
    <cfRule type="expression" dxfId="517" priority="103">
      <formula>AND(OR($D53="GD&amp;T",$D53="MAX"),$G53&lt;&gt;"")</formula>
    </cfRule>
    <cfRule type="expression" dxfId="516" priority="104">
      <formula>AND(OR($D53="GD&amp;T",$D53="MAX"),$G53="")</formula>
    </cfRule>
    <cfRule type="containsBlanks" dxfId="515" priority="105">
      <formula>LEN(TRIM(G53))=0</formula>
    </cfRule>
  </conditionalFormatting>
  <conditionalFormatting sqref="F54">
    <cfRule type="expression" dxfId="514" priority="100">
      <formula>AND($D54="MIN",$F54&lt;&gt;"")</formula>
    </cfRule>
    <cfRule type="expression" dxfId="513" priority="101">
      <formula>AND($D54="MIN",$F54="")</formula>
    </cfRule>
    <cfRule type="containsBlanks" dxfId="512" priority="102">
      <formula>LEN(TRIM(F54))=0</formula>
    </cfRule>
  </conditionalFormatting>
  <conditionalFormatting sqref="G54">
    <cfRule type="expression" dxfId="511" priority="97">
      <formula>AND(OR($D54="GD&amp;T",$D54="MAX"),$G54&lt;&gt;"")</formula>
    </cfRule>
    <cfRule type="expression" dxfId="510" priority="98">
      <formula>AND(OR($D54="GD&amp;T",$D54="MAX"),$G54="")</formula>
    </cfRule>
    <cfRule type="containsBlanks" dxfId="509" priority="99">
      <formula>LEN(TRIM(G54))=0</formula>
    </cfRule>
  </conditionalFormatting>
  <conditionalFormatting sqref="F55">
    <cfRule type="expression" dxfId="508" priority="94">
      <formula>AND($D55="MIN",$F55&lt;&gt;"")</formula>
    </cfRule>
    <cfRule type="expression" dxfId="507" priority="95">
      <formula>AND($D55="MIN",$F55="")</formula>
    </cfRule>
    <cfRule type="containsBlanks" dxfId="506" priority="96">
      <formula>LEN(TRIM(F55))=0</formula>
    </cfRule>
  </conditionalFormatting>
  <conditionalFormatting sqref="G55">
    <cfRule type="expression" dxfId="505" priority="91">
      <formula>AND(OR($D55="GD&amp;T",$D55="MAX"),$G55&lt;&gt;"")</formula>
    </cfRule>
    <cfRule type="expression" dxfId="504" priority="92">
      <formula>AND(OR($D55="GD&amp;T",$D55="MAX"),$G55="")</formula>
    </cfRule>
    <cfRule type="containsBlanks" dxfId="503" priority="93">
      <formula>LEN(TRIM(G55))=0</formula>
    </cfRule>
  </conditionalFormatting>
  <conditionalFormatting sqref="F56">
    <cfRule type="expression" dxfId="502" priority="88">
      <formula>AND($D56="MIN",$F56&lt;&gt;"")</formula>
    </cfRule>
    <cfRule type="expression" dxfId="501" priority="89">
      <formula>AND($D56="MIN",$F56="")</formula>
    </cfRule>
    <cfRule type="containsBlanks" dxfId="500" priority="90">
      <formula>LEN(TRIM(F56))=0</formula>
    </cfRule>
  </conditionalFormatting>
  <conditionalFormatting sqref="G56">
    <cfRule type="expression" dxfId="499" priority="85">
      <formula>AND(OR($D56="GD&amp;T",$D56="MAX"),$G56&lt;&gt;"")</formula>
    </cfRule>
    <cfRule type="expression" dxfId="498" priority="86">
      <formula>AND(OR($D56="GD&amp;T",$D56="MAX"),$G56="")</formula>
    </cfRule>
    <cfRule type="containsBlanks" dxfId="497" priority="87">
      <formula>LEN(TRIM(G56))=0</formula>
    </cfRule>
  </conditionalFormatting>
  <conditionalFormatting sqref="F57">
    <cfRule type="expression" dxfId="496" priority="82">
      <formula>AND($D57="MIN",$F57&lt;&gt;"")</formula>
    </cfRule>
    <cfRule type="expression" dxfId="495" priority="83">
      <formula>AND($D57="MIN",$F57="")</formula>
    </cfRule>
    <cfRule type="containsBlanks" dxfId="494" priority="84">
      <formula>LEN(TRIM(F57))=0</formula>
    </cfRule>
  </conditionalFormatting>
  <conditionalFormatting sqref="G57">
    <cfRule type="expression" dxfId="493" priority="79">
      <formula>AND(OR($D57="GD&amp;T",$D57="MAX"),$G57&lt;&gt;"")</formula>
    </cfRule>
    <cfRule type="expression" dxfId="492" priority="80">
      <formula>AND(OR($D57="GD&amp;T",$D57="MAX"),$G57="")</formula>
    </cfRule>
    <cfRule type="containsBlanks" dxfId="491" priority="81">
      <formula>LEN(TRIM(G57))=0</formula>
    </cfRule>
  </conditionalFormatting>
  <conditionalFormatting sqref="F13">
    <cfRule type="expression" dxfId="490" priority="76">
      <formula>AND($D13="MIN",$F13&lt;&gt;"")</formula>
    </cfRule>
    <cfRule type="expression" dxfId="489" priority="77">
      <formula>AND($D13="MIN",$F13="")</formula>
    </cfRule>
    <cfRule type="containsBlanks" dxfId="488" priority="78">
      <formula>LEN(TRIM(F13))=0</formula>
    </cfRule>
  </conditionalFormatting>
  <conditionalFormatting sqref="G13">
    <cfRule type="expression" dxfId="487" priority="73">
      <formula>AND(OR($D13="GD&amp;T",$D13="MAX"),$G13&lt;&gt;"")</formula>
    </cfRule>
    <cfRule type="expression" dxfId="486" priority="74">
      <formula>AND(OR($D13="GD&amp;T",$D13="MAX"),$G13="")</formula>
    </cfRule>
    <cfRule type="containsBlanks" dxfId="485" priority="75">
      <formula>LEN(TRIM(G13))=0</formula>
    </cfRule>
  </conditionalFormatting>
  <conditionalFormatting sqref="F14">
    <cfRule type="expression" dxfId="484" priority="70">
      <formula>AND($D14="MIN",$F14&lt;&gt;"")</formula>
    </cfRule>
    <cfRule type="expression" dxfId="483" priority="71">
      <formula>AND($D14="MIN",$F14="")</formula>
    </cfRule>
    <cfRule type="containsBlanks" dxfId="482" priority="72">
      <formula>LEN(TRIM(F14))=0</formula>
    </cfRule>
  </conditionalFormatting>
  <conditionalFormatting sqref="G14">
    <cfRule type="expression" dxfId="481" priority="67">
      <formula>AND(OR($D14="GD&amp;T",$D14="MAX"),$G14&lt;&gt;"")</formula>
    </cfRule>
    <cfRule type="expression" dxfId="480" priority="68">
      <formula>AND(OR($D14="GD&amp;T",$D14="MAX"),$G14="")</formula>
    </cfRule>
    <cfRule type="containsBlanks" dxfId="479" priority="69">
      <formula>LEN(TRIM(G14))=0</formula>
    </cfRule>
  </conditionalFormatting>
  <conditionalFormatting sqref="F15">
    <cfRule type="expression" dxfId="478" priority="64">
      <formula>AND($D15="MIN",$F15&lt;&gt;"")</formula>
    </cfRule>
    <cfRule type="expression" dxfId="477" priority="65">
      <formula>AND($D15="MIN",$F15="")</formula>
    </cfRule>
    <cfRule type="containsBlanks" dxfId="476" priority="66">
      <formula>LEN(TRIM(F15))=0</formula>
    </cfRule>
  </conditionalFormatting>
  <conditionalFormatting sqref="G15">
    <cfRule type="expression" dxfId="475" priority="61">
      <formula>AND(OR($D15="GD&amp;T",$D15="MAX"),$G15&lt;&gt;"")</formula>
    </cfRule>
    <cfRule type="expression" dxfId="474" priority="62">
      <formula>AND(OR($D15="GD&amp;T",$D15="MAX"),$G15="")</formula>
    </cfRule>
    <cfRule type="containsBlanks" dxfId="473" priority="63">
      <formula>LEN(TRIM(G15))=0</formula>
    </cfRule>
  </conditionalFormatting>
  <conditionalFormatting sqref="F19">
    <cfRule type="expression" dxfId="472" priority="58">
      <formula>AND($D19="MIN",$F19&lt;&gt;"")</formula>
    </cfRule>
    <cfRule type="expression" dxfId="471" priority="59">
      <formula>AND($D19="MIN",$F19="")</formula>
    </cfRule>
    <cfRule type="containsBlanks" dxfId="470" priority="60">
      <formula>LEN(TRIM(F19))=0</formula>
    </cfRule>
  </conditionalFormatting>
  <conditionalFormatting sqref="G19">
    <cfRule type="expression" dxfId="469" priority="55">
      <formula>AND(OR($D19="GD&amp;T",$D19="MAX"),$G19&lt;&gt;"")</formula>
    </cfRule>
    <cfRule type="expression" dxfId="468" priority="56">
      <formula>AND(OR($D19="GD&amp;T",$D19="MAX"),$G19="")</formula>
    </cfRule>
    <cfRule type="containsBlanks" dxfId="467" priority="57">
      <formula>LEN(TRIM(G19))=0</formula>
    </cfRule>
  </conditionalFormatting>
  <conditionalFormatting sqref="F20">
    <cfRule type="expression" dxfId="466" priority="52">
      <formula>AND($D20="MIN",$F20&lt;&gt;"")</formula>
    </cfRule>
    <cfRule type="expression" dxfId="465" priority="53">
      <formula>AND($D20="MIN",$F20="")</formula>
    </cfRule>
    <cfRule type="containsBlanks" dxfId="464" priority="54">
      <formula>LEN(TRIM(F20))=0</formula>
    </cfRule>
  </conditionalFormatting>
  <conditionalFormatting sqref="G20">
    <cfRule type="expression" dxfId="463" priority="49">
      <formula>AND(OR($D20="GD&amp;T",$D20="MAX"),$G20&lt;&gt;"")</formula>
    </cfRule>
    <cfRule type="expression" dxfId="462" priority="50">
      <formula>AND(OR($D20="GD&amp;T",$D20="MAX"),$G20="")</formula>
    </cfRule>
    <cfRule type="containsBlanks" dxfId="461" priority="51">
      <formula>LEN(TRIM(G20))=0</formula>
    </cfRule>
  </conditionalFormatting>
  <conditionalFormatting sqref="F19">
    <cfRule type="expression" dxfId="460" priority="46">
      <formula>AND($D19="MIN",$F19&lt;&gt;"")</formula>
    </cfRule>
    <cfRule type="expression" dxfId="459" priority="47">
      <formula>AND($D19="MIN",$F19="")</formula>
    </cfRule>
    <cfRule type="containsBlanks" dxfId="458" priority="48">
      <formula>LEN(TRIM(F19))=0</formula>
    </cfRule>
  </conditionalFormatting>
  <conditionalFormatting sqref="G19">
    <cfRule type="expression" dxfId="457" priority="43">
      <formula>AND(OR($D19="GD&amp;T",$D19="MAX"),$G19&lt;&gt;"")</formula>
    </cfRule>
    <cfRule type="expression" dxfId="456" priority="44">
      <formula>AND(OR($D19="GD&amp;T",$D19="MAX"),$G19="")</formula>
    </cfRule>
    <cfRule type="containsBlanks" dxfId="455" priority="45">
      <formula>LEN(TRIM(G19))=0</formula>
    </cfRule>
  </conditionalFormatting>
  <conditionalFormatting sqref="F20">
    <cfRule type="expression" dxfId="454" priority="40">
      <formula>AND($D20="MIN",$F20&lt;&gt;"")</formula>
    </cfRule>
    <cfRule type="expression" dxfId="453" priority="41">
      <formula>AND($D20="MIN",$F20="")</formula>
    </cfRule>
    <cfRule type="containsBlanks" dxfId="452" priority="42">
      <formula>LEN(TRIM(F20))=0</formula>
    </cfRule>
  </conditionalFormatting>
  <conditionalFormatting sqref="G20">
    <cfRule type="expression" dxfId="451" priority="37">
      <formula>AND(OR($D20="GD&amp;T",$D20="MAX"),$G20&lt;&gt;"")</formula>
    </cfRule>
    <cfRule type="expression" dxfId="450" priority="38">
      <formula>AND(OR($D20="GD&amp;T",$D20="MAX"),$G20="")</formula>
    </cfRule>
    <cfRule type="containsBlanks" dxfId="449" priority="39">
      <formula>LEN(TRIM(G20))=0</formula>
    </cfRule>
  </conditionalFormatting>
  <conditionalFormatting sqref="F21">
    <cfRule type="expression" dxfId="448" priority="34">
      <formula>AND($D21="MIN",$F21&lt;&gt;"")</formula>
    </cfRule>
    <cfRule type="expression" dxfId="447" priority="35">
      <formula>AND($D21="MIN",$F21="")</formula>
    </cfRule>
    <cfRule type="containsBlanks" dxfId="446" priority="36">
      <formula>LEN(TRIM(F21))=0</formula>
    </cfRule>
  </conditionalFormatting>
  <conditionalFormatting sqref="G21">
    <cfRule type="expression" dxfId="445" priority="31">
      <formula>AND(OR($D21="GD&amp;T",$D21="MAX"),$G21&lt;&gt;"")</formula>
    </cfRule>
    <cfRule type="expression" dxfId="444" priority="32">
      <formula>AND(OR($D21="GD&amp;T",$D21="MAX"),$G21="")</formula>
    </cfRule>
    <cfRule type="containsBlanks" dxfId="443" priority="33">
      <formula>LEN(TRIM(G21))=0</formula>
    </cfRule>
  </conditionalFormatting>
  <conditionalFormatting sqref="F22">
    <cfRule type="expression" dxfId="442" priority="28">
      <formula>AND($D22="MIN",$F22&lt;&gt;"")</formula>
    </cfRule>
    <cfRule type="expression" dxfId="441" priority="29">
      <formula>AND($D22="MIN",$F22="")</formula>
    </cfRule>
    <cfRule type="containsBlanks" dxfId="440" priority="30">
      <formula>LEN(TRIM(F22))=0</formula>
    </cfRule>
  </conditionalFormatting>
  <conditionalFormatting sqref="G22">
    <cfRule type="expression" dxfId="439" priority="25">
      <formula>AND(OR($D22="GD&amp;T",$D22="MAX"),$G22&lt;&gt;"")</formula>
    </cfRule>
    <cfRule type="expression" dxfId="438" priority="26">
      <formula>AND(OR($D22="GD&amp;T",$D22="MAX"),$G22="")</formula>
    </cfRule>
    <cfRule type="containsBlanks" dxfId="437" priority="27">
      <formula>LEN(TRIM(G22))=0</formula>
    </cfRule>
  </conditionalFormatting>
  <conditionalFormatting sqref="F21">
    <cfRule type="expression" dxfId="436" priority="22">
      <formula>AND($D21="MIN",$F21&lt;&gt;"")</formula>
    </cfRule>
    <cfRule type="expression" dxfId="435" priority="23">
      <formula>AND($D21="MIN",$F21="")</formula>
    </cfRule>
    <cfRule type="containsBlanks" dxfId="434" priority="24">
      <formula>LEN(TRIM(F21))=0</formula>
    </cfRule>
  </conditionalFormatting>
  <conditionalFormatting sqref="G21">
    <cfRule type="expression" dxfId="433" priority="19">
      <formula>AND(OR($D21="GD&amp;T",$D21="MAX"),$G21&lt;&gt;"")</formula>
    </cfRule>
    <cfRule type="expression" dxfId="432" priority="20">
      <formula>AND(OR($D21="GD&amp;T",$D21="MAX"),$G21="")</formula>
    </cfRule>
    <cfRule type="containsBlanks" dxfId="431" priority="21">
      <formula>LEN(TRIM(G21))=0</formula>
    </cfRule>
  </conditionalFormatting>
  <conditionalFormatting sqref="F22">
    <cfRule type="expression" dxfId="430" priority="16">
      <formula>AND($D22="MIN",$F22&lt;&gt;"")</formula>
    </cfRule>
    <cfRule type="expression" dxfId="429" priority="17">
      <formula>AND($D22="MIN",$F22="")</formula>
    </cfRule>
    <cfRule type="containsBlanks" dxfId="428" priority="18">
      <formula>LEN(TRIM(F22))=0</formula>
    </cfRule>
  </conditionalFormatting>
  <conditionalFormatting sqref="G22">
    <cfRule type="expression" dxfId="427" priority="13">
      <formula>AND(OR($D22="GD&amp;T",$D22="MAX"),$G22&lt;&gt;"")</formula>
    </cfRule>
    <cfRule type="expression" dxfId="426" priority="14">
      <formula>AND(OR($D22="GD&amp;T",$D22="MAX"),$G22="")</formula>
    </cfRule>
    <cfRule type="containsBlanks" dxfId="425" priority="15">
      <formula>LEN(TRIM(G22))=0</formula>
    </cfRule>
  </conditionalFormatting>
  <conditionalFormatting sqref="F23">
    <cfRule type="expression" dxfId="424" priority="10">
      <formula>AND($D23="MIN",$F23&lt;&gt;"")</formula>
    </cfRule>
    <cfRule type="expression" dxfId="423" priority="11">
      <formula>AND($D23="MIN",$F23="")</formula>
    </cfRule>
    <cfRule type="containsBlanks" dxfId="422" priority="12">
      <formula>LEN(TRIM(F23))=0</formula>
    </cfRule>
  </conditionalFormatting>
  <conditionalFormatting sqref="G23">
    <cfRule type="expression" dxfId="421" priority="7">
      <formula>AND(OR($D23="GD&amp;T",$D23="MAX"),$G23&lt;&gt;"")</formula>
    </cfRule>
    <cfRule type="expression" dxfId="420" priority="8">
      <formula>AND(OR($D23="GD&amp;T",$D23="MAX"),$G23="")</formula>
    </cfRule>
    <cfRule type="containsBlanks" dxfId="419" priority="9">
      <formula>LEN(TRIM(G23))=0</formula>
    </cfRule>
  </conditionalFormatting>
  <conditionalFormatting sqref="F23">
    <cfRule type="expression" dxfId="418" priority="4">
      <formula>AND($D23="MIN",$F23&lt;&gt;"")</formula>
    </cfRule>
    <cfRule type="expression" dxfId="417" priority="5">
      <formula>AND($D23="MIN",$F23="")</formula>
    </cfRule>
    <cfRule type="containsBlanks" dxfId="416" priority="6">
      <formula>LEN(TRIM(F23))=0</formula>
    </cfRule>
  </conditionalFormatting>
  <conditionalFormatting sqref="G23">
    <cfRule type="expression" dxfId="415" priority="1">
      <formula>AND(OR($D23="GD&amp;T",$D23="MAX"),$G23&lt;&gt;"")</formula>
    </cfRule>
    <cfRule type="expression" dxfId="414" priority="2">
      <formula>AND(OR($D23="GD&amp;T",$D23="MAX"),$G23="")</formula>
    </cfRule>
    <cfRule type="containsBlanks" dxfId="413" priority="3">
      <formula>LEN(TRIM(G23))=0</formula>
    </cfRule>
  </conditionalFormatting>
  <dataValidations count="1">
    <dataValidation type="list" allowBlank="1" showInputMessage="1" showErrorMessage="1" sqref="D11:D57">
      <formula1>"Tolerance,GD&amp;T,MIN,MAX"</formula1>
    </dataValidation>
  </dataValidations>
  <pageMargins left="0.75" right="0.75" top="1" bottom="1" header="0.5" footer="0.5"/>
  <pageSetup orientation="portrait"/>
  <legacyDrawing r:id="rId1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Setup!$J$2:$J$5</xm:f>
          </x14:formula1>
          <xm:sqref>D37:D59</xm:sqref>
        </x14:dataValidation>
        <x14:dataValidation type="list" allowBlank="1" showInputMessage="1" showErrorMessage="1">
          <x14:formula1>
            <xm:f>Setup!$H$2:$H$13</xm:f>
          </x14:formula1>
          <xm:sqref>H37:H59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C73"/>
  <sheetViews>
    <sheetView zoomScale="73" zoomScaleNormal="73" workbookViewId="0">
      <selection activeCell="W19" sqref="W19"/>
    </sheetView>
  </sheetViews>
  <sheetFormatPr defaultColWidth="12.6640625" defaultRowHeight="12.7" customHeight="1"/>
  <cols>
    <col min="1" max="1" width="0.88671875" style="14" customWidth="1"/>
    <col min="2" max="2" width="9" style="14" customWidth="1"/>
    <col min="3" max="3" width="10.88671875" style="14" customWidth="1"/>
    <col min="4" max="8" width="9" style="14" customWidth="1"/>
    <col min="9" max="10" width="9" style="14" hidden="1" customWidth="1"/>
    <col min="11" max="13" width="9" style="14" customWidth="1"/>
    <col min="14" max="14" width="0.88671875" style="14" customWidth="1"/>
    <col min="15" max="22" width="9" style="14" customWidth="1"/>
    <col min="23" max="23" width="36" style="79" customWidth="1"/>
    <col min="24" max="24" width="0.88671875" style="14" customWidth="1"/>
    <col min="25" max="16384" width="12.6640625" style="14"/>
  </cols>
  <sheetData>
    <row r="1" spans="1:29" s="11" customFormat="1" ht="21.95" customHeight="1">
      <c r="A1" s="109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</row>
    <row r="2" spans="1:29" s="12" customFormat="1" ht="14.1" customHeight="1">
      <c r="A2" s="15"/>
      <c r="B2" s="16" t="s">
        <v>1</v>
      </c>
      <c r="C2" s="16"/>
      <c r="D2" s="17"/>
      <c r="E2" s="17"/>
      <c r="F2" s="17"/>
      <c r="I2" s="17"/>
      <c r="J2" s="17"/>
      <c r="K2" s="15"/>
      <c r="L2" s="15"/>
      <c r="M2" s="15"/>
      <c r="N2" s="15"/>
      <c r="O2" s="17"/>
      <c r="P2" s="9"/>
      <c r="Q2" s="9"/>
      <c r="R2" s="9"/>
      <c r="S2" s="9"/>
      <c r="T2" s="9"/>
      <c r="U2" s="110" t="s">
        <v>2</v>
      </c>
      <c r="V2" s="110"/>
      <c r="W2" s="72"/>
      <c r="X2" s="15"/>
    </row>
    <row r="3" spans="1:29" s="12" customFormat="1" ht="9.25" customHeight="1">
      <c r="A3" s="15"/>
      <c r="B3" s="17"/>
      <c r="C3" s="17"/>
      <c r="D3" s="15"/>
      <c r="E3" s="15"/>
      <c r="F3" s="17"/>
      <c r="G3" s="17"/>
      <c r="H3" s="17"/>
      <c r="I3" s="17"/>
      <c r="J3" s="17"/>
      <c r="K3" s="15"/>
      <c r="L3" s="15"/>
      <c r="M3" s="15"/>
      <c r="N3" s="15"/>
      <c r="O3" s="17"/>
      <c r="P3" s="17"/>
      <c r="Q3" s="17"/>
      <c r="R3" s="17"/>
      <c r="S3" s="17"/>
      <c r="T3" s="15"/>
      <c r="U3" s="15"/>
      <c r="V3" s="17"/>
      <c r="W3" s="72"/>
      <c r="X3" s="15"/>
    </row>
    <row r="4" spans="1:29" s="12" customFormat="1" ht="18.8" customHeight="1">
      <c r="A4" s="9"/>
      <c r="B4" s="98" t="s">
        <v>3</v>
      </c>
      <c r="C4" s="99"/>
      <c r="D4" s="105"/>
      <c r="E4" s="106"/>
      <c r="F4" s="106"/>
      <c r="G4" s="106"/>
      <c r="H4" s="107"/>
      <c r="I4" s="17"/>
      <c r="J4" s="17"/>
      <c r="K4" s="103" t="s">
        <v>4</v>
      </c>
      <c r="L4" s="104"/>
      <c r="M4" s="105" t="s">
        <v>63</v>
      </c>
      <c r="N4" s="106"/>
      <c r="O4" s="106"/>
      <c r="P4" s="106"/>
      <c r="Q4" s="107"/>
      <c r="R4" s="98" t="s">
        <v>5</v>
      </c>
      <c r="S4" s="108"/>
      <c r="T4" s="99"/>
      <c r="U4" s="105" t="s">
        <v>83</v>
      </c>
      <c r="V4" s="106"/>
      <c r="W4" s="106"/>
      <c r="X4" s="107"/>
      <c r="Y4" s="9"/>
      <c r="Z4" s="9"/>
      <c r="AA4" s="9"/>
      <c r="AB4" s="9"/>
      <c r="AC4" s="9"/>
    </row>
    <row r="5" spans="1:29" s="12" customFormat="1" ht="18.8" customHeight="1">
      <c r="A5" s="9"/>
      <c r="B5" s="98" t="s">
        <v>6</v>
      </c>
      <c r="C5" s="99"/>
      <c r="D5" s="105" t="s">
        <v>69</v>
      </c>
      <c r="E5" s="106"/>
      <c r="F5" s="106"/>
      <c r="G5" s="106"/>
      <c r="H5" s="107"/>
      <c r="I5" s="17"/>
      <c r="J5" s="17"/>
      <c r="K5" s="103" t="s">
        <v>7</v>
      </c>
      <c r="L5" s="104"/>
      <c r="M5" s="105" t="s">
        <v>84</v>
      </c>
      <c r="N5" s="106"/>
      <c r="O5" s="106"/>
      <c r="P5" s="106"/>
      <c r="Q5" s="107"/>
      <c r="R5" s="98" t="s">
        <v>8</v>
      </c>
      <c r="S5" s="108"/>
      <c r="T5" s="99"/>
      <c r="U5" s="95"/>
      <c r="V5" s="96"/>
      <c r="W5" s="96"/>
      <c r="X5" s="97"/>
      <c r="Y5" s="9"/>
      <c r="Z5" s="9"/>
      <c r="AA5" s="9"/>
      <c r="AB5" s="9"/>
      <c r="AC5" s="9"/>
    </row>
    <row r="6" spans="1:29" s="12" customFormat="1" ht="18.8" customHeight="1">
      <c r="A6" s="9"/>
      <c r="B6" s="98" t="s">
        <v>9</v>
      </c>
      <c r="C6" s="99"/>
      <c r="D6" s="100"/>
      <c r="E6" s="101"/>
      <c r="F6" s="101"/>
      <c r="G6" s="101"/>
      <c r="H6" s="102"/>
      <c r="I6" s="17"/>
      <c r="J6" s="17"/>
      <c r="K6" s="103" t="s">
        <v>10</v>
      </c>
      <c r="L6" s="104"/>
      <c r="M6" s="105" t="s">
        <v>85</v>
      </c>
      <c r="N6" s="106"/>
      <c r="O6" s="106"/>
      <c r="P6" s="106"/>
      <c r="Q6" s="107"/>
      <c r="R6" s="98" t="s">
        <v>11</v>
      </c>
      <c r="S6" s="108"/>
      <c r="T6" s="99"/>
      <c r="U6" s="95"/>
      <c r="V6" s="96"/>
      <c r="W6" s="96"/>
      <c r="X6" s="97"/>
      <c r="Y6" s="9"/>
      <c r="Z6" s="9"/>
      <c r="AA6" s="9"/>
      <c r="AB6" s="9"/>
      <c r="AC6" s="9"/>
    </row>
    <row r="7" spans="1:29" s="12" customFormat="1" ht="9.25" customHeight="1">
      <c r="A7" s="18"/>
      <c r="B7" s="19"/>
      <c r="C7" s="18"/>
      <c r="D7" s="19"/>
      <c r="E7" s="19"/>
      <c r="F7" s="18"/>
      <c r="G7" s="19"/>
      <c r="H7" s="18"/>
      <c r="I7" s="19"/>
      <c r="J7" s="18"/>
      <c r="K7" s="19"/>
      <c r="L7" s="18"/>
      <c r="M7" s="19"/>
      <c r="N7" s="18"/>
      <c r="O7" s="19"/>
      <c r="P7" s="18"/>
      <c r="Q7" s="19"/>
      <c r="R7" s="18"/>
      <c r="S7" s="19"/>
      <c r="T7" s="18"/>
      <c r="U7" s="19"/>
      <c r="V7" s="18"/>
      <c r="W7" s="72"/>
      <c r="X7" s="15"/>
    </row>
    <row r="8" spans="1:29" s="13" customFormat="1" ht="15.05" customHeight="1">
      <c r="A8" s="81" t="s">
        <v>12</v>
      </c>
      <c r="B8" s="82"/>
      <c r="C8" s="82"/>
      <c r="D8" s="82"/>
      <c r="E8" s="82"/>
      <c r="F8" s="82"/>
      <c r="G8" s="82"/>
      <c r="H8" s="82"/>
      <c r="I8" s="82"/>
      <c r="J8" s="83"/>
      <c r="K8" s="81" t="s">
        <v>13</v>
      </c>
      <c r="L8" s="82"/>
      <c r="M8" s="82"/>
      <c r="N8" s="82"/>
      <c r="O8" s="82"/>
      <c r="P8" s="82"/>
      <c r="Q8" s="83"/>
      <c r="R8" s="81" t="s">
        <v>14</v>
      </c>
      <c r="S8" s="82"/>
      <c r="T8" s="82"/>
      <c r="U8" s="82"/>
      <c r="V8" s="83"/>
      <c r="W8" s="84" t="s">
        <v>15</v>
      </c>
      <c r="X8" s="85"/>
    </row>
    <row r="9" spans="1:29" s="12" customFormat="1" ht="15.05" customHeight="1">
      <c r="A9" s="20"/>
      <c r="B9" s="50"/>
      <c r="C9" s="51"/>
      <c r="D9" s="52"/>
      <c r="E9" s="52"/>
      <c r="F9" s="51"/>
      <c r="G9" s="51"/>
      <c r="H9" s="89" t="s">
        <v>16</v>
      </c>
      <c r="I9" s="91" t="s">
        <v>17</v>
      </c>
      <c r="J9" s="91" t="s">
        <v>18</v>
      </c>
      <c r="K9" s="86" t="s">
        <v>19</v>
      </c>
      <c r="L9" s="87"/>
      <c r="M9" s="88"/>
      <c r="N9" s="49"/>
      <c r="O9" s="86" t="s">
        <v>20</v>
      </c>
      <c r="P9" s="87"/>
      <c r="Q9" s="88"/>
      <c r="R9" s="93" t="s">
        <v>21</v>
      </c>
      <c r="S9" s="53" t="s">
        <v>22</v>
      </c>
      <c r="T9" s="54"/>
      <c r="U9" s="34" t="s">
        <v>23</v>
      </c>
      <c r="V9" s="33"/>
      <c r="W9" s="73"/>
      <c r="X9" s="20"/>
    </row>
    <row r="10" spans="1:29" s="12" customFormat="1" ht="50.75">
      <c r="A10" s="21"/>
      <c r="B10" s="56" t="s">
        <v>24</v>
      </c>
      <c r="C10" s="56" t="s">
        <v>25</v>
      </c>
      <c r="D10" s="57" t="s">
        <v>26</v>
      </c>
      <c r="E10" s="58" t="s">
        <v>27</v>
      </c>
      <c r="F10" s="59" t="s">
        <v>64</v>
      </c>
      <c r="G10" s="59" t="s">
        <v>65</v>
      </c>
      <c r="H10" s="90"/>
      <c r="I10" s="92"/>
      <c r="J10" s="92"/>
      <c r="K10" s="60">
        <v>1</v>
      </c>
      <c r="L10" s="60">
        <v>2</v>
      </c>
      <c r="M10" s="60">
        <v>3</v>
      </c>
      <c r="N10" s="55"/>
      <c r="O10" s="61">
        <v>1</v>
      </c>
      <c r="P10" s="61">
        <v>2</v>
      </c>
      <c r="Q10" s="61">
        <v>3</v>
      </c>
      <c r="R10" s="94"/>
      <c r="S10" s="56" t="s">
        <v>28</v>
      </c>
      <c r="T10" s="62" t="s">
        <v>29</v>
      </c>
      <c r="U10" s="22" t="s">
        <v>30</v>
      </c>
      <c r="V10" s="35" t="s">
        <v>31</v>
      </c>
      <c r="W10" s="74" t="s">
        <v>32</v>
      </c>
      <c r="X10" s="21"/>
    </row>
    <row r="11" spans="1:29" s="12" customFormat="1" ht="18" customHeight="1">
      <c r="A11" s="23"/>
      <c r="B11" s="44">
        <v>1</v>
      </c>
      <c r="C11" s="67" t="s">
        <v>70</v>
      </c>
      <c r="D11" s="40" t="s">
        <v>39</v>
      </c>
      <c r="E11" s="41">
        <v>9.8699999999999992</v>
      </c>
      <c r="F11" s="42">
        <v>0.05</v>
      </c>
      <c r="G11" s="42">
        <v>-0.05</v>
      </c>
      <c r="H11" s="43" t="s">
        <v>44</v>
      </c>
      <c r="I11" s="29">
        <f>IF(AND(E11="",F11=""),"",IF(E11="",F11,E11+F11))</f>
        <v>9.92</v>
      </c>
      <c r="J11" s="29">
        <f>IF(AND(E11="",G11=""),"",IF(E11="",G11,E11+G11))</f>
        <v>9.8199999999999985</v>
      </c>
      <c r="K11" s="30">
        <v>9.8810000000000002</v>
      </c>
      <c r="L11" s="30">
        <v>9.8729999999999993</v>
      </c>
      <c r="M11" s="30">
        <v>9.8859999999999992</v>
      </c>
      <c r="N11" s="23"/>
      <c r="O11" s="31">
        <f t="shared" ref="O11:O13" si="0">IF(ISERR(K11/K11)=TRUE," ",K11-$E11)</f>
        <v>1.1000000000001009E-2</v>
      </c>
      <c r="P11" s="32">
        <f t="shared" ref="P11:P13" si="1">IF(ISERR(L11/L11)=TRUE," ",L11-$E11)</f>
        <v>3.0000000000001137E-3</v>
      </c>
      <c r="Q11" s="32">
        <f t="shared" ref="Q11:Q13" si="2">IF(ISERR(M11/M11)=TRUE," ",M11-$E11)</f>
        <v>1.6000000000000014E-2</v>
      </c>
      <c r="R11" s="36">
        <f t="shared" ref="R11:R13" si="3">IF(ISERR(K11/K11)=TRUE," ",AVERAGE(K11:M11))</f>
        <v>9.879999999999999</v>
      </c>
      <c r="S11" s="37">
        <f t="shared" ref="S11:S13" si="4">IF(ISERR(F11/F11)=TRUE," ",IF(ISERR(K11/K11)=TRUE," ",IF(ISNUMBER($K11)=FALSE," ",IF(MAX($K11:$M11)&lt;$E11,0,(MAX($K11:$M11)-$E11)/$F11))))</f>
        <v>0.32000000000000028</v>
      </c>
      <c r="T11" s="37">
        <f t="shared" ref="T11:T13" si="5">IF(ISERR(G11/E11)=TRUE," ",IF(ISERR(G11/G11)=TRUE," ",IF(ISERR(K11/K11)=TRUE," ",IF(ISNUMBER(K11)=FALSE," ",IF(MIN(K11:M11)&gt;$E11,0,($E11-MIN(K11:M11))/-G11)))))</f>
        <v>0</v>
      </c>
      <c r="U11" s="38" t="str">
        <f t="shared" ref="U11:U73" si="6">IF(ISNUMBER($S11)=TRUE,IF($S11&gt;0.651,IF($S11&gt;1.001,"Reject","Alert")," ")," ")</f>
        <v xml:space="preserve"> </v>
      </c>
      <c r="V11" s="38" t="str">
        <f t="shared" ref="V11:V13" si="7">IF(K11="","",IF(ISERR(G11/G11)=TRUE," ",IF(ISERR(G11/E11)=TRUE,IF((G11-MIN(K11:M11))&gt;0.001,"Reject",""),IF(ISNUMBER($T11)=TRUE,IF($T11&gt;0.651,IF($T11&gt;1.001,"Reject","Alert")," ")," "))))</f>
        <v xml:space="preserve"> </v>
      </c>
      <c r="W11" s="75"/>
      <c r="X11" s="23"/>
    </row>
    <row r="12" spans="1:29" s="12" customFormat="1" ht="18" customHeight="1">
      <c r="A12" s="23"/>
      <c r="B12" s="44">
        <v>2</v>
      </c>
      <c r="C12" s="67" t="s">
        <v>78</v>
      </c>
      <c r="D12" s="40" t="s">
        <v>39</v>
      </c>
      <c r="E12" s="41">
        <v>1.7</v>
      </c>
      <c r="F12" s="42">
        <v>0.03</v>
      </c>
      <c r="G12" s="42">
        <v>-0.03</v>
      </c>
      <c r="H12" s="43" t="s">
        <v>62</v>
      </c>
      <c r="I12" s="29">
        <f t="shared" ref="I12:I18" si="8">IF(AND(E12="",F12=""),"",IF(E12="",F12,E12+F12))</f>
        <v>1.73</v>
      </c>
      <c r="J12" s="29">
        <f t="shared" ref="J12:J18" si="9">IF(AND(E12="",G12=""),"",IF(E12="",G12,E12+G12))</f>
        <v>1.67</v>
      </c>
      <c r="K12" s="30">
        <v>1.718</v>
      </c>
      <c r="L12" s="30">
        <v>1.712</v>
      </c>
      <c r="M12" s="30">
        <v>1.716</v>
      </c>
      <c r="N12" s="23"/>
      <c r="O12" s="31">
        <f t="shared" si="0"/>
        <v>1.8000000000000016E-2</v>
      </c>
      <c r="P12" s="32">
        <f t="shared" si="1"/>
        <v>1.2000000000000011E-2</v>
      </c>
      <c r="Q12" s="32">
        <f t="shared" si="2"/>
        <v>1.6000000000000014E-2</v>
      </c>
      <c r="R12" s="36">
        <f t="shared" si="3"/>
        <v>1.7153333333333334</v>
      </c>
      <c r="S12" s="37">
        <f t="shared" si="4"/>
        <v>0.60000000000000053</v>
      </c>
      <c r="T12" s="37">
        <f t="shared" si="5"/>
        <v>0</v>
      </c>
      <c r="U12" s="38" t="str">
        <f t="shared" si="6"/>
        <v xml:space="preserve"> </v>
      </c>
      <c r="V12" s="38" t="str">
        <f t="shared" si="7"/>
        <v xml:space="preserve"> </v>
      </c>
      <c r="W12" s="75"/>
      <c r="X12" s="23"/>
    </row>
    <row r="13" spans="1:29" s="12" customFormat="1" ht="18" customHeight="1">
      <c r="A13" s="23"/>
      <c r="B13" s="44"/>
      <c r="C13" s="67" t="s">
        <v>77</v>
      </c>
      <c r="D13" s="40" t="s">
        <v>39</v>
      </c>
      <c r="E13" s="41">
        <v>1.7</v>
      </c>
      <c r="F13" s="42">
        <v>0.03</v>
      </c>
      <c r="G13" s="42">
        <v>-0.03</v>
      </c>
      <c r="H13" s="43" t="s">
        <v>62</v>
      </c>
      <c r="I13" s="29">
        <f t="shared" si="8"/>
        <v>1.73</v>
      </c>
      <c r="J13" s="29">
        <f t="shared" si="9"/>
        <v>1.67</v>
      </c>
      <c r="K13" s="30">
        <v>1.71</v>
      </c>
      <c r="L13" s="30">
        <v>1.716</v>
      </c>
      <c r="M13" s="30">
        <v>1.72</v>
      </c>
      <c r="N13" s="23"/>
      <c r="O13" s="31">
        <f t="shared" si="0"/>
        <v>1.0000000000000009E-2</v>
      </c>
      <c r="P13" s="32">
        <f t="shared" si="1"/>
        <v>1.6000000000000014E-2</v>
      </c>
      <c r="Q13" s="32">
        <f t="shared" si="2"/>
        <v>2.0000000000000018E-2</v>
      </c>
      <c r="R13" s="36">
        <f t="shared" si="3"/>
        <v>1.7153333333333334</v>
      </c>
      <c r="S13" s="37">
        <f t="shared" si="4"/>
        <v>0.6666666666666673</v>
      </c>
      <c r="T13" s="37">
        <f t="shared" si="5"/>
        <v>0</v>
      </c>
      <c r="U13" s="38" t="str">
        <f t="shared" si="6"/>
        <v>Alert</v>
      </c>
      <c r="V13" s="38" t="str">
        <f t="shared" si="7"/>
        <v xml:space="preserve"> </v>
      </c>
      <c r="W13" s="75"/>
      <c r="X13" s="23"/>
    </row>
    <row r="14" spans="1:29" s="12" customFormat="1" ht="18" customHeight="1">
      <c r="A14" s="23"/>
      <c r="B14" s="39">
        <v>3</v>
      </c>
      <c r="C14" s="67" t="s">
        <v>71</v>
      </c>
      <c r="D14" s="40" t="s">
        <v>39</v>
      </c>
      <c r="E14" s="41">
        <v>3.37</v>
      </c>
      <c r="F14" s="42">
        <v>0.05</v>
      </c>
      <c r="G14" s="42">
        <v>-0.05</v>
      </c>
      <c r="H14" s="43" t="s">
        <v>44</v>
      </c>
      <c r="I14" s="29">
        <f t="shared" si="8"/>
        <v>3.42</v>
      </c>
      <c r="J14" s="29">
        <f t="shared" si="9"/>
        <v>3.3200000000000003</v>
      </c>
      <c r="K14" s="30">
        <v>3.363</v>
      </c>
      <c r="L14" s="30">
        <v>3.3559999999999999</v>
      </c>
      <c r="M14" s="30">
        <v>3.3620000000000001</v>
      </c>
      <c r="N14" s="23"/>
      <c r="O14" s="31">
        <f t="shared" ref="O14:Q73" si="10">IF(ISERR(K14/K14)=TRUE," ",K14-$E14)</f>
        <v>-7.0000000000001172E-3</v>
      </c>
      <c r="P14" s="32">
        <f t="shared" si="10"/>
        <v>-1.4000000000000234E-2</v>
      </c>
      <c r="Q14" s="32">
        <f t="shared" si="10"/>
        <v>-8.0000000000000071E-3</v>
      </c>
      <c r="R14" s="36">
        <f t="shared" ref="R14:R73" si="11">IF(ISERR(K14/K14)=TRUE," ",AVERAGE(K14:M14))</f>
        <v>3.3603333333333332</v>
      </c>
      <c r="S14" s="37">
        <f t="shared" ref="S14:S73" si="12">IF(ISERR(F14/F14)=TRUE," ",IF(ISERR(K14/K14)=TRUE," ",IF(ISNUMBER($K14)=FALSE," ",IF(MAX($K14:$M14)&lt;$E14,0,(MAX($K14:$M14)-$E14)/$F14))))</f>
        <v>0</v>
      </c>
      <c r="T14" s="37">
        <f t="shared" ref="T14:T73" si="13">IF(ISERR(G14/E14)=TRUE," ",IF(ISERR(G14/G14)=TRUE," ",IF(ISERR(K14/K14)=TRUE," ",IF(ISNUMBER(K14)=FALSE," ",IF(MIN(K14:M14)&gt;$E14,0,($E14-MIN(K14:M14))/-G14)))))</f>
        <v>0.28000000000000469</v>
      </c>
      <c r="U14" s="38" t="str">
        <f t="shared" si="6"/>
        <v xml:space="preserve"> </v>
      </c>
      <c r="V14" s="38" t="str">
        <f t="shared" ref="V14:V73" si="14">IF(K14="","",IF(ISERR(G14/G14)=TRUE," ",IF(ISERR(G14/E14)=TRUE,IF((G14-MIN(K14:M14))&gt;0.001,"Reject",""),IF(ISNUMBER($T14)=TRUE,IF($T14&gt;0.651,IF($T14&gt;1.001,"Reject","Alert")," ")," "))))</f>
        <v xml:space="preserve"> </v>
      </c>
      <c r="W14" s="76"/>
      <c r="X14" s="23"/>
    </row>
    <row r="15" spans="1:29" s="12" customFormat="1" ht="18" customHeight="1">
      <c r="A15" s="23"/>
      <c r="B15" s="44">
        <v>4</v>
      </c>
      <c r="C15" s="67" t="s">
        <v>72</v>
      </c>
      <c r="D15" s="40" t="s">
        <v>39</v>
      </c>
      <c r="E15" s="41">
        <v>1.69</v>
      </c>
      <c r="F15" s="42">
        <v>0.05</v>
      </c>
      <c r="G15" s="42">
        <v>-0.05</v>
      </c>
      <c r="H15" s="43" t="s">
        <v>62</v>
      </c>
      <c r="I15" s="29">
        <f t="shared" si="8"/>
        <v>1.74</v>
      </c>
      <c r="J15" s="29">
        <f t="shared" si="9"/>
        <v>1.64</v>
      </c>
      <c r="K15" s="30">
        <v>1.6819999999999999</v>
      </c>
      <c r="L15" s="30">
        <v>1.6739999999999999</v>
      </c>
      <c r="M15" s="30">
        <v>1.6779999999999999</v>
      </c>
      <c r="N15" s="23"/>
      <c r="O15" s="31">
        <f t="shared" ref="O15:O23" si="15">IF(ISERR(K15/K15)=TRUE," ",K15-$E15)</f>
        <v>-8.0000000000000071E-3</v>
      </c>
      <c r="P15" s="32">
        <f t="shared" ref="P15:P23" si="16">IF(ISERR(L15/L15)=TRUE," ",L15-$E15)</f>
        <v>-1.6000000000000014E-2</v>
      </c>
      <c r="Q15" s="32">
        <f t="shared" ref="Q15:Q23" si="17">IF(ISERR(M15/M15)=TRUE," ",M15-$E15)</f>
        <v>-1.2000000000000011E-2</v>
      </c>
      <c r="R15" s="36">
        <f t="shared" ref="R15:R23" si="18">IF(ISERR(K15/K15)=TRUE," ",AVERAGE(K15:M15))</f>
        <v>1.6779999999999999</v>
      </c>
      <c r="S15" s="37">
        <f t="shared" ref="S15:S23" si="19">IF(ISERR(F15/F15)=TRUE," ",IF(ISERR(K15/K15)=TRUE," ",IF(ISNUMBER($K15)=FALSE," ",IF(MAX($K15:$M15)&lt;$E15,0,(MAX($K15:$M15)-$E15)/$F15))))</f>
        <v>0</v>
      </c>
      <c r="T15" s="37">
        <f t="shared" ref="T15:T23" si="20">IF(ISERR(G15/E15)=TRUE," ",IF(ISERR(G15/G15)=TRUE," ",IF(ISERR(K15/K15)=TRUE," ",IF(ISNUMBER(K15)=FALSE," ",IF(MIN(K15:M15)&gt;$E15,0,($E15-MIN(K15:M15))/-G15)))))</f>
        <v>0.32000000000000028</v>
      </c>
      <c r="U15" s="38" t="str">
        <f t="shared" si="6"/>
        <v xml:space="preserve"> </v>
      </c>
      <c r="V15" s="38" t="str">
        <f t="shared" ref="V15:V23" si="21">IF(K15="","",IF(ISERR(G15/G15)=TRUE," ",IF(ISERR(G15/E15)=TRUE,IF((G15-MIN(K15:M15))&gt;0.001,"Reject",""),IF(ISNUMBER($T15)=TRUE,IF($T15&gt;0.651,IF($T15&gt;1.001,"Reject","Alert")," ")," "))))</f>
        <v xml:space="preserve"> </v>
      </c>
      <c r="W15" s="76"/>
      <c r="X15" s="23"/>
    </row>
    <row r="16" spans="1:29" s="12" customFormat="1" ht="18" customHeight="1">
      <c r="A16" s="23"/>
      <c r="B16" s="44">
        <v>5</v>
      </c>
      <c r="C16" s="45" t="s">
        <v>73</v>
      </c>
      <c r="D16" s="40" t="s">
        <v>39</v>
      </c>
      <c r="E16" s="41">
        <v>12</v>
      </c>
      <c r="F16" s="42">
        <v>0.08</v>
      </c>
      <c r="G16" s="42">
        <v>-0.08</v>
      </c>
      <c r="H16" s="43" t="s">
        <v>62</v>
      </c>
      <c r="I16" s="29">
        <f t="shared" si="8"/>
        <v>12.08</v>
      </c>
      <c r="J16" s="29">
        <f t="shared" si="9"/>
        <v>11.92</v>
      </c>
      <c r="K16" s="30">
        <v>11.972</v>
      </c>
      <c r="L16" s="30">
        <v>11.976000000000001</v>
      </c>
      <c r="M16" s="30">
        <v>11.978</v>
      </c>
      <c r="N16" s="23"/>
      <c r="O16" s="31">
        <f t="shared" si="15"/>
        <v>-2.8000000000000469E-2</v>
      </c>
      <c r="P16" s="32">
        <f t="shared" si="16"/>
        <v>-2.3999999999999133E-2</v>
      </c>
      <c r="Q16" s="32">
        <f t="shared" si="17"/>
        <v>-2.2000000000000242E-2</v>
      </c>
      <c r="R16" s="36">
        <f t="shared" si="18"/>
        <v>11.975333333333333</v>
      </c>
      <c r="S16" s="37">
        <f t="shared" si="19"/>
        <v>0</v>
      </c>
      <c r="T16" s="37">
        <f t="shared" si="20"/>
        <v>0.35000000000000586</v>
      </c>
      <c r="U16" s="38" t="str">
        <f t="shared" si="6"/>
        <v xml:space="preserve"> </v>
      </c>
      <c r="V16" s="38" t="str">
        <f t="shared" si="21"/>
        <v xml:space="preserve"> </v>
      </c>
      <c r="W16" s="76"/>
      <c r="X16" s="23"/>
    </row>
    <row r="17" spans="1:24" s="12" customFormat="1" ht="18" customHeight="1">
      <c r="A17" s="23"/>
      <c r="B17" s="44">
        <v>6</v>
      </c>
      <c r="C17" s="46" t="s">
        <v>74</v>
      </c>
      <c r="D17" s="40" t="s">
        <v>39</v>
      </c>
      <c r="E17" s="41">
        <v>3.4</v>
      </c>
      <c r="F17" s="42">
        <v>0.05</v>
      </c>
      <c r="G17" s="42">
        <v>-0.05</v>
      </c>
      <c r="H17" s="43" t="s">
        <v>67</v>
      </c>
      <c r="I17" s="29">
        <f t="shared" si="8"/>
        <v>3.4499999999999997</v>
      </c>
      <c r="J17" s="29">
        <f t="shared" si="9"/>
        <v>3.35</v>
      </c>
      <c r="K17" s="30">
        <v>3.4249999999999998</v>
      </c>
      <c r="L17" s="30">
        <v>3.4289999999999998</v>
      </c>
      <c r="M17" s="30">
        <v>3.431</v>
      </c>
      <c r="N17" s="23"/>
      <c r="O17" s="31">
        <f t="shared" si="15"/>
        <v>2.4999999999999911E-2</v>
      </c>
      <c r="P17" s="32">
        <f t="shared" si="16"/>
        <v>2.8999999999999915E-2</v>
      </c>
      <c r="Q17" s="32">
        <f t="shared" si="17"/>
        <v>3.1000000000000139E-2</v>
      </c>
      <c r="R17" s="36">
        <f t="shared" si="18"/>
        <v>3.4283333333333332</v>
      </c>
      <c r="S17" s="37">
        <f t="shared" si="19"/>
        <v>0.62000000000000277</v>
      </c>
      <c r="T17" s="37">
        <f t="shared" si="20"/>
        <v>0</v>
      </c>
      <c r="U17" s="38" t="str">
        <f t="shared" si="6"/>
        <v xml:space="preserve"> </v>
      </c>
      <c r="V17" s="38" t="str">
        <f t="shared" si="21"/>
        <v xml:space="preserve"> </v>
      </c>
      <c r="W17" s="77"/>
      <c r="X17" s="23"/>
    </row>
    <row r="18" spans="1:24" s="12" customFormat="1" ht="18" customHeight="1">
      <c r="A18" s="23"/>
      <c r="B18" s="44">
        <v>7</v>
      </c>
      <c r="C18" s="46" t="s">
        <v>75</v>
      </c>
      <c r="D18" s="40" t="s">
        <v>39</v>
      </c>
      <c r="E18" s="41">
        <v>5.5</v>
      </c>
      <c r="F18" s="42">
        <v>0.05</v>
      </c>
      <c r="G18" s="42">
        <v>-0.05</v>
      </c>
      <c r="H18" s="43" t="s">
        <v>62</v>
      </c>
      <c r="I18" s="29">
        <f t="shared" si="8"/>
        <v>5.55</v>
      </c>
      <c r="J18" s="29">
        <f t="shared" si="9"/>
        <v>5.45</v>
      </c>
      <c r="K18" s="30">
        <v>5.4740000000000002</v>
      </c>
      <c r="L18" s="30">
        <v>5.4740000000000002</v>
      </c>
      <c r="M18" s="30">
        <v>5.4779999999999998</v>
      </c>
      <c r="N18" s="23"/>
      <c r="O18" s="31">
        <f t="shared" si="15"/>
        <v>-2.5999999999999801E-2</v>
      </c>
      <c r="P18" s="32">
        <f t="shared" si="16"/>
        <v>-2.5999999999999801E-2</v>
      </c>
      <c r="Q18" s="32">
        <f t="shared" si="17"/>
        <v>-2.2000000000000242E-2</v>
      </c>
      <c r="R18" s="36">
        <f t="shared" si="18"/>
        <v>5.4753333333333343</v>
      </c>
      <c r="S18" s="37">
        <f t="shared" si="19"/>
        <v>0</v>
      </c>
      <c r="T18" s="37">
        <f t="shared" si="20"/>
        <v>0.51999999999999602</v>
      </c>
      <c r="U18" s="38" t="str">
        <f t="shared" si="6"/>
        <v xml:space="preserve"> </v>
      </c>
      <c r="V18" s="38" t="str">
        <f t="shared" si="21"/>
        <v xml:space="preserve"> </v>
      </c>
      <c r="W18" s="76"/>
      <c r="X18" s="23"/>
    </row>
    <row r="19" spans="1:24" s="12" customFormat="1" ht="18" customHeight="1">
      <c r="A19" s="23"/>
      <c r="B19" s="44">
        <v>8</v>
      </c>
      <c r="C19" s="46" t="s">
        <v>75</v>
      </c>
      <c r="D19" s="40" t="s">
        <v>39</v>
      </c>
      <c r="E19" s="41">
        <v>5.4</v>
      </c>
      <c r="F19" s="42">
        <v>0.05</v>
      </c>
      <c r="G19" s="42">
        <v>-0.05</v>
      </c>
      <c r="H19" s="43" t="s">
        <v>82</v>
      </c>
      <c r="I19" s="29"/>
      <c r="J19" s="29"/>
      <c r="K19" s="30">
        <v>5.391</v>
      </c>
      <c r="L19" s="30">
        <v>5.3949999999999996</v>
      </c>
      <c r="M19" s="30">
        <v>5.399</v>
      </c>
      <c r="N19" s="23"/>
      <c r="O19" s="31">
        <f t="shared" si="15"/>
        <v>-9.0000000000003411E-3</v>
      </c>
      <c r="P19" s="32">
        <f t="shared" si="16"/>
        <v>-5.0000000000007816E-3</v>
      </c>
      <c r="Q19" s="32">
        <f t="shared" si="17"/>
        <v>-1.000000000000334E-3</v>
      </c>
      <c r="R19" s="36">
        <f t="shared" si="18"/>
        <v>5.3949999999999996</v>
      </c>
      <c r="S19" s="37">
        <f t="shared" si="19"/>
        <v>0</v>
      </c>
      <c r="T19" s="37">
        <f t="shared" si="20"/>
        <v>0.18000000000000682</v>
      </c>
      <c r="U19" s="38" t="str">
        <f t="shared" si="6"/>
        <v xml:space="preserve"> </v>
      </c>
      <c r="V19" s="38" t="str">
        <f t="shared" si="21"/>
        <v xml:space="preserve"> </v>
      </c>
      <c r="W19" s="76"/>
      <c r="X19" s="23"/>
    </row>
    <row r="20" spans="1:24" s="12" customFormat="1" ht="18" customHeight="1">
      <c r="A20" s="23"/>
      <c r="B20" s="44">
        <v>9</v>
      </c>
      <c r="C20" s="46" t="s">
        <v>76</v>
      </c>
      <c r="D20" s="40" t="s">
        <v>39</v>
      </c>
      <c r="E20" s="41">
        <v>6.5</v>
      </c>
      <c r="F20" s="42">
        <v>0.05</v>
      </c>
      <c r="G20" s="42">
        <v>-0.05</v>
      </c>
      <c r="H20" s="43" t="s">
        <v>82</v>
      </c>
      <c r="I20" s="29"/>
      <c r="J20" s="29"/>
      <c r="K20" s="30">
        <v>6.4889999999999999</v>
      </c>
      <c r="L20" s="30">
        <v>6.5</v>
      </c>
      <c r="M20" s="30">
        <v>6.5030000000000001</v>
      </c>
      <c r="N20" s="23"/>
      <c r="O20" s="31">
        <f t="shared" si="15"/>
        <v>-1.1000000000000121E-2</v>
      </c>
      <c r="P20" s="32">
        <f t="shared" si="16"/>
        <v>0</v>
      </c>
      <c r="Q20" s="32">
        <f t="shared" si="17"/>
        <v>3.0000000000001137E-3</v>
      </c>
      <c r="R20" s="36">
        <f t="shared" si="18"/>
        <v>6.4973333333333336</v>
      </c>
      <c r="S20" s="37">
        <f t="shared" si="19"/>
        <v>6.0000000000002274E-2</v>
      </c>
      <c r="T20" s="37">
        <f t="shared" si="20"/>
        <v>0.22000000000000242</v>
      </c>
      <c r="U20" s="38" t="str">
        <f t="shared" si="6"/>
        <v xml:space="preserve"> </v>
      </c>
      <c r="V20" s="38" t="str">
        <f t="shared" si="21"/>
        <v xml:space="preserve"> </v>
      </c>
      <c r="W20" s="76"/>
      <c r="X20" s="23"/>
    </row>
    <row r="21" spans="1:24" s="12" customFormat="1" ht="18" customHeight="1">
      <c r="A21" s="23"/>
      <c r="B21" s="44">
        <v>10</v>
      </c>
      <c r="C21" s="46" t="s">
        <v>79</v>
      </c>
      <c r="D21" s="40" t="s">
        <v>39</v>
      </c>
      <c r="E21" s="41">
        <v>3.25</v>
      </c>
      <c r="F21" s="42">
        <v>0.05</v>
      </c>
      <c r="G21" s="42">
        <v>-0.05</v>
      </c>
      <c r="H21" s="43" t="s">
        <v>82</v>
      </c>
      <c r="I21" s="29"/>
      <c r="J21" s="29"/>
      <c r="K21" s="30">
        <v>3.234</v>
      </c>
      <c r="L21" s="30">
        <v>3.2370000000000001</v>
      </c>
      <c r="M21" s="30">
        <v>3.2410000000000001</v>
      </c>
      <c r="N21" s="23"/>
      <c r="O21" s="31">
        <f t="shared" si="15"/>
        <v>-1.6000000000000014E-2</v>
      </c>
      <c r="P21" s="32">
        <f t="shared" si="16"/>
        <v>-1.2999999999999901E-2</v>
      </c>
      <c r="Q21" s="32">
        <f t="shared" si="17"/>
        <v>-8.999999999999897E-3</v>
      </c>
      <c r="R21" s="36">
        <f t="shared" si="18"/>
        <v>3.2373333333333334</v>
      </c>
      <c r="S21" s="37">
        <f t="shared" si="19"/>
        <v>0</v>
      </c>
      <c r="T21" s="37">
        <f t="shared" si="20"/>
        <v>0.32000000000000028</v>
      </c>
      <c r="U21" s="38" t="str">
        <f t="shared" si="6"/>
        <v xml:space="preserve"> </v>
      </c>
      <c r="V21" s="38" t="str">
        <f t="shared" si="21"/>
        <v xml:space="preserve"> </v>
      </c>
      <c r="W21" s="76"/>
      <c r="X21" s="23"/>
    </row>
    <row r="22" spans="1:24" s="12" customFormat="1" ht="18" customHeight="1">
      <c r="A22" s="23"/>
      <c r="B22" s="44">
        <v>11</v>
      </c>
      <c r="C22" s="46" t="s">
        <v>80</v>
      </c>
      <c r="D22" s="40" t="s">
        <v>39</v>
      </c>
      <c r="E22" s="41">
        <v>3.4</v>
      </c>
      <c r="F22" s="42">
        <v>0.5</v>
      </c>
      <c r="G22" s="42">
        <v>-0.5</v>
      </c>
      <c r="H22" s="43" t="s">
        <v>81</v>
      </c>
      <c r="I22" s="29"/>
      <c r="J22" s="29"/>
      <c r="K22" s="30">
        <v>3.3260000000000001</v>
      </c>
      <c r="L22" s="30">
        <v>3.323</v>
      </c>
      <c r="M22" s="30">
        <v>3.3279999999999998</v>
      </c>
      <c r="N22" s="23"/>
      <c r="O22" s="31">
        <f t="shared" si="15"/>
        <v>-7.3999999999999844E-2</v>
      </c>
      <c r="P22" s="32">
        <f t="shared" si="16"/>
        <v>-7.6999999999999957E-2</v>
      </c>
      <c r="Q22" s="32">
        <f t="shared" si="17"/>
        <v>-7.2000000000000064E-2</v>
      </c>
      <c r="R22" s="36">
        <f t="shared" si="18"/>
        <v>3.3256666666666668</v>
      </c>
      <c r="S22" s="37">
        <f t="shared" si="19"/>
        <v>0</v>
      </c>
      <c r="T22" s="37">
        <f t="shared" si="20"/>
        <v>0.15399999999999991</v>
      </c>
      <c r="U22" s="38" t="str">
        <f t="shared" si="6"/>
        <v xml:space="preserve"> </v>
      </c>
      <c r="V22" s="38" t="str">
        <f t="shared" si="21"/>
        <v xml:space="preserve"> </v>
      </c>
      <c r="W22" s="76"/>
      <c r="X22" s="23"/>
    </row>
    <row r="23" spans="1:24" s="12" customFormat="1" ht="18" customHeight="1">
      <c r="A23" s="23"/>
      <c r="B23" s="44"/>
      <c r="C23" s="46" t="s">
        <v>77</v>
      </c>
      <c r="D23" s="40" t="s">
        <v>39</v>
      </c>
      <c r="E23" s="41">
        <v>3.4</v>
      </c>
      <c r="F23" s="42">
        <v>0.5</v>
      </c>
      <c r="G23" s="42">
        <v>-0.5</v>
      </c>
      <c r="H23" s="43" t="s">
        <v>67</v>
      </c>
      <c r="I23" s="29"/>
      <c r="J23" s="29"/>
      <c r="K23" s="30">
        <v>3.3149999999999999</v>
      </c>
      <c r="L23" s="30">
        <v>3.3140000000000001</v>
      </c>
      <c r="M23" s="30">
        <v>3.3210000000000002</v>
      </c>
      <c r="N23" s="23"/>
      <c r="O23" s="31">
        <f t="shared" si="15"/>
        <v>-8.4999999999999964E-2</v>
      </c>
      <c r="P23" s="32">
        <f t="shared" si="16"/>
        <v>-8.5999999999999854E-2</v>
      </c>
      <c r="Q23" s="32">
        <f t="shared" si="17"/>
        <v>-7.8999999999999737E-2</v>
      </c>
      <c r="R23" s="36">
        <f t="shared" si="18"/>
        <v>3.3166666666666664</v>
      </c>
      <c r="S23" s="37">
        <f t="shared" si="19"/>
        <v>0</v>
      </c>
      <c r="T23" s="37">
        <f t="shared" si="20"/>
        <v>0.17199999999999971</v>
      </c>
      <c r="U23" s="38" t="str">
        <f t="shared" si="6"/>
        <v xml:space="preserve"> </v>
      </c>
      <c r="V23" s="38" t="str">
        <f t="shared" si="21"/>
        <v xml:space="preserve"> </v>
      </c>
      <c r="W23" s="76"/>
      <c r="X23" s="23"/>
    </row>
    <row r="24" spans="1:24" s="12" customFormat="1" ht="18" customHeight="1">
      <c r="A24" s="23"/>
      <c r="B24" s="44"/>
      <c r="C24" s="46"/>
      <c r="D24" s="40"/>
      <c r="E24" s="41"/>
      <c r="F24" s="42"/>
      <c r="G24" s="42"/>
      <c r="H24" s="43"/>
      <c r="I24" s="29"/>
      <c r="J24" s="29"/>
      <c r="K24" s="30"/>
      <c r="L24" s="30"/>
      <c r="M24" s="30"/>
      <c r="N24" s="23"/>
      <c r="O24" s="31" t="str">
        <f t="shared" si="10"/>
        <v xml:space="preserve"> </v>
      </c>
      <c r="P24" s="32" t="str">
        <f t="shared" si="10"/>
        <v xml:space="preserve"> </v>
      </c>
      <c r="Q24" s="32" t="str">
        <f t="shared" si="10"/>
        <v xml:space="preserve"> </v>
      </c>
      <c r="R24" s="36" t="str">
        <f t="shared" si="11"/>
        <v xml:space="preserve"> </v>
      </c>
      <c r="S24" s="37" t="str">
        <f t="shared" si="12"/>
        <v xml:space="preserve"> </v>
      </c>
      <c r="T24" s="37" t="str">
        <f t="shared" si="13"/>
        <v xml:space="preserve"> </v>
      </c>
      <c r="U24" s="38" t="str">
        <f t="shared" si="6"/>
        <v xml:space="preserve"> </v>
      </c>
      <c r="V24" s="38" t="str">
        <f t="shared" si="14"/>
        <v/>
      </c>
      <c r="W24" s="76"/>
      <c r="X24" s="23"/>
    </row>
    <row r="25" spans="1:24" s="12" customFormat="1" ht="18" customHeight="1">
      <c r="A25" s="23"/>
      <c r="B25" s="44"/>
      <c r="C25" s="46"/>
      <c r="D25" s="40"/>
      <c r="E25" s="41"/>
      <c r="F25" s="42"/>
      <c r="G25" s="42"/>
      <c r="H25" s="43"/>
      <c r="I25" s="29"/>
      <c r="J25" s="29"/>
      <c r="K25" s="30"/>
      <c r="L25" s="30"/>
      <c r="M25" s="30"/>
      <c r="N25" s="23"/>
      <c r="O25" s="31" t="str">
        <f t="shared" si="10"/>
        <v xml:space="preserve"> </v>
      </c>
      <c r="P25" s="32" t="str">
        <f t="shared" si="10"/>
        <v xml:space="preserve"> </v>
      </c>
      <c r="Q25" s="32" t="str">
        <f t="shared" si="10"/>
        <v xml:space="preserve"> </v>
      </c>
      <c r="R25" s="36" t="str">
        <f t="shared" si="11"/>
        <v xml:space="preserve"> </v>
      </c>
      <c r="S25" s="37" t="str">
        <f t="shared" si="12"/>
        <v xml:space="preserve"> </v>
      </c>
      <c r="T25" s="37" t="str">
        <f t="shared" si="13"/>
        <v xml:space="preserve"> </v>
      </c>
      <c r="U25" s="38" t="str">
        <f t="shared" si="6"/>
        <v xml:space="preserve"> </v>
      </c>
      <c r="V25" s="38" t="str">
        <f t="shared" si="14"/>
        <v/>
      </c>
      <c r="W25" s="78"/>
      <c r="X25" s="23"/>
    </row>
    <row r="26" spans="1:24" s="12" customFormat="1" ht="18" customHeight="1">
      <c r="A26" s="23"/>
      <c r="B26" s="44"/>
      <c r="C26" s="46"/>
      <c r="D26" s="40"/>
      <c r="E26" s="41"/>
      <c r="F26" s="42"/>
      <c r="G26" s="42"/>
      <c r="H26" s="43"/>
      <c r="I26" s="29"/>
      <c r="J26" s="29"/>
      <c r="K26" s="30"/>
      <c r="L26" s="30"/>
      <c r="M26" s="30"/>
      <c r="N26" s="23"/>
      <c r="O26" s="31" t="str">
        <f t="shared" si="10"/>
        <v xml:space="preserve"> </v>
      </c>
      <c r="P26" s="32" t="str">
        <f t="shared" si="10"/>
        <v xml:space="preserve"> </v>
      </c>
      <c r="Q26" s="32" t="str">
        <f t="shared" si="10"/>
        <v xml:space="preserve"> </v>
      </c>
      <c r="R26" s="36" t="str">
        <f t="shared" si="11"/>
        <v xml:space="preserve"> </v>
      </c>
      <c r="S26" s="37" t="str">
        <f t="shared" si="12"/>
        <v xml:space="preserve"> </v>
      </c>
      <c r="T26" s="37" t="str">
        <f t="shared" si="13"/>
        <v xml:space="preserve"> </v>
      </c>
      <c r="U26" s="38" t="str">
        <f t="shared" si="6"/>
        <v xml:space="preserve"> </v>
      </c>
      <c r="V26" s="38" t="str">
        <f t="shared" si="14"/>
        <v/>
      </c>
      <c r="W26" s="78"/>
      <c r="X26" s="23"/>
    </row>
    <row r="27" spans="1:24" s="12" customFormat="1" ht="18" customHeight="1">
      <c r="A27" s="23"/>
      <c r="B27" s="44"/>
      <c r="C27" s="46"/>
      <c r="D27" s="40"/>
      <c r="E27" s="41"/>
      <c r="F27" s="42"/>
      <c r="G27" s="42"/>
      <c r="H27" s="43"/>
      <c r="I27" s="29"/>
      <c r="J27" s="29"/>
      <c r="K27" s="30"/>
      <c r="L27" s="30"/>
      <c r="M27" s="30"/>
      <c r="N27" s="23"/>
      <c r="O27" s="31" t="str">
        <f t="shared" si="10"/>
        <v xml:space="preserve"> </v>
      </c>
      <c r="P27" s="32" t="str">
        <f t="shared" si="10"/>
        <v xml:space="preserve"> </v>
      </c>
      <c r="Q27" s="32" t="str">
        <f t="shared" si="10"/>
        <v xml:space="preserve"> </v>
      </c>
      <c r="R27" s="36" t="str">
        <f t="shared" si="11"/>
        <v xml:space="preserve"> </v>
      </c>
      <c r="S27" s="37" t="str">
        <f t="shared" si="12"/>
        <v xml:space="preserve"> </v>
      </c>
      <c r="T27" s="37" t="str">
        <f t="shared" si="13"/>
        <v xml:space="preserve"> </v>
      </c>
      <c r="U27" s="38" t="str">
        <f t="shared" si="6"/>
        <v xml:space="preserve"> </v>
      </c>
      <c r="V27" s="38" t="str">
        <f t="shared" si="14"/>
        <v/>
      </c>
      <c r="W27" s="76"/>
      <c r="X27" s="23"/>
    </row>
    <row r="28" spans="1:24" s="12" customFormat="1" ht="18" customHeight="1">
      <c r="A28" s="23"/>
      <c r="B28" s="44"/>
      <c r="C28" s="67"/>
      <c r="D28" s="40"/>
      <c r="E28" s="41"/>
      <c r="F28" s="42"/>
      <c r="G28" s="42"/>
      <c r="H28" s="43"/>
      <c r="I28" s="29"/>
      <c r="J28" s="29"/>
      <c r="K28" s="30"/>
      <c r="L28" s="30"/>
      <c r="M28" s="30"/>
      <c r="N28" s="23"/>
      <c r="O28" s="31" t="str">
        <f t="shared" si="10"/>
        <v xml:space="preserve"> </v>
      </c>
      <c r="P28" s="32" t="str">
        <f t="shared" si="10"/>
        <v xml:space="preserve"> </v>
      </c>
      <c r="Q28" s="32" t="str">
        <f t="shared" si="10"/>
        <v xml:space="preserve"> </v>
      </c>
      <c r="R28" s="36" t="str">
        <f t="shared" si="11"/>
        <v xml:space="preserve"> </v>
      </c>
      <c r="S28" s="37" t="str">
        <f t="shared" si="12"/>
        <v xml:space="preserve"> </v>
      </c>
      <c r="T28" s="37" t="str">
        <f t="shared" si="13"/>
        <v xml:space="preserve"> </v>
      </c>
      <c r="U28" s="38" t="str">
        <f t="shared" si="6"/>
        <v xml:space="preserve"> </v>
      </c>
      <c r="V28" s="38" t="str">
        <f t="shared" si="14"/>
        <v/>
      </c>
      <c r="W28" s="76"/>
      <c r="X28" s="23"/>
    </row>
    <row r="29" spans="1:24" s="12" customFormat="1" ht="18" customHeight="1">
      <c r="A29" s="23"/>
      <c r="B29" s="44"/>
      <c r="C29" s="68"/>
      <c r="D29" s="40"/>
      <c r="E29" s="41"/>
      <c r="F29" s="42"/>
      <c r="G29" s="42"/>
      <c r="H29" s="43"/>
      <c r="I29" s="29"/>
      <c r="J29" s="29"/>
      <c r="K29" s="30"/>
      <c r="L29" s="30"/>
      <c r="M29" s="30"/>
      <c r="N29" s="23"/>
      <c r="O29" s="31" t="str">
        <f t="shared" si="10"/>
        <v xml:space="preserve"> </v>
      </c>
      <c r="P29" s="32" t="str">
        <f t="shared" si="10"/>
        <v xml:space="preserve"> </v>
      </c>
      <c r="Q29" s="32" t="str">
        <f t="shared" si="10"/>
        <v xml:space="preserve"> </v>
      </c>
      <c r="R29" s="36" t="str">
        <f t="shared" si="11"/>
        <v xml:space="preserve"> </v>
      </c>
      <c r="S29" s="37" t="str">
        <f t="shared" si="12"/>
        <v xml:space="preserve"> </v>
      </c>
      <c r="T29" s="37" t="str">
        <f t="shared" si="13"/>
        <v xml:space="preserve"> </v>
      </c>
      <c r="U29" s="38" t="str">
        <f t="shared" si="6"/>
        <v xml:space="preserve"> </v>
      </c>
      <c r="V29" s="38" t="str">
        <f t="shared" si="14"/>
        <v/>
      </c>
      <c r="W29" s="76"/>
      <c r="X29" s="23"/>
    </row>
    <row r="30" spans="1:24" s="12" customFormat="1" ht="18" customHeight="1">
      <c r="A30" s="23"/>
      <c r="B30" s="44"/>
      <c r="C30" s="65"/>
      <c r="D30" s="40"/>
      <c r="E30" s="41"/>
      <c r="F30" s="42"/>
      <c r="G30" s="42"/>
      <c r="H30" s="43"/>
      <c r="I30" s="29"/>
      <c r="J30" s="29"/>
      <c r="K30" s="30"/>
      <c r="L30" s="30"/>
      <c r="M30" s="30"/>
      <c r="N30" s="23"/>
      <c r="O30" s="31" t="str">
        <f t="shared" si="10"/>
        <v xml:space="preserve"> </v>
      </c>
      <c r="P30" s="32" t="str">
        <f t="shared" si="10"/>
        <v xml:space="preserve"> </v>
      </c>
      <c r="Q30" s="32" t="str">
        <f t="shared" si="10"/>
        <v xml:space="preserve"> </v>
      </c>
      <c r="R30" s="36" t="str">
        <f t="shared" si="11"/>
        <v xml:space="preserve"> </v>
      </c>
      <c r="S30" s="37" t="str">
        <f t="shared" si="12"/>
        <v xml:space="preserve"> </v>
      </c>
      <c r="T30" s="37" t="str">
        <f t="shared" si="13"/>
        <v xml:space="preserve"> </v>
      </c>
      <c r="U30" s="38" t="str">
        <f t="shared" si="6"/>
        <v xml:space="preserve"> </v>
      </c>
      <c r="V30" s="38" t="str">
        <f t="shared" si="14"/>
        <v/>
      </c>
      <c r="W30" s="78"/>
      <c r="X30" s="23"/>
    </row>
    <row r="31" spans="1:24" s="12" customFormat="1" ht="18" customHeight="1">
      <c r="A31" s="23"/>
      <c r="B31" s="44"/>
      <c r="C31" s="66"/>
      <c r="D31" s="40"/>
      <c r="E31" s="41"/>
      <c r="F31" s="42"/>
      <c r="G31" s="42"/>
      <c r="H31" s="43"/>
      <c r="I31" s="29"/>
      <c r="J31" s="29"/>
      <c r="K31" s="30"/>
      <c r="L31" s="30"/>
      <c r="M31" s="30"/>
      <c r="N31" s="23"/>
      <c r="O31" s="31" t="str">
        <f t="shared" si="10"/>
        <v xml:space="preserve"> </v>
      </c>
      <c r="P31" s="32" t="str">
        <f t="shared" si="10"/>
        <v xml:space="preserve"> </v>
      </c>
      <c r="Q31" s="32" t="str">
        <f t="shared" si="10"/>
        <v xml:space="preserve"> </v>
      </c>
      <c r="R31" s="36" t="str">
        <f t="shared" si="11"/>
        <v xml:space="preserve"> </v>
      </c>
      <c r="S31" s="37" t="str">
        <f t="shared" si="12"/>
        <v xml:space="preserve"> </v>
      </c>
      <c r="T31" s="37" t="str">
        <f t="shared" si="13"/>
        <v xml:space="preserve"> </v>
      </c>
      <c r="U31" s="38" t="str">
        <f t="shared" si="6"/>
        <v xml:space="preserve"> </v>
      </c>
      <c r="V31" s="38" t="str">
        <f t="shared" si="14"/>
        <v/>
      </c>
      <c r="W31" s="76"/>
      <c r="X31" s="23"/>
    </row>
    <row r="32" spans="1:24" s="12" customFormat="1" ht="18" customHeight="1">
      <c r="A32" s="23"/>
      <c r="B32" s="44"/>
      <c r="C32" s="66"/>
      <c r="D32" s="40"/>
      <c r="E32" s="41"/>
      <c r="F32" s="42"/>
      <c r="G32" s="42"/>
      <c r="H32" s="43"/>
      <c r="I32" s="29"/>
      <c r="J32" s="29"/>
      <c r="K32" s="30"/>
      <c r="L32" s="30"/>
      <c r="M32" s="30"/>
      <c r="N32" s="23"/>
      <c r="O32" s="31" t="str">
        <f t="shared" si="10"/>
        <v xml:space="preserve"> </v>
      </c>
      <c r="P32" s="32" t="str">
        <f t="shared" si="10"/>
        <v xml:space="preserve"> </v>
      </c>
      <c r="Q32" s="32" t="str">
        <f t="shared" si="10"/>
        <v xml:space="preserve"> </v>
      </c>
      <c r="R32" s="36" t="str">
        <f t="shared" si="11"/>
        <v xml:space="preserve"> </v>
      </c>
      <c r="S32" s="37" t="str">
        <f t="shared" si="12"/>
        <v xml:space="preserve"> </v>
      </c>
      <c r="T32" s="37" t="str">
        <f t="shared" si="13"/>
        <v xml:space="preserve"> </v>
      </c>
      <c r="U32" s="38" t="str">
        <f t="shared" si="6"/>
        <v xml:space="preserve"> </v>
      </c>
      <c r="V32" s="38" t="str">
        <f t="shared" si="14"/>
        <v/>
      </c>
      <c r="W32" s="76"/>
      <c r="X32" s="23"/>
    </row>
    <row r="33" spans="1:24" s="12" customFormat="1" ht="18" customHeight="1">
      <c r="A33" s="23"/>
      <c r="B33" s="44"/>
      <c r="C33" s="66"/>
      <c r="D33" s="40"/>
      <c r="E33" s="41"/>
      <c r="F33" s="42"/>
      <c r="G33" s="42"/>
      <c r="H33" s="43"/>
      <c r="I33" s="29"/>
      <c r="J33" s="29"/>
      <c r="K33" s="30"/>
      <c r="L33" s="30"/>
      <c r="M33" s="30"/>
      <c r="N33" s="23"/>
      <c r="O33" s="31" t="str">
        <f t="shared" si="10"/>
        <v xml:space="preserve"> </v>
      </c>
      <c r="P33" s="32" t="str">
        <f t="shared" si="10"/>
        <v xml:space="preserve"> </v>
      </c>
      <c r="Q33" s="32" t="str">
        <f t="shared" si="10"/>
        <v xml:space="preserve"> </v>
      </c>
      <c r="R33" s="36" t="str">
        <f t="shared" si="11"/>
        <v xml:space="preserve"> </v>
      </c>
      <c r="S33" s="37" t="str">
        <f t="shared" si="12"/>
        <v xml:space="preserve"> </v>
      </c>
      <c r="T33" s="37" t="str">
        <f t="shared" si="13"/>
        <v xml:space="preserve"> </v>
      </c>
      <c r="U33" s="38" t="str">
        <f t="shared" si="6"/>
        <v xml:space="preserve"> </v>
      </c>
      <c r="V33" s="38" t="str">
        <f t="shared" si="14"/>
        <v/>
      </c>
      <c r="W33" s="76"/>
      <c r="X33" s="23"/>
    </row>
    <row r="34" spans="1:24" s="12" customFormat="1" ht="18" customHeight="1">
      <c r="A34" s="23"/>
      <c r="B34" s="44"/>
      <c r="C34" s="66"/>
      <c r="D34" s="40"/>
      <c r="E34" s="41"/>
      <c r="F34" s="42"/>
      <c r="G34" s="42"/>
      <c r="H34" s="43"/>
      <c r="I34" s="29"/>
      <c r="J34" s="29"/>
      <c r="K34" s="30"/>
      <c r="L34" s="30"/>
      <c r="M34" s="30"/>
      <c r="N34" s="23"/>
      <c r="O34" s="31" t="str">
        <f t="shared" si="10"/>
        <v xml:space="preserve"> </v>
      </c>
      <c r="P34" s="32" t="str">
        <f t="shared" si="10"/>
        <v xml:space="preserve"> </v>
      </c>
      <c r="Q34" s="32" t="str">
        <f t="shared" si="10"/>
        <v xml:space="preserve"> </v>
      </c>
      <c r="R34" s="36" t="str">
        <f t="shared" si="11"/>
        <v xml:space="preserve"> </v>
      </c>
      <c r="S34" s="37" t="str">
        <f t="shared" si="12"/>
        <v xml:space="preserve"> </v>
      </c>
      <c r="T34" s="37" t="str">
        <f t="shared" si="13"/>
        <v xml:space="preserve"> </v>
      </c>
      <c r="U34" s="38" t="str">
        <f t="shared" si="6"/>
        <v xml:space="preserve"> </v>
      </c>
      <c r="V34" s="38" t="str">
        <f t="shared" si="14"/>
        <v/>
      </c>
      <c r="W34" s="76"/>
      <c r="X34" s="23"/>
    </row>
    <row r="35" spans="1:24" s="12" customFormat="1" ht="18" customHeight="1">
      <c r="A35" s="23"/>
      <c r="B35" s="44"/>
      <c r="C35" s="66"/>
      <c r="D35" s="40"/>
      <c r="E35" s="41"/>
      <c r="F35" s="42"/>
      <c r="G35" s="42"/>
      <c r="H35" s="43"/>
      <c r="I35" s="29"/>
      <c r="J35" s="29"/>
      <c r="K35" s="30"/>
      <c r="L35" s="30"/>
      <c r="M35" s="30"/>
      <c r="N35" s="23"/>
      <c r="O35" s="31" t="str">
        <f t="shared" si="10"/>
        <v xml:space="preserve"> </v>
      </c>
      <c r="P35" s="32" t="str">
        <f t="shared" si="10"/>
        <v xml:space="preserve"> </v>
      </c>
      <c r="Q35" s="32" t="str">
        <f t="shared" si="10"/>
        <v xml:space="preserve"> </v>
      </c>
      <c r="R35" s="36" t="str">
        <f t="shared" si="11"/>
        <v xml:space="preserve"> </v>
      </c>
      <c r="S35" s="37" t="str">
        <f t="shared" si="12"/>
        <v xml:space="preserve"> </v>
      </c>
      <c r="T35" s="37" t="str">
        <f t="shared" si="13"/>
        <v xml:space="preserve"> </v>
      </c>
      <c r="U35" s="38" t="str">
        <f t="shared" si="6"/>
        <v xml:space="preserve"> </v>
      </c>
      <c r="V35" s="38" t="str">
        <f t="shared" si="14"/>
        <v/>
      </c>
      <c r="W35" s="76"/>
      <c r="X35" s="23"/>
    </row>
    <row r="36" spans="1:24" s="12" customFormat="1" ht="18" customHeight="1">
      <c r="A36" s="23"/>
      <c r="B36" s="44"/>
      <c r="C36" s="46"/>
      <c r="D36" s="40"/>
      <c r="E36" s="41"/>
      <c r="F36" s="42"/>
      <c r="G36" s="42"/>
      <c r="H36" s="43"/>
      <c r="I36" s="29"/>
      <c r="J36" s="29"/>
      <c r="K36" s="30"/>
      <c r="L36" s="30"/>
      <c r="M36" s="30"/>
      <c r="N36" s="23"/>
      <c r="O36" s="31" t="str">
        <f t="shared" si="10"/>
        <v xml:space="preserve"> </v>
      </c>
      <c r="P36" s="32" t="str">
        <f t="shared" si="10"/>
        <v xml:space="preserve"> </v>
      </c>
      <c r="Q36" s="32" t="str">
        <f t="shared" si="10"/>
        <v xml:space="preserve"> </v>
      </c>
      <c r="R36" s="36" t="str">
        <f t="shared" si="11"/>
        <v xml:space="preserve"> </v>
      </c>
      <c r="S36" s="37" t="str">
        <f t="shared" si="12"/>
        <v xml:space="preserve"> </v>
      </c>
      <c r="T36" s="37" t="str">
        <f t="shared" si="13"/>
        <v xml:space="preserve"> </v>
      </c>
      <c r="U36" s="38" t="str">
        <f t="shared" si="6"/>
        <v xml:space="preserve"> </v>
      </c>
      <c r="V36" s="38" t="str">
        <f t="shared" si="14"/>
        <v/>
      </c>
      <c r="W36" s="77"/>
      <c r="X36" s="23"/>
    </row>
    <row r="37" spans="1:24" s="12" customFormat="1" ht="18" customHeight="1">
      <c r="A37" s="23"/>
      <c r="B37" s="44"/>
      <c r="C37" s="63"/>
      <c r="D37" s="40"/>
      <c r="E37" s="41"/>
      <c r="F37" s="42"/>
      <c r="G37" s="42"/>
      <c r="H37" s="43"/>
      <c r="I37" s="29"/>
      <c r="J37" s="29"/>
      <c r="K37" s="30"/>
      <c r="L37" s="30"/>
      <c r="M37" s="30"/>
      <c r="N37" s="23"/>
      <c r="O37" s="31" t="str">
        <f t="shared" si="10"/>
        <v xml:space="preserve"> </v>
      </c>
      <c r="P37" s="32" t="str">
        <f t="shared" si="10"/>
        <v xml:space="preserve"> </v>
      </c>
      <c r="Q37" s="32" t="str">
        <f t="shared" si="10"/>
        <v xml:space="preserve"> </v>
      </c>
      <c r="R37" s="36" t="str">
        <f t="shared" si="11"/>
        <v xml:space="preserve"> </v>
      </c>
      <c r="S37" s="37" t="str">
        <f t="shared" si="12"/>
        <v xml:space="preserve"> </v>
      </c>
      <c r="T37" s="37" t="str">
        <f t="shared" si="13"/>
        <v xml:space="preserve"> </v>
      </c>
      <c r="U37" s="38" t="str">
        <f t="shared" si="6"/>
        <v xml:space="preserve"> </v>
      </c>
      <c r="V37" s="38" t="str">
        <f t="shared" si="14"/>
        <v/>
      </c>
      <c r="W37" s="76"/>
      <c r="X37" s="23"/>
    </row>
    <row r="38" spans="1:24" s="12" customFormat="1" ht="18" customHeight="1">
      <c r="A38" s="23"/>
      <c r="B38" s="44"/>
      <c r="C38" s="63"/>
      <c r="D38" s="40"/>
      <c r="E38" s="41"/>
      <c r="F38" s="42"/>
      <c r="G38" s="42"/>
      <c r="H38" s="43"/>
      <c r="I38" s="29"/>
      <c r="J38" s="29"/>
      <c r="K38" s="30"/>
      <c r="L38" s="30"/>
      <c r="M38" s="30"/>
      <c r="N38" s="23"/>
      <c r="O38" s="31" t="str">
        <f t="shared" si="10"/>
        <v xml:space="preserve"> </v>
      </c>
      <c r="P38" s="32" t="str">
        <f t="shared" si="10"/>
        <v xml:space="preserve"> </v>
      </c>
      <c r="Q38" s="32" t="str">
        <f t="shared" si="10"/>
        <v xml:space="preserve"> </v>
      </c>
      <c r="R38" s="36" t="str">
        <f t="shared" si="11"/>
        <v xml:space="preserve"> </v>
      </c>
      <c r="S38" s="37" t="str">
        <f t="shared" si="12"/>
        <v xml:space="preserve"> </v>
      </c>
      <c r="T38" s="37" t="str">
        <f t="shared" si="13"/>
        <v xml:space="preserve"> </v>
      </c>
      <c r="U38" s="38" t="str">
        <f t="shared" si="6"/>
        <v xml:space="preserve"> </v>
      </c>
      <c r="V38" s="38" t="str">
        <f t="shared" si="14"/>
        <v/>
      </c>
      <c r="W38" s="76"/>
      <c r="X38" s="23"/>
    </row>
    <row r="39" spans="1:24" s="12" customFormat="1" ht="18" customHeight="1">
      <c r="A39" s="23"/>
      <c r="B39" s="44"/>
      <c r="C39" s="63"/>
      <c r="D39" s="40"/>
      <c r="E39" s="41"/>
      <c r="F39" s="42"/>
      <c r="G39" s="42"/>
      <c r="H39" s="43"/>
      <c r="I39" s="29"/>
      <c r="J39" s="29"/>
      <c r="K39" s="30"/>
      <c r="L39" s="30"/>
      <c r="M39" s="30"/>
      <c r="N39" s="23"/>
      <c r="O39" s="31" t="str">
        <f t="shared" si="10"/>
        <v xml:space="preserve"> </v>
      </c>
      <c r="P39" s="32" t="str">
        <f t="shared" si="10"/>
        <v xml:space="preserve"> </v>
      </c>
      <c r="Q39" s="32" t="str">
        <f t="shared" si="10"/>
        <v xml:space="preserve"> </v>
      </c>
      <c r="R39" s="36" t="str">
        <f t="shared" si="11"/>
        <v xml:space="preserve"> </v>
      </c>
      <c r="S39" s="37" t="str">
        <f t="shared" si="12"/>
        <v xml:space="preserve"> </v>
      </c>
      <c r="T39" s="37" t="str">
        <f t="shared" si="13"/>
        <v xml:space="preserve"> </v>
      </c>
      <c r="U39" s="38" t="str">
        <f t="shared" si="6"/>
        <v xml:space="preserve"> </v>
      </c>
      <c r="V39" s="38" t="str">
        <f t="shared" si="14"/>
        <v/>
      </c>
      <c r="W39" s="76"/>
      <c r="X39" s="23"/>
    </row>
    <row r="40" spans="1:24" s="12" customFormat="1" ht="18" customHeight="1">
      <c r="A40" s="23"/>
      <c r="B40" s="44"/>
      <c r="C40" s="46"/>
      <c r="D40" s="40"/>
      <c r="E40" s="41"/>
      <c r="F40" s="42"/>
      <c r="G40" s="42"/>
      <c r="H40" s="43"/>
      <c r="I40" s="29"/>
      <c r="J40" s="29"/>
      <c r="K40" s="30"/>
      <c r="L40" s="30"/>
      <c r="M40" s="30"/>
      <c r="N40" s="23"/>
      <c r="O40" s="31" t="str">
        <f t="shared" si="10"/>
        <v xml:space="preserve"> </v>
      </c>
      <c r="P40" s="32" t="str">
        <f t="shared" si="10"/>
        <v xml:space="preserve"> </v>
      </c>
      <c r="Q40" s="32" t="str">
        <f t="shared" si="10"/>
        <v xml:space="preserve"> </v>
      </c>
      <c r="R40" s="36" t="str">
        <f t="shared" si="11"/>
        <v xml:space="preserve"> </v>
      </c>
      <c r="S40" s="37" t="str">
        <f t="shared" si="12"/>
        <v xml:space="preserve"> </v>
      </c>
      <c r="T40" s="37" t="str">
        <f t="shared" si="13"/>
        <v xml:space="preserve"> </v>
      </c>
      <c r="U40" s="38" t="str">
        <f t="shared" si="6"/>
        <v xml:space="preserve"> </v>
      </c>
      <c r="V40" s="38" t="str">
        <f t="shared" si="14"/>
        <v/>
      </c>
      <c r="W40" s="76"/>
      <c r="X40" s="23"/>
    </row>
    <row r="41" spans="1:24" s="12" customFormat="1" ht="18" customHeight="1">
      <c r="A41" s="23"/>
      <c r="B41" s="44"/>
      <c r="C41" s="46"/>
      <c r="D41" s="40"/>
      <c r="E41" s="41"/>
      <c r="F41" s="42"/>
      <c r="G41" s="42"/>
      <c r="H41" s="43"/>
      <c r="I41" s="29"/>
      <c r="J41" s="29"/>
      <c r="K41" s="30"/>
      <c r="L41" s="30"/>
      <c r="M41" s="30"/>
      <c r="N41" s="23"/>
      <c r="O41" s="31" t="str">
        <f t="shared" si="10"/>
        <v xml:space="preserve"> </v>
      </c>
      <c r="P41" s="32" t="str">
        <f t="shared" si="10"/>
        <v xml:space="preserve"> </v>
      </c>
      <c r="Q41" s="32" t="str">
        <f t="shared" si="10"/>
        <v xml:space="preserve"> </v>
      </c>
      <c r="R41" s="36" t="str">
        <f t="shared" si="11"/>
        <v xml:space="preserve"> </v>
      </c>
      <c r="S41" s="37" t="str">
        <f t="shared" si="12"/>
        <v xml:space="preserve"> </v>
      </c>
      <c r="T41" s="37" t="str">
        <f t="shared" si="13"/>
        <v xml:space="preserve"> </v>
      </c>
      <c r="U41" s="38" t="str">
        <f t="shared" si="6"/>
        <v xml:space="preserve"> </v>
      </c>
      <c r="V41" s="38" t="str">
        <f t="shared" si="14"/>
        <v/>
      </c>
      <c r="W41" s="76"/>
      <c r="X41" s="23"/>
    </row>
    <row r="42" spans="1:24" s="12" customFormat="1" ht="18" customHeight="1">
      <c r="A42" s="23"/>
      <c r="B42" s="44"/>
      <c r="C42" s="46"/>
      <c r="D42" s="40"/>
      <c r="E42" s="41"/>
      <c r="F42" s="42"/>
      <c r="G42" s="42"/>
      <c r="H42" s="43"/>
      <c r="I42" s="29"/>
      <c r="J42" s="29"/>
      <c r="K42" s="30"/>
      <c r="L42" s="30"/>
      <c r="M42" s="30"/>
      <c r="N42" s="23"/>
      <c r="O42" s="31" t="str">
        <f t="shared" si="10"/>
        <v xml:space="preserve"> </v>
      </c>
      <c r="P42" s="32" t="str">
        <f t="shared" si="10"/>
        <v xml:space="preserve"> </v>
      </c>
      <c r="Q42" s="32" t="str">
        <f t="shared" si="10"/>
        <v xml:space="preserve"> </v>
      </c>
      <c r="R42" s="36" t="str">
        <f t="shared" si="11"/>
        <v xml:space="preserve"> </v>
      </c>
      <c r="S42" s="37" t="str">
        <f t="shared" si="12"/>
        <v xml:space="preserve"> </v>
      </c>
      <c r="T42" s="37" t="str">
        <f t="shared" si="13"/>
        <v xml:space="preserve"> </v>
      </c>
      <c r="U42" s="38" t="str">
        <f t="shared" si="6"/>
        <v xml:space="preserve"> </v>
      </c>
      <c r="V42" s="38" t="str">
        <f t="shared" si="14"/>
        <v/>
      </c>
      <c r="W42" s="76"/>
      <c r="X42" s="23"/>
    </row>
    <row r="43" spans="1:24" s="12" customFormat="1" ht="18" customHeight="1">
      <c r="A43" s="23"/>
      <c r="B43" s="44"/>
      <c r="C43" s="46"/>
      <c r="D43" s="40"/>
      <c r="E43" s="41"/>
      <c r="F43" s="42"/>
      <c r="G43" s="42"/>
      <c r="H43" s="43"/>
      <c r="I43" s="29"/>
      <c r="J43" s="29"/>
      <c r="K43" s="30"/>
      <c r="L43" s="30"/>
      <c r="M43" s="30"/>
      <c r="N43" s="23"/>
      <c r="O43" s="31" t="str">
        <f t="shared" si="10"/>
        <v xml:space="preserve"> </v>
      </c>
      <c r="P43" s="32" t="str">
        <f t="shared" si="10"/>
        <v xml:space="preserve"> </v>
      </c>
      <c r="Q43" s="32" t="str">
        <f t="shared" si="10"/>
        <v xml:space="preserve"> </v>
      </c>
      <c r="R43" s="36" t="str">
        <f t="shared" si="11"/>
        <v xml:space="preserve"> </v>
      </c>
      <c r="S43" s="37" t="str">
        <f t="shared" si="12"/>
        <v xml:space="preserve"> </v>
      </c>
      <c r="T43" s="37" t="str">
        <f t="shared" si="13"/>
        <v xml:space="preserve"> </v>
      </c>
      <c r="U43" s="38" t="str">
        <f t="shared" si="6"/>
        <v xml:space="preserve"> </v>
      </c>
      <c r="V43" s="38" t="str">
        <f t="shared" si="14"/>
        <v/>
      </c>
      <c r="W43" s="76"/>
      <c r="X43" s="23"/>
    </row>
    <row r="44" spans="1:24" s="12" customFormat="1" ht="18" customHeight="1">
      <c r="A44" s="23"/>
      <c r="B44" s="44"/>
      <c r="C44" s="47"/>
      <c r="D44" s="40"/>
      <c r="E44" s="41"/>
      <c r="F44" s="42"/>
      <c r="G44" s="42"/>
      <c r="H44" s="43"/>
      <c r="I44" s="29"/>
      <c r="J44" s="29"/>
      <c r="K44" s="30"/>
      <c r="L44" s="30"/>
      <c r="M44" s="30"/>
      <c r="N44" s="23"/>
      <c r="O44" s="31" t="str">
        <f t="shared" si="10"/>
        <v xml:space="preserve"> </v>
      </c>
      <c r="P44" s="32" t="str">
        <f t="shared" si="10"/>
        <v xml:space="preserve"> </v>
      </c>
      <c r="Q44" s="32" t="str">
        <f t="shared" si="10"/>
        <v xml:space="preserve"> </v>
      </c>
      <c r="R44" s="36" t="str">
        <f t="shared" si="11"/>
        <v xml:space="preserve"> </v>
      </c>
      <c r="S44" s="37" t="str">
        <f t="shared" si="12"/>
        <v xml:space="preserve"> </v>
      </c>
      <c r="T44" s="37" t="str">
        <f t="shared" si="13"/>
        <v xml:space="preserve"> </v>
      </c>
      <c r="U44" s="38" t="str">
        <f t="shared" si="6"/>
        <v xml:space="preserve"> </v>
      </c>
      <c r="V44" s="38" t="str">
        <f t="shared" si="14"/>
        <v/>
      </c>
      <c r="W44" s="76"/>
      <c r="X44" s="23"/>
    </row>
    <row r="45" spans="1:24" s="12" customFormat="1" ht="18" customHeight="1">
      <c r="A45" s="23"/>
      <c r="B45" s="44">
        <v>11</v>
      </c>
      <c r="C45" s="47"/>
      <c r="D45" s="40"/>
      <c r="E45" s="41"/>
      <c r="F45" s="42"/>
      <c r="G45" s="42"/>
      <c r="H45" s="43"/>
      <c r="I45" s="29"/>
      <c r="J45" s="29"/>
      <c r="K45" s="30"/>
      <c r="L45" s="30"/>
      <c r="M45" s="30"/>
      <c r="N45" s="23"/>
      <c r="O45" s="31" t="str">
        <f t="shared" si="10"/>
        <v xml:space="preserve"> </v>
      </c>
      <c r="P45" s="32" t="str">
        <f t="shared" si="10"/>
        <v xml:space="preserve"> </v>
      </c>
      <c r="Q45" s="32" t="str">
        <f t="shared" si="10"/>
        <v xml:space="preserve"> </v>
      </c>
      <c r="R45" s="36" t="str">
        <f t="shared" si="11"/>
        <v xml:space="preserve"> </v>
      </c>
      <c r="S45" s="37" t="str">
        <f t="shared" si="12"/>
        <v xml:space="preserve"> </v>
      </c>
      <c r="T45" s="37" t="str">
        <f t="shared" si="13"/>
        <v xml:space="preserve"> </v>
      </c>
      <c r="U45" s="38" t="str">
        <f t="shared" si="6"/>
        <v xml:space="preserve"> </v>
      </c>
      <c r="V45" s="38" t="str">
        <f t="shared" si="14"/>
        <v/>
      </c>
      <c r="W45" s="76"/>
      <c r="X45" s="23"/>
    </row>
    <row r="46" spans="1:24" s="12" customFormat="1" ht="18" customHeight="1">
      <c r="A46" s="23"/>
      <c r="B46" s="44">
        <v>12</v>
      </c>
      <c r="C46" s="69"/>
      <c r="D46" s="40"/>
      <c r="E46" s="41"/>
      <c r="F46" s="42"/>
      <c r="G46" s="42"/>
      <c r="H46" s="43"/>
      <c r="I46" s="29"/>
      <c r="J46" s="29"/>
      <c r="K46" s="30"/>
      <c r="L46" s="30"/>
      <c r="M46" s="30"/>
      <c r="N46" s="23"/>
      <c r="O46" s="31" t="str">
        <f t="shared" si="10"/>
        <v xml:space="preserve"> </v>
      </c>
      <c r="P46" s="32" t="str">
        <f t="shared" si="10"/>
        <v xml:space="preserve"> </v>
      </c>
      <c r="Q46" s="32" t="str">
        <f t="shared" si="10"/>
        <v xml:space="preserve"> </v>
      </c>
      <c r="R46" s="36" t="str">
        <f t="shared" si="11"/>
        <v xml:space="preserve"> </v>
      </c>
      <c r="S46" s="37" t="str">
        <f t="shared" si="12"/>
        <v xml:space="preserve"> </v>
      </c>
      <c r="T46" s="37" t="str">
        <f t="shared" si="13"/>
        <v xml:space="preserve"> </v>
      </c>
      <c r="U46" s="38" t="str">
        <f t="shared" si="6"/>
        <v xml:space="preserve"> </v>
      </c>
      <c r="V46" s="38" t="str">
        <f t="shared" si="14"/>
        <v/>
      </c>
      <c r="W46" s="76"/>
      <c r="X46" s="23"/>
    </row>
    <row r="47" spans="1:24" s="12" customFormat="1" ht="18" customHeight="1">
      <c r="A47" s="23"/>
      <c r="B47" s="44">
        <v>14</v>
      </c>
      <c r="C47" s="70"/>
      <c r="D47" s="40"/>
      <c r="E47" s="41"/>
      <c r="F47" s="42"/>
      <c r="G47" s="42"/>
      <c r="H47" s="43"/>
      <c r="I47" s="29"/>
      <c r="J47" s="29"/>
      <c r="K47" s="30"/>
      <c r="L47" s="30"/>
      <c r="M47" s="30"/>
      <c r="N47" s="23"/>
      <c r="O47" s="31" t="str">
        <f t="shared" si="10"/>
        <v xml:space="preserve"> </v>
      </c>
      <c r="P47" s="32" t="str">
        <f t="shared" si="10"/>
        <v xml:space="preserve"> </v>
      </c>
      <c r="Q47" s="32" t="str">
        <f t="shared" si="10"/>
        <v xml:space="preserve"> </v>
      </c>
      <c r="R47" s="36" t="str">
        <f t="shared" si="11"/>
        <v xml:space="preserve"> </v>
      </c>
      <c r="S47" s="37" t="str">
        <f t="shared" si="12"/>
        <v xml:space="preserve"> </v>
      </c>
      <c r="T47" s="37" t="str">
        <f t="shared" si="13"/>
        <v xml:space="preserve"> </v>
      </c>
      <c r="U47" s="38" t="str">
        <f t="shared" si="6"/>
        <v xml:space="preserve"> </v>
      </c>
      <c r="V47" s="38" t="str">
        <f t="shared" si="14"/>
        <v/>
      </c>
      <c r="W47" s="76"/>
      <c r="X47" s="23"/>
    </row>
    <row r="48" spans="1:24" s="12" customFormat="1" ht="18" customHeight="1">
      <c r="A48" s="23"/>
      <c r="B48" s="44">
        <v>15</v>
      </c>
      <c r="C48" s="71"/>
      <c r="D48" s="40"/>
      <c r="E48" s="41"/>
      <c r="F48" s="42"/>
      <c r="G48" s="42"/>
      <c r="H48" s="43"/>
      <c r="I48" s="29"/>
      <c r="J48" s="29"/>
      <c r="K48" s="30"/>
      <c r="L48" s="30"/>
      <c r="M48" s="30"/>
      <c r="N48" s="23"/>
      <c r="O48" s="31" t="str">
        <f t="shared" si="10"/>
        <v xml:space="preserve"> </v>
      </c>
      <c r="P48" s="32" t="str">
        <f t="shared" si="10"/>
        <v xml:space="preserve"> </v>
      </c>
      <c r="Q48" s="32" t="str">
        <f t="shared" si="10"/>
        <v xml:space="preserve"> </v>
      </c>
      <c r="R48" s="36" t="str">
        <f t="shared" si="11"/>
        <v xml:space="preserve"> </v>
      </c>
      <c r="S48" s="37" t="str">
        <f t="shared" si="12"/>
        <v xml:space="preserve"> </v>
      </c>
      <c r="T48" s="37" t="str">
        <f t="shared" si="13"/>
        <v xml:space="preserve"> </v>
      </c>
      <c r="U48" s="38" t="str">
        <f t="shared" si="6"/>
        <v xml:space="preserve"> </v>
      </c>
      <c r="V48" s="38" t="str">
        <f t="shared" si="14"/>
        <v/>
      </c>
      <c r="W48" s="76"/>
      <c r="X48" s="23"/>
    </row>
    <row r="49" spans="1:24" s="12" customFormat="1" ht="18" customHeight="1">
      <c r="A49" s="23"/>
      <c r="B49" s="44">
        <v>17</v>
      </c>
      <c r="C49" s="48"/>
      <c r="D49" s="40"/>
      <c r="E49" s="41"/>
      <c r="F49" s="42"/>
      <c r="G49" s="42"/>
      <c r="H49" s="43"/>
      <c r="I49" s="29"/>
      <c r="J49" s="29"/>
      <c r="K49" s="30"/>
      <c r="L49" s="30"/>
      <c r="M49" s="30"/>
      <c r="N49" s="23"/>
      <c r="O49" s="31" t="str">
        <f t="shared" si="10"/>
        <v xml:space="preserve"> </v>
      </c>
      <c r="P49" s="32" t="str">
        <f t="shared" si="10"/>
        <v xml:space="preserve"> </v>
      </c>
      <c r="Q49" s="32" t="str">
        <f t="shared" si="10"/>
        <v xml:space="preserve"> </v>
      </c>
      <c r="R49" s="36" t="str">
        <f t="shared" si="11"/>
        <v xml:space="preserve"> </v>
      </c>
      <c r="S49" s="37" t="str">
        <f t="shared" si="12"/>
        <v xml:space="preserve"> </v>
      </c>
      <c r="T49" s="37" t="str">
        <f t="shared" si="13"/>
        <v xml:space="preserve"> </v>
      </c>
      <c r="U49" s="38" t="str">
        <f t="shared" si="6"/>
        <v xml:space="preserve"> </v>
      </c>
      <c r="V49" s="38" t="str">
        <f t="shared" si="14"/>
        <v/>
      </c>
      <c r="W49" s="76"/>
      <c r="X49" s="23"/>
    </row>
    <row r="50" spans="1:24" s="12" customFormat="1" ht="18" customHeight="1">
      <c r="A50" s="23"/>
      <c r="B50" s="24"/>
      <c r="C50" s="80"/>
      <c r="D50" s="40"/>
      <c r="E50" s="41"/>
      <c r="F50" s="42"/>
      <c r="G50" s="42"/>
      <c r="H50" s="43"/>
      <c r="I50" s="29"/>
      <c r="J50" s="29"/>
      <c r="K50" s="30"/>
      <c r="L50" s="30"/>
      <c r="M50" s="30"/>
      <c r="N50" s="23"/>
      <c r="O50" s="31" t="str">
        <f t="shared" si="10"/>
        <v xml:space="preserve"> </v>
      </c>
      <c r="P50" s="32" t="str">
        <f t="shared" si="10"/>
        <v xml:space="preserve"> </v>
      </c>
      <c r="Q50" s="32" t="str">
        <f t="shared" si="10"/>
        <v xml:space="preserve"> </v>
      </c>
      <c r="R50" s="36" t="str">
        <f t="shared" si="11"/>
        <v xml:space="preserve"> </v>
      </c>
      <c r="S50" s="37" t="str">
        <f t="shared" si="12"/>
        <v xml:space="preserve"> </v>
      </c>
      <c r="T50" s="37" t="str">
        <f t="shared" si="13"/>
        <v xml:space="preserve"> </v>
      </c>
      <c r="U50" s="38" t="str">
        <f t="shared" si="6"/>
        <v xml:space="preserve"> </v>
      </c>
      <c r="V50" s="38" t="str">
        <f t="shared" si="14"/>
        <v/>
      </c>
      <c r="W50" s="76"/>
      <c r="X50" s="23"/>
    </row>
    <row r="51" spans="1:24" s="12" customFormat="1" ht="18" customHeight="1">
      <c r="A51" s="23"/>
      <c r="B51" s="39">
        <v>1</v>
      </c>
      <c r="C51" s="67"/>
      <c r="D51" s="40"/>
      <c r="E51" s="41"/>
      <c r="F51" s="42"/>
      <c r="G51" s="42"/>
      <c r="H51" s="43"/>
      <c r="I51" s="29"/>
      <c r="J51" s="29"/>
      <c r="K51" s="30"/>
      <c r="L51" s="30"/>
      <c r="M51" s="30"/>
      <c r="N51" s="23"/>
      <c r="O51" s="31" t="str">
        <f t="shared" si="10"/>
        <v xml:space="preserve"> </v>
      </c>
      <c r="P51" s="32" t="str">
        <f t="shared" si="10"/>
        <v xml:space="preserve"> </v>
      </c>
      <c r="Q51" s="32" t="str">
        <f t="shared" si="10"/>
        <v xml:space="preserve"> </v>
      </c>
      <c r="R51" s="36" t="str">
        <f t="shared" si="11"/>
        <v xml:space="preserve"> </v>
      </c>
      <c r="S51" s="37" t="str">
        <f t="shared" si="12"/>
        <v xml:space="preserve"> </v>
      </c>
      <c r="T51" s="37" t="str">
        <f t="shared" si="13"/>
        <v xml:space="preserve"> </v>
      </c>
      <c r="U51" s="38" t="str">
        <f t="shared" si="6"/>
        <v xml:space="preserve"> </v>
      </c>
      <c r="V51" s="38" t="str">
        <f t="shared" si="14"/>
        <v/>
      </c>
      <c r="W51" s="76"/>
      <c r="X51" s="23"/>
    </row>
    <row r="52" spans="1:24" s="12" customFormat="1" ht="18" customHeight="1">
      <c r="A52" s="23"/>
      <c r="B52" s="44">
        <v>2</v>
      </c>
      <c r="C52" s="67"/>
      <c r="D52" s="40"/>
      <c r="E52" s="41"/>
      <c r="F52" s="42"/>
      <c r="G52" s="42"/>
      <c r="H52" s="43"/>
      <c r="I52" s="29"/>
      <c r="J52" s="29"/>
      <c r="K52" s="30"/>
      <c r="L52" s="30"/>
      <c r="M52" s="30"/>
      <c r="N52" s="23"/>
      <c r="O52" s="31" t="str">
        <f t="shared" si="10"/>
        <v xml:space="preserve"> </v>
      </c>
      <c r="P52" s="32" t="str">
        <f t="shared" si="10"/>
        <v xml:space="preserve"> </v>
      </c>
      <c r="Q52" s="32" t="str">
        <f t="shared" si="10"/>
        <v xml:space="preserve"> </v>
      </c>
      <c r="R52" s="36" t="str">
        <f t="shared" si="11"/>
        <v xml:space="preserve"> </v>
      </c>
      <c r="S52" s="37" t="str">
        <f t="shared" si="12"/>
        <v xml:space="preserve"> </v>
      </c>
      <c r="T52" s="37" t="str">
        <f t="shared" si="13"/>
        <v xml:space="preserve"> </v>
      </c>
      <c r="U52" s="38" t="str">
        <f t="shared" si="6"/>
        <v xml:space="preserve"> </v>
      </c>
      <c r="V52" s="38" t="str">
        <f t="shared" si="14"/>
        <v/>
      </c>
      <c r="W52" s="76"/>
      <c r="X52" s="23"/>
    </row>
    <row r="53" spans="1:24" s="12" customFormat="1" ht="18" customHeight="1">
      <c r="A53" s="23"/>
      <c r="B53" s="44">
        <v>3</v>
      </c>
      <c r="C53" s="67"/>
      <c r="D53" s="40"/>
      <c r="E53" s="41"/>
      <c r="F53" s="42"/>
      <c r="G53" s="42"/>
      <c r="H53" s="43"/>
      <c r="I53" s="29"/>
      <c r="J53" s="29"/>
      <c r="K53" s="30"/>
      <c r="L53" s="30"/>
      <c r="M53" s="30"/>
      <c r="N53" s="23"/>
      <c r="O53" s="31" t="str">
        <f t="shared" si="10"/>
        <v xml:space="preserve"> </v>
      </c>
      <c r="P53" s="32" t="str">
        <f t="shared" si="10"/>
        <v xml:space="preserve"> </v>
      </c>
      <c r="Q53" s="32" t="str">
        <f t="shared" si="10"/>
        <v xml:space="preserve"> </v>
      </c>
      <c r="R53" s="36" t="str">
        <f t="shared" si="11"/>
        <v xml:space="preserve"> </v>
      </c>
      <c r="S53" s="37" t="str">
        <f t="shared" si="12"/>
        <v xml:space="preserve"> </v>
      </c>
      <c r="T53" s="37" t="str">
        <f t="shared" si="13"/>
        <v xml:space="preserve"> </v>
      </c>
      <c r="U53" s="38" t="str">
        <f t="shared" si="6"/>
        <v xml:space="preserve"> </v>
      </c>
      <c r="V53" s="38" t="str">
        <f t="shared" si="14"/>
        <v/>
      </c>
      <c r="W53" s="76"/>
      <c r="X53" s="23"/>
    </row>
    <row r="54" spans="1:24" s="12" customFormat="1" ht="18" customHeight="1">
      <c r="A54" s="23"/>
      <c r="B54" s="39">
        <v>4</v>
      </c>
      <c r="C54" s="67"/>
      <c r="D54" s="40"/>
      <c r="E54" s="41"/>
      <c r="F54" s="42"/>
      <c r="G54" s="42"/>
      <c r="H54" s="43"/>
      <c r="I54" s="29"/>
      <c r="J54" s="29"/>
      <c r="K54" s="30"/>
      <c r="L54" s="30"/>
      <c r="M54" s="30"/>
      <c r="N54" s="23"/>
      <c r="O54" s="31" t="str">
        <f t="shared" si="10"/>
        <v xml:space="preserve"> </v>
      </c>
      <c r="P54" s="32" t="str">
        <f t="shared" si="10"/>
        <v xml:space="preserve"> </v>
      </c>
      <c r="Q54" s="32" t="str">
        <f t="shared" si="10"/>
        <v xml:space="preserve"> </v>
      </c>
      <c r="R54" s="36" t="str">
        <f t="shared" si="11"/>
        <v xml:space="preserve"> </v>
      </c>
      <c r="S54" s="37" t="str">
        <f t="shared" si="12"/>
        <v xml:space="preserve"> </v>
      </c>
      <c r="T54" s="37" t="str">
        <f t="shared" si="13"/>
        <v xml:space="preserve"> </v>
      </c>
      <c r="U54" s="38" t="str">
        <f t="shared" si="6"/>
        <v xml:space="preserve"> </v>
      </c>
      <c r="V54" s="38" t="str">
        <f t="shared" si="14"/>
        <v/>
      </c>
      <c r="W54" s="76"/>
      <c r="X54" s="23"/>
    </row>
    <row r="55" spans="1:24" s="12" customFormat="1" ht="18" customHeight="1">
      <c r="A55" s="23"/>
      <c r="B55" s="44">
        <v>5</v>
      </c>
      <c r="C55" s="67"/>
      <c r="D55" s="40"/>
      <c r="E55" s="41"/>
      <c r="F55" s="42"/>
      <c r="G55" s="42"/>
      <c r="H55" s="43"/>
      <c r="I55" s="29"/>
      <c r="J55" s="29"/>
      <c r="K55" s="30"/>
      <c r="L55" s="30"/>
      <c r="M55" s="30"/>
      <c r="N55" s="23"/>
      <c r="O55" s="31" t="str">
        <f t="shared" si="10"/>
        <v xml:space="preserve"> </v>
      </c>
      <c r="P55" s="32" t="str">
        <f t="shared" si="10"/>
        <v xml:space="preserve"> </v>
      </c>
      <c r="Q55" s="32" t="str">
        <f t="shared" si="10"/>
        <v xml:space="preserve"> </v>
      </c>
      <c r="R55" s="36" t="str">
        <f t="shared" si="11"/>
        <v xml:space="preserve"> </v>
      </c>
      <c r="S55" s="37" t="str">
        <f t="shared" si="12"/>
        <v xml:space="preserve"> </v>
      </c>
      <c r="T55" s="37" t="str">
        <f t="shared" si="13"/>
        <v xml:space="preserve"> </v>
      </c>
      <c r="U55" s="38" t="str">
        <f t="shared" si="6"/>
        <v xml:space="preserve"> </v>
      </c>
      <c r="V55" s="38" t="str">
        <f t="shared" si="14"/>
        <v/>
      </c>
      <c r="W55" s="76"/>
      <c r="X55" s="23"/>
    </row>
    <row r="56" spans="1:24" s="12" customFormat="1" ht="18" customHeight="1">
      <c r="A56" s="23"/>
      <c r="B56" s="44">
        <v>6</v>
      </c>
      <c r="C56" s="45"/>
      <c r="D56" s="40"/>
      <c r="E56" s="41"/>
      <c r="F56" s="42"/>
      <c r="G56" s="42"/>
      <c r="H56" s="43"/>
      <c r="I56" s="29"/>
      <c r="J56" s="29"/>
      <c r="K56" s="30"/>
      <c r="L56" s="30"/>
      <c r="M56" s="30"/>
      <c r="N56" s="23"/>
      <c r="O56" s="31" t="str">
        <f t="shared" si="10"/>
        <v xml:space="preserve"> </v>
      </c>
      <c r="P56" s="32" t="str">
        <f t="shared" si="10"/>
        <v xml:space="preserve"> </v>
      </c>
      <c r="Q56" s="32" t="str">
        <f t="shared" si="10"/>
        <v xml:space="preserve"> </v>
      </c>
      <c r="R56" s="36" t="str">
        <f t="shared" si="11"/>
        <v xml:space="preserve"> </v>
      </c>
      <c r="S56" s="37" t="str">
        <f t="shared" si="12"/>
        <v xml:space="preserve"> </v>
      </c>
      <c r="T56" s="37" t="str">
        <f t="shared" si="13"/>
        <v xml:space="preserve"> </v>
      </c>
      <c r="U56" s="38" t="str">
        <f t="shared" si="6"/>
        <v xml:space="preserve"> </v>
      </c>
      <c r="V56" s="38" t="str">
        <f t="shared" si="14"/>
        <v/>
      </c>
      <c r="W56" s="76"/>
      <c r="X56" s="23"/>
    </row>
    <row r="57" spans="1:24" s="12" customFormat="1" ht="18" customHeight="1">
      <c r="A57" s="23"/>
      <c r="B57" s="39">
        <v>7</v>
      </c>
      <c r="C57" s="46"/>
      <c r="D57" s="40"/>
      <c r="E57" s="41"/>
      <c r="F57" s="42"/>
      <c r="G57" s="42"/>
      <c r="H57" s="43"/>
      <c r="I57" s="29"/>
      <c r="J57" s="29"/>
      <c r="K57" s="30"/>
      <c r="L57" s="30"/>
      <c r="M57" s="30"/>
      <c r="N57" s="23"/>
      <c r="O57" s="31" t="str">
        <f t="shared" si="10"/>
        <v xml:space="preserve"> </v>
      </c>
      <c r="P57" s="32" t="str">
        <f t="shared" si="10"/>
        <v xml:space="preserve"> </v>
      </c>
      <c r="Q57" s="32" t="str">
        <f t="shared" si="10"/>
        <v xml:space="preserve"> </v>
      </c>
      <c r="R57" s="36" t="str">
        <f t="shared" si="11"/>
        <v xml:space="preserve"> </v>
      </c>
      <c r="S57" s="37" t="str">
        <f t="shared" si="12"/>
        <v xml:space="preserve"> </v>
      </c>
      <c r="T57" s="37" t="str">
        <f t="shared" si="13"/>
        <v xml:space="preserve"> </v>
      </c>
      <c r="U57" s="38" t="str">
        <f t="shared" si="6"/>
        <v xml:space="preserve"> </v>
      </c>
      <c r="V57" s="38" t="str">
        <f t="shared" si="14"/>
        <v/>
      </c>
      <c r="W57" s="76"/>
      <c r="X57" s="23"/>
    </row>
    <row r="58" spans="1:24" s="12" customFormat="1" ht="18" customHeight="1">
      <c r="A58" s="23"/>
      <c r="B58" s="24"/>
      <c r="C58" s="28"/>
      <c r="D58" s="25"/>
      <c r="E58" s="26"/>
      <c r="F58" s="25"/>
      <c r="G58" s="25"/>
      <c r="H58" s="27"/>
      <c r="I58" s="29"/>
      <c r="J58" s="29"/>
      <c r="K58" s="30"/>
      <c r="L58" s="30"/>
      <c r="M58" s="30"/>
      <c r="N58" s="23"/>
      <c r="O58" s="31" t="str">
        <f t="shared" si="10"/>
        <v xml:space="preserve"> </v>
      </c>
      <c r="P58" s="32" t="str">
        <f t="shared" si="10"/>
        <v xml:space="preserve"> </v>
      </c>
      <c r="Q58" s="32" t="str">
        <f t="shared" si="10"/>
        <v xml:space="preserve"> </v>
      </c>
      <c r="R58" s="36" t="str">
        <f t="shared" si="11"/>
        <v xml:space="preserve"> </v>
      </c>
      <c r="S58" s="37" t="str">
        <f t="shared" si="12"/>
        <v xml:space="preserve"> </v>
      </c>
      <c r="T58" s="37" t="str">
        <f t="shared" si="13"/>
        <v xml:space="preserve"> </v>
      </c>
      <c r="U58" s="38" t="str">
        <f t="shared" si="6"/>
        <v xml:space="preserve"> </v>
      </c>
      <c r="V58" s="38" t="str">
        <f t="shared" si="14"/>
        <v/>
      </c>
      <c r="W58" s="76"/>
      <c r="X58" s="23"/>
    </row>
    <row r="59" spans="1:24" s="12" customFormat="1" ht="18" customHeight="1">
      <c r="A59" s="23"/>
      <c r="B59" s="24"/>
      <c r="C59" s="28"/>
      <c r="D59" s="25"/>
      <c r="E59" s="26"/>
      <c r="F59" s="25"/>
      <c r="G59" s="25"/>
      <c r="H59" s="27"/>
      <c r="I59" s="29"/>
      <c r="J59" s="29"/>
      <c r="K59" s="30"/>
      <c r="L59" s="30"/>
      <c r="M59" s="30"/>
      <c r="N59" s="23"/>
      <c r="O59" s="31" t="str">
        <f t="shared" si="10"/>
        <v xml:space="preserve"> </v>
      </c>
      <c r="P59" s="32" t="str">
        <f t="shared" si="10"/>
        <v xml:space="preserve"> </v>
      </c>
      <c r="Q59" s="32" t="str">
        <f t="shared" si="10"/>
        <v xml:space="preserve"> </v>
      </c>
      <c r="R59" s="36" t="str">
        <f t="shared" si="11"/>
        <v xml:space="preserve"> </v>
      </c>
      <c r="S59" s="37" t="str">
        <f t="shared" si="12"/>
        <v xml:space="preserve"> </v>
      </c>
      <c r="T59" s="37" t="str">
        <f t="shared" si="13"/>
        <v xml:space="preserve"> </v>
      </c>
      <c r="U59" s="38" t="str">
        <f t="shared" si="6"/>
        <v xml:space="preserve"> </v>
      </c>
      <c r="V59" s="38" t="str">
        <f t="shared" si="14"/>
        <v/>
      </c>
      <c r="W59" s="76"/>
      <c r="X59" s="23"/>
    </row>
    <row r="60" spans="1:24" s="12" customFormat="1" ht="18" customHeight="1">
      <c r="A60" s="23"/>
      <c r="B60" s="24"/>
      <c r="C60" s="28"/>
      <c r="D60" s="25"/>
      <c r="E60" s="26"/>
      <c r="F60" s="25"/>
      <c r="G60" s="25"/>
      <c r="H60" s="27"/>
      <c r="I60" s="29"/>
      <c r="J60" s="29"/>
      <c r="K60" s="30"/>
      <c r="L60" s="30"/>
      <c r="M60" s="30"/>
      <c r="N60" s="23"/>
      <c r="O60" s="31" t="str">
        <f t="shared" si="10"/>
        <v xml:space="preserve"> </v>
      </c>
      <c r="P60" s="32" t="str">
        <f t="shared" si="10"/>
        <v xml:space="preserve"> </v>
      </c>
      <c r="Q60" s="32" t="str">
        <f t="shared" si="10"/>
        <v xml:space="preserve"> </v>
      </c>
      <c r="R60" s="36" t="str">
        <f t="shared" si="11"/>
        <v xml:space="preserve"> </v>
      </c>
      <c r="S60" s="37" t="str">
        <f t="shared" si="12"/>
        <v xml:space="preserve"> </v>
      </c>
      <c r="T60" s="37" t="str">
        <f t="shared" si="13"/>
        <v xml:space="preserve"> </v>
      </c>
      <c r="U60" s="38" t="str">
        <f t="shared" si="6"/>
        <v xml:space="preserve"> </v>
      </c>
      <c r="V60" s="38" t="str">
        <f t="shared" si="14"/>
        <v/>
      </c>
      <c r="W60" s="76" t="s">
        <v>66</v>
      </c>
      <c r="X60" s="23"/>
    </row>
    <row r="61" spans="1:24" s="12" customFormat="1" ht="18" customHeight="1">
      <c r="A61" s="23"/>
      <c r="B61" s="24"/>
      <c r="C61" s="28"/>
      <c r="D61" s="25"/>
      <c r="E61" s="26"/>
      <c r="F61" s="25"/>
      <c r="G61" s="25"/>
      <c r="H61" s="27"/>
      <c r="I61" s="29"/>
      <c r="J61" s="29"/>
      <c r="K61" s="30"/>
      <c r="L61" s="30"/>
      <c r="M61" s="30"/>
      <c r="N61" s="23"/>
      <c r="O61" s="31" t="str">
        <f t="shared" si="10"/>
        <v xml:space="preserve"> </v>
      </c>
      <c r="P61" s="32" t="str">
        <f t="shared" si="10"/>
        <v xml:space="preserve"> </v>
      </c>
      <c r="Q61" s="32" t="str">
        <f t="shared" si="10"/>
        <v xml:space="preserve"> </v>
      </c>
      <c r="R61" s="36" t="str">
        <f t="shared" si="11"/>
        <v xml:space="preserve"> </v>
      </c>
      <c r="S61" s="37" t="str">
        <f t="shared" si="12"/>
        <v xml:space="preserve"> </v>
      </c>
      <c r="T61" s="37" t="str">
        <f t="shared" si="13"/>
        <v xml:space="preserve"> </v>
      </c>
      <c r="U61" s="38" t="str">
        <f t="shared" si="6"/>
        <v xml:space="preserve"> </v>
      </c>
      <c r="V61" s="38" t="str">
        <f t="shared" si="14"/>
        <v/>
      </c>
      <c r="W61" s="76"/>
      <c r="X61" s="23"/>
    </row>
    <row r="62" spans="1:24" s="12" customFormat="1" ht="18" customHeight="1">
      <c r="A62" s="23"/>
      <c r="B62" s="24"/>
      <c r="C62" s="28"/>
      <c r="D62" s="25"/>
      <c r="E62" s="26"/>
      <c r="F62" s="25"/>
      <c r="G62" s="25"/>
      <c r="H62" s="27"/>
      <c r="I62" s="29"/>
      <c r="J62" s="29"/>
      <c r="K62" s="30"/>
      <c r="L62" s="30"/>
      <c r="M62" s="30"/>
      <c r="N62" s="23"/>
      <c r="O62" s="31" t="str">
        <f t="shared" si="10"/>
        <v xml:space="preserve"> </v>
      </c>
      <c r="P62" s="32" t="str">
        <f t="shared" si="10"/>
        <v xml:space="preserve"> </v>
      </c>
      <c r="Q62" s="32" t="str">
        <f t="shared" si="10"/>
        <v xml:space="preserve"> </v>
      </c>
      <c r="R62" s="36" t="str">
        <f t="shared" si="11"/>
        <v xml:space="preserve"> </v>
      </c>
      <c r="S62" s="37" t="str">
        <f t="shared" si="12"/>
        <v xml:space="preserve"> </v>
      </c>
      <c r="T62" s="37" t="str">
        <f t="shared" si="13"/>
        <v xml:space="preserve"> </v>
      </c>
      <c r="U62" s="38" t="str">
        <f t="shared" si="6"/>
        <v xml:space="preserve"> </v>
      </c>
      <c r="V62" s="38" t="str">
        <f t="shared" si="14"/>
        <v/>
      </c>
      <c r="W62" s="76"/>
      <c r="X62" s="23"/>
    </row>
    <row r="63" spans="1:24" s="12" customFormat="1" ht="18" customHeight="1">
      <c r="A63" s="23"/>
      <c r="B63" s="24"/>
      <c r="C63" s="28"/>
      <c r="D63" s="25"/>
      <c r="E63" s="26"/>
      <c r="F63" s="25"/>
      <c r="G63" s="25"/>
      <c r="H63" s="27"/>
      <c r="I63" s="29"/>
      <c r="J63" s="29"/>
      <c r="K63" s="30"/>
      <c r="L63" s="30"/>
      <c r="M63" s="30"/>
      <c r="N63" s="23"/>
      <c r="O63" s="31" t="str">
        <f t="shared" si="10"/>
        <v xml:space="preserve"> </v>
      </c>
      <c r="P63" s="32" t="str">
        <f t="shared" si="10"/>
        <v xml:space="preserve"> </v>
      </c>
      <c r="Q63" s="32" t="str">
        <f t="shared" si="10"/>
        <v xml:space="preserve"> </v>
      </c>
      <c r="R63" s="36" t="str">
        <f t="shared" si="11"/>
        <v xml:space="preserve"> </v>
      </c>
      <c r="S63" s="37" t="str">
        <f t="shared" si="12"/>
        <v xml:space="preserve"> </v>
      </c>
      <c r="T63" s="37" t="str">
        <f t="shared" si="13"/>
        <v xml:space="preserve"> </v>
      </c>
      <c r="U63" s="38" t="str">
        <f t="shared" si="6"/>
        <v xml:space="preserve"> </v>
      </c>
      <c r="V63" s="38" t="str">
        <f t="shared" si="14"/>
        <v/>
      </c>
      <c r="W63" s="76"/>
      <c r="X63" s="23"/>
    </row>
    <row r="64" spans="1:24" s="12" customFormat="1" ht="18" customHeight="1">
      <c r="A64" s="23"/>
      <c r="B64" s="24"/>
      <c r="C64" s="28"/>
      <c r="D64" s="25"/>
      <c r="E64" s="26"/>
      <c r="F64" s="25"/>
      <c r="G64" s="25"/>
      <c r="H64" s="27"/>
      <c r="I64" s="29"/>
      <c r="J64" s="29"/>
      <c r="K64" s="30"/>
      <c r="L64" s="30"/>
      <c r="M64" s="30"/>
      <c r="N64" s="23"/>
      <c r="O64" s="31" t="str">
        <f t="shared" si="10"/>
        <v xml:space="preserve"> </v>
      </c>
      <c r="P64" s="32" t="str">
        <f t="shared" si="10"/>
        <v xml:space="preserve"> </v>
      </c>
      <c r="Q64" s="32" t="str">
        <f t="shared" si="10"/>
        <v xml:space="preserve"> </v>
      </c>
      <c r="R64" s="36" t="str">
        <f t="shared" si="11"/>
        <v xml:space="preserve"> </v>
      </c>
      <c r="S64" s="37" t="str">
        <f t="shared" si="12"/>
        <v xml:space="preserve"> </v>
      </c>
      <c r="T64" s="37" t="str">
        <f t="shared" si="13"/>
        <v xml:space="preserve"> </v>
      </c>
      <c r="U64" s="38" t="str">
        <f t="shared" si="6"/>
        <v xml:space="preserve"> </v>
      </c>
      <c r="V64" s="38" t="str">
        <f t="shared" si="14"/>
        <v/>
      </c>
      <c r="W64" s="76"/>
      <c r="X64" s="23"/>
    </row>
    <row r="65" spans="1:24" s="12" customFormat="1" ht="18" customHeight="1">
      <c r="A65" s="23"/>
      <c r="B65" s="24"/>
      <c r="C65" s="28"/>
      <c r="D65" s="25"/>
      <c r="E65" s="26"/>
      <c r="F65" s="25"/>
      <c r="G65" s="25"/>
      <c r="H65" s="27"/>
      <c r="I65" s="29"/>
      <c r="J65" s="29"/>
      <c r="K65" s="30"/>
      <c r="L65" s="30"/>
      <c r="M65" s="30"/>
      <c r="N65" s="23"/>
      <c r="O65" s="31" t="str">
        <f t="shared" si="10"/>
        <v xml:space="preserve"> </v>
      </c>
      <c r="P65" s="32" t="str">
        <f t="shared" si="10"/>
        <v xml:space="preserve"> </v>
      </c>
      <c r="Q65" s="32" t="str">
        <f t="shared" si="10"/>
        <v xml:space="preserve"> </v>
      </c>
      <c r="R65" s="36" t="str">
        <f t="shared" si="11"/>
        <v xml:space="preserve"> </v>
      </c>
      <c r="S65" s="37" t="str">
        <f t="shared" si="12"/>
        <v xml:space="preserve"> </v>
      </c>
      <c r="T65" s="37" t="str">
        <f t="shared" si="13"/>
        <v xml:space="preserve"> </v>
      </c>
      <c r="U65" s="38" t="str">
        <f t="shared" si="6"/>
        <v xml:space="preserve"> </v>
      </c>
      <c r="V65" s="38" t="str">
        <f t="shared" si="14"/>
        <v/>
      </c>
      <c r="W65" s="76"/>
      <c r="X65" s="23"/>
    </row>
    <row r="66" spans="1:24" s="12" customFormat="1" ht="18" customHeight="1">
      <c r="A66" s="23"/>
      <c r="B66" s="24"/>
      <c r="C66" s="28"/>
      <c r="D66" s="25"/>
      <c r="E66" s="26"/>
      <c r="F66" s="25"/>
      <c r="G66" s="25"/>
      <c r="H66" s="27"/>
      <c r="I66" s="29"/>
      <c r="J66" s="29"/>
      <c r="K66" s="30"/>
      <c r="L66" s="30"/>
      <c r="M66" s="30"/>
      <c r="N66" s="23"/>
      <c r="O66" s="31" t="str">
        <f t="shared" si="10"/>
        <v xml:space="preserve"> </v>
      </c>
      <c r="P66" s="32" t="str">
        <f t="shared" si="10"/>
        <v xml:space="preserve"> </v>
      </c>
      <c r="Q66" s="32" t="str">
        <f t="shared" si="10"/>
        <v xml:space="preserve"> </v>
      </c>
      <c r="R66" s="36" t="str">
        <f t="shared" si="11"/>
        <v xml:space="preserve"> </v>
      </c>
      <c r="S66" s="37" t="str">
        <f t="shared" si="12"/>
        <v xml:space="preserve"> </v>
      </c>
      <c r="T66" s="37" t="str">
        <f t="shared" si="13"/>
        <v xml:space="preserve"> </v>
      </c>
      <c r="U66" s="38" t="str">
        <f t="shared" si="6"/>
        <v xml:space="preserve"> </v>
      </c>
      <c r="V66" s="38" t="str">
        <f t="shared" si="14"/>
        <v/>
      </c>
      <c r="W66" s="76"/>
      <c r="X66" s="23"/>
    </row>
    <row r="67" spans="1:24" s="12" customFormat="1" ht="18" customHeight="1">
      <c r="A67" s="23"/>
      <c r="B67" s="24"/>
      <c r="C67" s="28"/>
      <c r="D67" s="25"/>
      <c r="E67" s="26"/>
      <c r="F67" s="25"/>
      <c r="G67" s="25"/>
      <c r="H67" s="27"/>
      <c r="I67" s="29"/>
      <c r="J67" s="29"/>
      <c r="K67" s="30"/>
      <c r="L67" s="30"/>
      <c r="M67" s="30"/>
      <c r="N67" s="23"/>
      <c r="O67" s="31" t="str">
        <f t="shared" si="10"/>
        <v xml:space="preserve"> </v>
      </c>
      <c r="P67" s="32" t="str">
        <f t="shared" si="10"/>
        <v xml:space="preserve"> </v>
      </c>
      <c r="Q67" s="32" t="str">
        <f t="shared" si="10"/>
        <v xml:space="preserve"> </v>
      </c>
      <c r="R67" s="36" t="str">
        <f t="shared" si="11"/>
        <v xml:space="preserve"> </v>
      </c>
      <c r="S67" s="37" t="str">
        <f t="shared" si="12"/>
        <v xml:space="preserve"> </v>
      </c>
      <c r="T67" s="37" t="str">
        <f t="shared" si="13"/>
        <v xml:space="preserve"> </v>
      </c>
      <c r="U67" s="38" t="str">
        <f t="shared" si="6"/>
        <v xml:space="preserve"> </v>
      </c>
      <c r="V67" s="38" t="str">
        <f t="shared" si="14"/>
        <v/>
      </c>
      <c r="W67" s="76"/>
      <c r="X67" s="23"/>
    </row>
    <row r="68" spans="1:24" s="12" customFormat="1" ht="18" customHeight="1">
      <c r="A68" s="23"/>
      <c r="B68" s="24"/>
      <c r="C68" s="28"/>
      <c r="D68" s="25"/>
      <c r="E68" s="26"/>
      <c r="F68" s="25"/>
      <c r="G68" s="25"/>
      <c r="H68" s="27"/>
      <c r="I68" s="29" t="str">
        <f t="shared" ref="I68:I73" si="22">IF(AND(E68="",F68=""),"",IF(E68="",F68,E68+F68))</f>
        <v/>
      </c>
      <c r="J68" s="29" t="str">
        <f t="shared" ref="J68:J73" si="23">IF(AND(E68="",G68=""),"",IF(E68="",G68,E68+G68))</f>
        <v/>
      </c>
      <c r="K68" s="30"/>
      <c r="L68" s="30"/>
      <c r="M68" s="30"/>
      <c r="N68" s="23"/>
      <c r="O68" s="31" t="str">
        <f t="shared" si="10"/>
        <v xml:space="preserve"> </v>
      </c>
      <c r="P68" s="32" t="str">
        <f t="shared" si="10"/>
        <v xml:space="preserve"> </v>
      </c>
      <c r="Q68" s="32" t="str">
        <f t="shared" si="10"/>
        <v xml:space="preserve"> </v>
      </c>
      <c r="R68" s="36" t="str">
        <f t="shared" si="11"/>
        <v xml:space="preserve"> </v>
      </c>
      <c r="S68" s="37" t="str">
        <f t="shared" si="12"/>
        <v xml:space="preserve"> </v>
      </c>
      <c r="T68" s="37" t="str">
        <f t="shared" si="13"/>
        <v xml:space="preserve"> </v>
      </c>
      <c r="U68" s="38" t="str">
        <f t="shared" si="6"/>
        <v xml:space="preserve"> </v>
      </c>
      <c r="V68" s="38" t="str">
        <f t="shared" si="14"/>
        <v/>
      </c>
      <c r="W68" s="76"/>
      <c r="X68" s="23"/>
    </row>
    <row r="69" spans="1:24" s="12" customFormat="1" ht="18" customHeight="1">
      <c r="A69" s="23"/>
      <c r="B69" s="24"/>
      <c r="C69" s="28"/>
      <c r="D69" s="25"/>
      <c r="E69" s="26"/>
      <c r="F69" s="25"/>
      <c r="G69" s="25"/>
      <c r="H69" s="27"/>
      <c r="I69" s="29" t="str">
        <f t="shared" si="22"/>
        <v/>
      </c>
      <c r="J69" s="29" t="str">
        <f t="shared" si="23"/>
        <v/>
      </c>
      <c r="K69" s="30"/>
      <c r="L69" s="30"/>
      <c r="M69" s="30"/>
      <c r="N69" s="23"/>
      <c r="O69" s="31" t="str">
        <f t="shared" si="10"/>
        <v xml:space="preserve"> </v>
      </c>
      <c r="P69" s="32" t="str">
        <f t="shared" si="10"/>
        <v xml:space="preserve"> </v>
      </c>
      <c r="Q69" s="32" t="str">
        <f t="shared" si="10"/>
        <v xml:space="preserve"> </v>
      </c>
      <c r="R69" s="36" t="str">
        <f t="shared" si="11"/>
        <v xml:space="preserve"> </v>
      </c>
      <c r="S69" s="37" t="str">
        <f t="shared" si="12"/>
        <v xml:space="preserve"> </v>
      </c>
      <c r="T69" s="37" t="str">
        <f t="shared" si="13"/>
        <v xml:space="preserve"> </v>
      </c>
      <c r="U69" s="38" t="str">
        <f t="shared" si="6"/>
        <v xml:space="preserve"> </v>
      </c>
      <c r="V69" s="38" t="str">
        <f t="shared" si="14"/>
        <v/>
      </c>
      <c r="W69" s="76"/>
      <c r="X69" s="23"/>
    </row>
    <row r="70" spans="1:24" s="12" customFormat="1" ht="18" customHeight="1">
      <c r="A70" s="23"/>
      <c r="B70" s="24"/>
      <c r="C70" s="28"/>
      <c r="D70" s="25"/>
      <c r="E70" s="26"/>
      <c r="F70" s="25"/>
      <c r="G70" s="25"/>
      <c r="H70" s="27"/>
      <c r="I70" s="29" t="str">
        <f t="shared" si="22"/>
        <v/>
      </c>
      <c r="J70" s="29" t="str">
        <f t="shared" si="23"/>
        <v/>
      </c>
      <c r="K70" s="30"/>
      <c r="L70" s="30"/>
      <c r="M70" s="30"/>
      <c r="N70" s="23"/>
      <c r="O70" s="31" t="str">
        <f t="shared" si="10"/>
        <v xml:space="preserve"> </v>
      </c>
      <c r="P70" s="32" t="str">
        <f t="shared" si="10"/>
        <v xml:space="preserve"> </v>
      </c>
      <c r="Q70" s="32" t="str">
        <f t="shared" si="10"/>
        <v xml:space="preserve"> </v>
      </c>
      <c r="R70" s="36" t="str">
        <f t="shared" si="11"/>
        <v xml:space="preserve"> </v>
      </c>
      <c r="S70" s="37" t="str">
        <f t="shared" si="12"/>
        <v xml:space="preserve"> </v>
      </c>
      <c r="T70" s="37" t="str">
        <f t="shared" si="13"/>
        <v xml:space="preserve"> </v>
      </c>
      <c r="U70" s="38" t="str">
        <f t="shared" si="6"/>
        <v xml:space="preserve"> </v>
      </c>
      <c r="V70" s="38" t="str">
        <f t="shared" si="14"/>
        <v/>
      </c>
      <c r="W70" s="76"/>
      <c r="X70" s="23"/>
    </row>
    <row r="71" spans="1:24" s="12" customFormat="1" ht="18" customHeight="1">
      <c r="A71" s="23"/>
      <c r="B71" s="24"/>
      <c r="C71" s="28"/>
      <c r="D71" s="25"/>
      <c r="E71" s="26"/>
      <c r="F71" s="25"/>
      <c r="G71" s="25"/>
      <c r="H71" s="27"/>
      <c r="I71" s="29" t="str">
        <f t="shared" si="22"/>
        <v/>
      </c>
      <c r="J71" s="29" t="str">
        <f t="shared" si="23"/>
        <v/>
      </c>
      <c r="K71" s="30"/>
      <c r="L71" s="30"/>
      <c r="M71" s="30"/>
      <c r="N71" s="23"/>
      <c r="O71" s="31" t="str">
        <f t="shared" si="10"/>
        <v xml:space="preserve"> </v>
      </c>
      <c r="P71" s="32" t="str">
        <f t="shared" si="10"/>
        <v xml:space="preserve"> </v>
      </c>
      <c r="Q71" s="32" t="str">
        <f t="shared" si="10"/>
        <v xml:space="preserve"> </v>
      </c>
      <c r="R71" s="36" t="str">
        <f t="shared" si="11"/>
        <v xml:space="preserve"> </v>
      </c>
      <c r="S71" s="37" t="str">
        <f t="shared" si="12"/>
        <v xml:space="preserve"> </v>
      </c>
      <c r="T71" s="37" t="str">
        <f t="shared" si="13"/>
        <v xml:space="preserve"> </v>
      </c>
      <c r="U71" s="38" t="str">
        <f t="shared" si="6"/>
        <v xml:space="preserve"> </v>
      </c>
      <c r="V71" s="38" t="str">
        <f t="shared" si="14"/>
        <v/>
      </c>
      <c r="W71" s="76"/>
      <c r="X71" s="23"/>
    </row>
    <row r="72" spans="1:24" s="12" customFormat="1" ht="18" customHeight="1">
      <c r="A72" s="23"/>
      <c r="B72" s="24"/>
      <c r="C72" s="28"/>
      <c r="D72" s="25"/>
      <c r="E72" s="26"/>
      <c r="F72" s="25"/>
      <c r="G72" s="25"/>
      <c r="H72" s="27"/>
      <c r="I72" s="29" t="str">
        <f t="shared" si="22"/>
        <v/>
      </c>
      <c r="J72" s="29" t="str">
        <f t="shared" si="23"/>
        <v/>
      </c>
      <c r="K72" s="30"/>
      <c r="L72" s="30"/>
      <c r="M72" s="30"/>
      <c r="N72" s="23"/>
      <c r="O72" s="31" t="str">
        <f t="shared" si="10"/>
        <v xml:space="preserve"> </v>
      </c>
      <c r="P72" s="32" t="str">
        <f t="shared" si="10"/>
        <v xml:space="preserve"> </v>
      </c>
      <c r="Q72" s="32" t="str">
        <f t="shared" si="10"/>
        <v xml:space="preserve"> </v>
      </c>
      <c r="R72" s="36" t="str">
        <f t="shared" si="11"/>
        <v xml:space="preserve"> </v>
      </c>
      <c r="S72" s="37" t="str">
        <f t="shared" si="12"/>
        <v xml:space="preserve"> </v>
      </c>
      <c r="T72" s="37" t="str">
        <f t="shared" si="13"/>
        <v xml:space="preserve"> </v>
      </c>
      <c r="U72" s="38" t="str">
        <f t="shared" si="6"/>
        <v xml:space="preserve"> </v>
      </c>
      <c r="V72" s="38" t="str">
        <f t="shared" si="14"/>
        <v/>
      </c>
      <c r="W72" s="76"/>
      <c r="X72" s="23"/>
    </row>
    <row r="73" spans="1:24" s="12" customFormat="1" ht="18" customHeight="1">
      <c r="A73" s="23"/>
      <c r="B73" s="24"/>
      <c r="C73" s="28"/>
      <c r="D73" s="25"/>
      <c r="E73" s="26"/>
      <c r="F73" s="25"/>
      <c r="G73" s="25"/>
      <c r="H73" s="27"/>
      <c r="I73" s="29" t="str">
        <f t="shared" si="22"/>
        <v/>
      </c>
      <c r="J73" s="29" t="str">
        <f t="shared" si="23"/>
        <v/>
      </c>
      <c r="K73" s="30"/>
      <c r="L73" s="30"/>
      <c r="M73" s="30"/>
      <c r="N73" s="23"/>
      <c r="O73" s="31" t="str">
        <f t="shared" si="10"/>
        <v xml:space="preserve"> </v>
      </c>
      <c r="P73" s="32" t="str">
        <f t="shared" si="10"/>
        <v xml:space="preserve"> </v>
      </c>
      <c r="Q73" s="32" t="str">
        <f t="shared" si="10"/>
        <v xml:space="preserve"> </v>
      </c>
      <c r="R73" s="36" t="str">
        <f t="shared" si="11"/>
        <v xml:space="preserve"> </v>
      </c>
      <c r="S73" s="37" t="str">
        <f t="shared" si="12"/>
        <v xml:space="preserve"> </v>
      </c>
      <c r="T73" s="37" t="str">
        <f t="shared" si="13"/>
        <v xml:space="preserve"> </v>
      </c>
      <c r="U73" s="38" t="str">
        <f t="shared" si="6"/>
        <v xml:space="preserve"> </v>
      </c>
      <c r="V73" s="38" t="str">
        <f t="shared" si="14"/>
        <v/>
      </c>
      <c r="W73" s="76"/>
      <c r="X73" s="23"/>
    </row>
  </sheetData>
  <mergeCells count="30">
    <mergeCell ref="A8:J8"/>
    <mergeCell ref="K8:Q8"/>
    <mergeCell ref="R8:V8"/>
    <mergeCell ref="W8:X8"/>
    <mergeCell ref="H9:H10"/>
    <mergeCell ref="I9:I10"/>
    <mergeCell ref="J9:J10"/>
    <mergeCell ref="K9:M9"/>
    <mergeCell ref="O9:Q9"/>
    <mergeCell ref="R9:R10"/>
    <mergeCell ref="U6:X6"/>
    <mergeCell ref="B5:C5"/>
    <mergeCell ref="D5:H5"/>
    <mergeCell ref="K5:L5"/>
    <mergeCell ref="M5:Q5"/>
    <mergeCell ref="R5:T5"/>
    <mergeCell ref="U5:X5"/>
    <mergeCell ref="B6:C6"/>
    <mergeCell ref="D6:H6"/>
    <mergeCell ref="K6:L6"/>
    <mergeCell ref="M6:Q6"/>
    <mergeCell ref="R6:T6"/>
    <mergeCell ref="A1:W1"/>
    <mergeCell ref="U2:V2"/>
    <mergeCell ref="B4:C4"/>
    <mergeCell ref="D4:H4"/>
    <mergeCell ref="K4:L4"/>
    <mergeCell ref="M4:Q4"/>
    <mergeCell ref="R4:T4"/>
    <mergeCell ref="U4:X4"/>
  </mergeCells>
  <phoneticPr fontId="30" type="noConversion"/>
  <conditionalFormatting sqref="E50:E73 E11:E48">
    <cfRule type="expression" dxfId="412" priority="411">
      <formula>AND($D11&lt;&gt;"Tolerance",$E11&lt;&gt;"")</formula>
    </cfRule>
    <cfRule type="expression" dxfId="411" priority="412">
      <formula>AND(OR($D11="GD&amp;T",$D11="MAX",$D11="MIN"),$E11="")</formula>
    </cfRule>
    <cfRule type="containsBlanks" dxfId="410" priority="413">
      <formula>LEN(TRIM(E11))=0</formula>
    </cfRule>
  </conditionalFormatting>
  <conditionalFormatting sqref="F50:F73 F11:F48">
    <cfRule type="expression" dxfId="409" priority="408">
      <formula>AND($D11="MIN",$F11&lt;&gt;"")</formula>
    </cfRule>
    <cfRule type="expression" dxfId="408" priority="409">
      <formula>AND($D11="MIN",$F11="")</formula>
    </cfRule>
    <cfRule type="containsBlanks" dxfId="407" priority="410">
      <formula>LEN(TRIM(F11))=0</formula>
    </cfRule>
  </conditionalFormatting>
  <conditionalFormatting sqref="G50:G73 G11:G48">
    <cfRule type="expression" dxfId="406" priority="405">
      <formula>AND(OR($D11="GD&amp;T",$D11="MAX"),$G11&lt;&gt;"")</formula>
    </cfRule>
    <cfRule type="expression" dxfId="405" priority="406">
      <formula>AND(OR($D11="GD&amp;T",$D11="MAX"),$G11="")</formula>
    </cfRule>
    <cfRule type="containsBlanks" dxfId="404" priority="407">
      <formula>LEN(TRIM(G11))=0</formula>
    </cfRule>
  </conditionalFormatting>
  <conditionalFormatting sqref="U11:V73">
    <cfRule type="containsText" dxfId="403" priority="403" operator="containsText" text="Alert">
      <formula>NOT(ISERROR(SEARCH("Alert",U11)))</formula>
    </cfRule>
    <cfRule type="containsText" dxfId="402" priority="404" operator="containsText" text="Reject">
      <formula>NOT(ISERROR(SEARCH("Reject",U11)))</formula>
    </cfRule>
  </conditionalFormatting>
  <conditionalFormatting sqref="K50:M73 K11:M48">
    <cfRule type="containsBlanks" dxfId="401" priority="402">
      <formula>LEN(TRIM(K11))=0</formula>
    </cfRule>
  </conditionalFormatting>
  <conditionalFormatting sqref="K50:M73 K11:M48 R11:R73">
    <cfRule type="expression" dxfId="400" priority="399">
      <formula>AND($J11&lt;&gt;"",K11&lt;$J11)</formula>
    </cfRule>
    <cfRule type="expression" dxfId="399" priority="400">
      <formula>AND($I11&lt;&gt;"",K11&gt;$I11)</formula>
    </cfRule>
    <cfRule type="notContainsBlanks" dxfId="398" priority="401">
      <formula>LEN(TRIM(K11))&gt;0</formula>
    </cfRule>
  </conditionalFormatting>
  <conditionalFormatting sqref="R11:T73">
    <cfRule type="containsBlanks" dxfId="397" priority="398">
      <formula>LEN(TRIM(R11))=0</formula>
    </cfRule>
  </conditionalFormatting>
  <conditionalFormatting sqref="S11:T73">
    <cfRule type="cellIs" dxfId="396" priority="397" operator="greaterThanOrEqual">
      <formula>1</formula>
    </cfRule>
  </conditionalFormatting>
  <conditionalFormatting sqref="E50 E11:E48">
    <cfRule type="expression" dxfId="395" priority="394">
      <formula>AND($D11&lt;&gt;"Tolerance",$E11&lt;&gt;"")</formula>
    </cfRule>
    <cfRule type="expression" dxfId="394" priority="395">
      <formula>AND(OR($D11="GD&amp;T",$D11="MAX",$D11="MIN"),$E11="")</formula>
    </cfRule>
    <cfRule type="containsBlanks" dxfId="393" priority="396">
      <formula>LEN(TRIM(E11))=0</formula>
    </cfRule>
  </conditionalFormatting>
  <conditionalFormatting sqref="F50:F57 F11:F48">
    <cfRule type="expression" dxfId="392" priority="391">
      <formula>AND($D11="MIN",$F11&lt;&gt;"")</formula>
    </cfRule>
    <cfRule type="expression" dxfId="391" priority="392">
      <formula>AND($D11="MIN",$F11="")</formula>
    </cfRule>
    <cfRule type="containsBlanks" dxfId="390" priority="393">
      <formula>LEN(TRIM(F11))=0</formula>
    </cfRule>
  </conditionalFormatting>
  <conditionalFormatting sqref="G50:G57 G11:G48">
    <cfRule type="expression" dxfId="389" priority="388">
      <formula>AND(OR($D11="GD&amp;T",$D11="MAX"),$G11&lt;&gt;"")</formula>
    </cfRule>
    <cfRule type="expression" dxfId="388" priority="389">
      <formula>AND(OR($D11="GD&amp;T",$D11="MAX"),$G11="")</formula>
    </cfRule>
    <cfRule type="containsBlanks" dxfId="387" priority="390">
      <formula>LEN(TRIM(G11))=0</formula>
    </cfRule>
  </conditionalFormatting>
  <conditionalFormatting sqref="F11">
    <cfRule type="expression" dxfId="386" priority="385">
      <formula>AND($D11="MIN",$F11&lt;&gt;"")</formula>
    </cfRule>
    <cfRule type="expression" dxfId="385" priority="386">
      <formula>AND($D11="MIN",$F11="")</formula>
    </cfRule>
    <cfRule type="containsBlanks" dxfId="384" priority="387">
      <formula>LEN(TRIM(F11))=0</formula>
    </cfRule>
  </conditionalFormatting>
  <conditionalFormatting sqref="G11">
    <cfRule type="expression" dxfId="383" priority="382">
      <formula>AND(OR($D11="GD&amp;T",$D11="MAX"),$G11&lt;&gt;"")</formula>
    </cfRule>
    <cfRule type="expression" dxfId="382" priority="383">
      <formula>AND(OR($D11="GD&amp;T",$D11="MAX"),$G11="")</formula>
    </cfRule>
    <cfRule type="containsBlanks" dxfId="381" priority="384">
      <formula>LEN(TRIM(G11))=0</formula>
    </cfRule>
  </conditionalFormatting>
  <conditionalFormatting sqref="E11">
    <cfRule type="expression" dxfId="380" priority="379">
      <formula>AND($D11&lt;&gt;"Tolerance",$E11&lt;&gt;"")</formula>
    </cfRule>
    <cfRule type="expression" dxfId="379" priority="380">
      <formula>AND(OR($D11="GD&amp;T",$D11="MAX",$D11="MIN"),$E11="")</formula>
    </cfRule>
    <cfRule type="containsBlanks" dxfId="378" priority="381">
      <formula>LEN(TRIM(E11))=0</formula>
    </cfRule>
  </conditionalFormatting>
  <conditionalFormatting sqref="E11">
    <cfRule type="expression" dxfId="377" priority="376">
      <formula>AND($D11&lt;&gt;"Tolerance",$E11&lt;&gt;"")</formula>
    </cfRule>
    <cfRule type="expression" dxfId="376" priority="377">
      <formula>AND(OR($D11="GD&amp;T",$D11="MAX",$D11="MIN"),$E11="")</formula>
    </cfRule>
    <cfRule type="containsBlanks" dxfId="375" priority="378">
      <formula>LEN(TRIM(E11))=0</formula>
    </cfRule>
  </conditionalFormatting>
  <conditionalFormatting sqref="E11">
    <cfRule type="expression" dxfId="374" priority="373">
      <formula>AND($D11="MIN",$F11&lt;&gt;"")</formula>
    </cfRule>
    <cfRule type="expression" dxfId="373" priority="374">
      <formula>AND($D11="MIN",$F11="")</formula>
    </cfRule>
    <cfRule type="containsBlanks" dxfId="372" priority="375">
      <formula>LEN(TRIM(E11))=0</formula>
    </cfRule>
  </conditionalFormatting>
  <conditionalFormatting sqref="E11">
    <cfRule type="expression" dxfId="371" priority="370">
      <formula>AND($D11="MIN",$F11&lt;&gt;"")</formula>
    </cfRule>
    <cfRule type="expression" dxfId="370" priority="371">
      <formula>AND($D11="MIN",$F11="")</formula>
    </cfRule>
    <cfRule type="containsBlanks" dxfId="369" priority="372">
      <formula>LEN(TRIM(E11))=0</formula>
    </cfRule>
  </conditionalFormatting>
  <conditionalFormatting sqref="F12">
    <cfRule type="expression" dxfId="368" priority="367">
      <formula>AND($D12="MIN",$F12&lt;&gt;"")</formula>
    </cfRule>
    <cfRule type="expression" dxfId="367" priority="368">
      <formula>AND($D12="MIN",$F12="")</formula>
    </cfRule>
    <cfRule type="containsBlanks" dxfId="366" priority="369">
      <formula>LEN(TRIM(F12))=0</formula>
    </cfRule>
  </conditionalFormatting>
  <conditionalFormatting sqref="G12">
    <cfRule type="expression" dxfId="365" priority="364">
      <formula>AND(OR($D12="GD&amp;T",$D12="MAX"),$G12&lt;&gt;"")</formula>
    </cfRule>
    <cfRule type="expression" dxfId="364" priority="365">
      <formula>AND(OR($D12="GD&amp;T",$D12="MAX"),$G12="")</formula>
    </cfRule>
    <cfRule type="containsBlanks" dxfId="363" priority="366">
      <formula>LEN(TRIM(G12))=0</formula>
    </cfRule>
  </conditionalFormatting>
  <conditionalFormatting sqref="F13">
    <cfRule type="expression" dxfId="362" priority="361">
      <formula>AND($D13="MIN",$F13&lt;&gt;"")</formula>
    </cfRule>
    <cfRule type="expression" dxfId="361" priority="362">
      <formula>AND($D13="MIN",$F13="")</formula>
    </cfRule>
    <cfRule type="containsBlanks" dxfId="360" priority="363">
      <formula>LEN(TRIM(F13))=0</formula>
    </cfRule>
  </conditionalFormatting>
  <conditionalFormatting sqref="G13">
    <cfRule type="expression" dxfId="359" priority="358">
      <formula>AND(OR($D13="GD&amp;T",$D13="MAX"),$G13&lt;&gt;"")</formula>
    </cfRule>
    <cfRule type="expression" dxfId="358" priority="359">
      <formula>AND(OR($D13="GD&amp;T",$D13="MAX"),$G13="")</formula>
    </cfRule>
    <cfRule type="containsBlanks" dxfId="357" priority="360">
      <formula>LEN(TRIM(G13))=0</formula>
    </cfRule>
  </conditionalFormatting>
  <conditionalFormatting sqref="F14">
    <cfRule type="expression" dxfId="356" priority="355">
      <formula>AND($D14="MIN",$F14&lt;&gt;"")</formula>
    </cfRule>
    <cfRule type="expression" dxfId="355" priority="356">
      <formula>AND($D14="MIN",$F14="")</formula>
    </cfRule>
    <cfRule type="containsBlanks" dxfId="354" priority="357">
      <formula>LEN(TRIM(F14))=0</formula>
    </cfRule>
  </conditionalFormatting>
  <conditionalFormatting sqref="G14">
    <cfRule type="expression" dxfId="353" priority="352">
      <formula>AND(OR($D14="GD&amp;T",$D14="MAX"),$G14&lt;&gt;"")</formula>
    </cfRule>
    <cfRule type="expression" dxfId="352" priority="353">
      <formula>AND(OR($D14="GD&amp;T",$D14="MAX"),$G14="")</formula>
    </cfRule>
    <cfRule type="containsBlanks" dxfId="351" priority="354">
      <formula>LEN(TRIM(G14))=0</formula>
    </cfRule>
  </conditionalFormatting>
  <conditionalFormatting sqref="F15">
    <cfRule type="expression" dxfId="350" priority="349">
      <formula>AND($D15="MIN",$F15&lt;&gt;"")</formula>
    </cfRule>
    <cfRule type="expression" dxfId="349" priority="350">
      <formula>AND($D15="MIN",$F15="")</formula>
    </cfRule>
    <cfRule type="containsBlanks" dxfId="348" priority="351">
      <formula>LEN(TRIM(F15))=0</formula>
    </cfRule>
  </conditionalFormatting>
  <conditionalFormatting sqref="G15">
    <cfRule type="expression" dxfId="347" priority="346">
      <formula>AND(OR($D15="GD&amp;T",$D15="MAX"),$G15&lt;&gt;"")</formula>
    </cfRule>
    <cfRule type="expression" dxfId="346" priority="347">
      <formula>AND(OR($D15="GD&amp;T",$D15="MAX"),$G15="")</formula>
    </cfRule>
    <cfRule type="containsBlanks" dxfId="345" priority="348">
      <formula>LEN(TRIM(G15))=0</formula>
    </cfRule>
  </conditionalFormatting>
  <conditionalFormatting sqref="E43">
    <cfRule type="expression" dxfId="344" priority="343">
      <formula>AND($D43&lt;&gt;"Tolerance",$E43&lt;&gt;"")</formula>
    </cfRule>
    <cfRule type="expression" dxfId="343" priority="344">
      <formula>AND(OR($D43="GD&amp;T",$D43="MAX",$D43="MIN"),$E43="")</formula>
    </cfRule>
    <cfRule type="containsBlanks" dxfId="342" priority="345">
      <formula>LEN(TRIM(E43))=0</formula>
    </cfRule>
  </conditionalFormatting>
  <conditionalFormatting sqref="F43">
    <cfRule type="expression" dxfId="341" priority="340">
      <formula>AND($D43="MIN",$F43&lt;&gt;"")</formula>
    </cfRule>
    <cfRule type="expression" dxfId="340" priority="341">
      <formula>AND($D43="MIN",$F43="")</formula>
    </cfRule>
    <cfRule type="containsBlanks" dxfId="339" priority="342">
      <formula>LEN(TRIM(F43))=0</formula>
    </cfRule>
  </conditionalFormatting>
  <conditionalFormatting sqref="G43">
    <cfRule type="expression" dxfId="338" priority="337">
      <formula>AND(OR($D43="GD&amp;T",$D43="MAX"),$G43&lt;&gt;"")</formula>
    </cfRule>
    <cfRule type="expression" dxfId="337" priority="338">
      <formula>AND(OR($D43="GD&amp;T",$D43="MAX"),$G43="")</formula>
    </cfRule>
    <cfRule type="containsBlanks" dxfId="336" priority="339">
      <formula>LEN(TRIM(G43))=0</formula>
    </cfRule>
  </conditionalFormatting>
  <conditionalFormatting sqref="F43">
    <cfRule type="expression" dxfId="335" priority="334">
      <formula>AND($D43="MIN",$F43&lt;&gt;"")</formula>
    </cfRule>
    <cfRule type="expression" dxfId="334" priority="335">
      <formula>AND($D43="MIN",$F43="")</formula>
    </cfRule>
    <cfRule type="containsBlanks" dxfId="333" priority="336">
      <formula>LEN(TRIM(F43))=0</formula>
    </cfRule>
  </conditionalFormatting>
  <conditionalFormatting sqref="G43">
    <cfRule type="expression" dxfId="332" priority="331">
      <formula>AND(OR($D43="GD&amp;T",$D43="MAX"),$G43&lt;&gt;"")</formula>
    </cfRule>
    <cfRule type="expression" dxfId="331" priority="332">
      <formula>AND(OR($D43="GD&amp;T",$D43="MAX"),$G43="")</formula>
    </cfRule>
    <cfRule type="containsBlanks" dxfId="330" priority="333">
      <formula>LEN(TRIM(G43))=0</formula>
    </cfRule>
  </conditionalFormatting>
  <conditionalFormatting sqref="F43">
    <cfRule type="expression" dxfId="329" priority="328">
      <formula>AND($D43="MIN",$F43&lt;&gt;"")</formula>
    </cfRule>
    <cfRule type="expression" dxfId="328" priority="329">
      <formula>AND($D43="MIN",$F43="")</formula>
    </cfRule>
    <cfRule type="containsBlanks" dxfId="327" priority="330">
      <formula>LEN(TRIM(F43))=0</formula>
    </cfRule>
  </conditionalFormatting>
  <conditionalFormatting sqref="G43">
    <cfRule type="expression" dxfId="326" priority="325">
      <formula>AND(OR($D43="GD&amp;T",$D43="MAX"),$G43&lt;&gt;"")</formula>
    </cfRule>
    <cfRule type="expression" dxfId="325" priority="326">
      <formula>AND(OR($D43="GD&amp;T",$D43="MAX"),$G43="")</formula>
    </cfRule>
    <cfRule type="containsBlanks" dxfId="324" priority="327">
      <formula>LEN(TRIM(G43))=0</formula>
    </cfRule>
  </conditionalFormatting>
  <conditionalFormatting sqref="E42">
    <cfRule type="expression" dxfId="323" priority="322">
      <formula>AND($D42&lt;&gt;"Tolerance",$E42&lt;&gt;"")</formula>
    </cfRule>
    <cfRule type="expression" dxfId="322" priority="323">
      <formula>AND(OR($D42="GD&amp;T",$D42="MAX",$D42="MIN"),$E42="")</formula>
    </cfRule>
    <cfRule type="containsBlanks" dxfId="321" priority="324">
      <formula>LEN(TRIM(E42))=0</formula>
    </cfRule>
  </conditionalFormatting>
  <conditionalFormatting sqref="F42">
    <cfRule type="expression" dxfId="320" priority="319">
      <formula>AND($D42="MIN",$F42&lt;&gt;"")</formula>
    </cfRule>
    <cfRule type="expression" dxfId="319" priority="320">
      <formula>AND($D42="MIN",$F42="")</formula>
    </cfRule>
    <cfRule type="containsBlanks" dxfId="318" priority="321">
      <formula>LEN(TRIM(F42))=0</formula>
    </cfRule>
  </conditionalFormatting>
  <conditionalFormatting sqref="G42">
    <cfRule type="expression" dxfId="317" priority="316">
      <formula>AND(OR($D42="GD&amp;T",$D42="MAX"),$G42&lt;&gt;"")</formula>
    </cfRule>
    <cfRule type="expression" dxfId="316" priority="317">
      <formula>AND(OR($D42="GD&amp;T",$D42="MAX"),$G42="")</formula>
    </cfRule>
    <cfRule type="containsBlanks" dxfId="315" priority="318">
      <formula>LEN(TRIM(G42))=0</formula>
    </cfRule>
  </conditionalFormatting>
  <conditionalFormatting sqref="F42">
    <cfRule type="expression" dxfId="314" priority="313">
      <formula>AND($D42="MIN",$F42&lt;&gt;"")</formula>
    </cfRule>
    <cfRule type="expression" dxfId="313" priority="314">
      <formula>AND($D42="MIN",$F42="")</formula>
    </cfRule>
    <cfRule type="containsBlanks" dxfId="312" priority="315">
      <formula>LEN(TRIM(F42))=0</formula>
    </cfRule>
  </conditionalFormatting>
  <conditionalFormatting sqref="G42">
    <cfRule type="expression" dxfId="311" priority="310">
      <formula>AND(OR($D42="GD&amp;T",$D42="MAX"),$G42&lt;&gt;"")</formula>
    </cfRule>
    <cfRule type="expression" dxfId="310" priority="311">
      <formula>AND(OR($D42="GD&amp;T",$D42="MAX"),$G42="")</formula>
    </cfRule>
    <cfRule type="containsBlanks" dxfId="309" priority="312">
      <formula>LEN(TRIM(G42))=0</formula>
    </cfRule>
  </conditionalFormatting>
  <conditionalFormatting sqref="F42">
    <cfRule type="expression" dxfId="308" priority="307">
      <formula>AND($D42="MIN",$F42&lt;&gt;"")</formula>
    </cfRule>
    <cfRule type="expression" dxfId="307" priority="308">
      <formula>AND($D42="MIN",$F42="")</formula>
    </cfRule>
    <cfRule type="containsBlanks" dxfId="306" priority="309">
      <formula>LEN(TRIM(F42))=0</formula>
    </cfRule>
  </conditionalFormatting>
  <conditionalFormatting sqref="G42">
    <cfRule type="expression" dxfId="305" priority="304">
      <formula>AND(OR($D42="GD&amp;T",$D42="MAX"),$G42&lt;&gt;"")</formula>
    </cfRule>
    <cfRule type="expression" dxfId="304" priority="305">
      <formula>AND(OR($D42="GD&amp;T",$D42="MAX"),$G42="")</formula>
    </cfRule>
    <cfRule type="containsBlanks" dxfId="303" priority="306">
      <formula>LEN(TRIM(G42))=0</formula>
    </cfRule>
  </conditionalFormatting>
  <conditionalFormatting sqref="E43">
    <cfRule type="expression" dxfId="302" priority="301">
      <formula>AND($D43&lt;&gt;"Tolerance",$E43&lt;&gt;"")</formula>
    </cfRule>
    <cfRule type="expression" dxfId="301" priority="302">
      <formula>AND(OR($D43="GD&amp;T",$D43="MAX",$D43="MIN"),$E43="")</formula>
    </cfRule>
    <cfRule type="containsBlanks" dxfId="300" priority="303">
      <formula>LEN(TRIM(E43))=0</formula>
    </cfRule>
  </conditionalFormatting>
  <conditionalFormatting sqref="F43">
    <cfRule type="expression" dxfId="299" priority="298">
      <formula>AND($D43="MIN",$F43&lt;&gt;"")</formula>
    </cfRule>
    <cfRule type="expression" dxfId="298" priority="299">
      <formula>AND($D43="MIN",$F43="")</formula>
    </cfRule>
    <cfRule type="containsBlanks" dxfId="297" priority="300">
      <formula>LEN(TRIM(F43))=0</formula>
    </cfRule>
  </conditionalFormatting>
  <conditionalFormatting sqref="G43">
    <cfRule type="expression" dxfId="296" priority="295">
      <formula>AND(OR($D43="GD&amp;T",$D43="MAX"),$G43&lt;&gt;"")</formula>
    </cfRule>
    <cfRule type="expression" dxfId="295" priority="296">
      <formula>AND(OR($D43="GD&amp;T",$D43="MAX"),$G43="")</formula>
    </cfRule>
    <cfRule type="containsBlanks" dxfId="294" priority="297">
      <formula>LEN(TRIM(G43))=0</formula>
    </cfRule>
  </conditionalFormatting>
  <conditionalFormatting sqref="F43">
    <cfRule type="expression" dxfId="293" priority="292">
      <formula>AND($D43="MIN",$F43&lt;&gt;"")</formula>
    </cfRule>
    <cfRule type="expression" dxfId="292" priority="293">
      <formula>AND($D43="MIN",$F43="")</formula>
    </cfRule>
    <cfRule type="containsBlanks" dxfId="291" priority="294">
      <formula>LEN(TRIM(F43))=0</formula>
    </cfRule>
  </conditionalFormatting>
  <conditionalFormatting sqref="G43">
    <cfRule type="expression" dxfId="290" priority="289">
      <formula>AND(OR($D43="GD&amp;T",$D43="MAX"),$G43&lt;&gt;"")</formula>
    </cfRule>
    <cfRule type="expression" dxfId="289" priority="290">
      <formula>AND(OR($D43="GD&amp;T",$D43="MAX"),$G43="")</formula>
    </cfRule>
    <cfRule type="containsBlanks" dxfId="288" priority="291">
      <formula>LEN(TRIM(G43))=0</formula>
    </cfRule>
  </conditionalFormatting>
  <conditionalFormatting sqref="F43">
    <cfRule type="expression" dxfId="287" priority="286">
      <formula>AND($D43="MIN",$F43&lt;&gt;"")</formula>
    </cfRule>
    <cfRule type="expression" dxfId="286" priority="287">
      <formula>AND($D43="MIN",$F43="")</formula>
    </cfRule>
    <cfRule type="containsBlanks" dxfId="285" priority="288">
      <formula>LEN(TRIM(F43))=0</formula>
    </cfRule>
  </conditionalFormatting>
  <conditionalFormatting sqref="G43">
    <cfRule type="expression" dxfId="284" priority="283">
      <formula>AND(OR($D43="GD&amp;T",$D43="MAX"),$G43&lt;&gt;"")</formula>
    </cfRule>
    <cfRule type="expression" dxfId="283" priority="284">
      <formula>AND(OR($D43="GD&amp;T",$D43="MAX"),$G43="")</formula>
    </cfRule>
    <cfRule type="containsBlanks" dxfId="282" priority="285">
      <formula>LEN(TRIM(G43))=0</formula>
    </cfRule>
  </conditionalFormatting>
  <conditionalFormatting sqref="K50:M50 K44:M48 K11:M42">
    <cfRule type="containsBlanks" dxfId="281" priority="282">
      <formula>LEN(TRIM(K11))=0</formula>
    </cfRule>
  </conditionalFormatting>
  <conditionalFormatting sqref="K44:M48 K11:M42">
    <cfRule type="expression" dxfId="280" priority="279">
      <formula>AND($J11&lt;&gt;"",K11&lt;$J11)</formula>
    </cfRule>
    <cfRule type="expression" dxfId="279" priority="280">
      <formula>AND($I11&lt;&gt;"",K11&gt;$I11)</formula>
    </cfRule>
    <cfRule type="notContainsBlanks" dxfId="278" priority="281">
      <formula>LEN(TRIM(K11))&gt;0</formula>
    </cfRule>
  </conditionalFormatting>
  <conditionalFormatting sqref="K50:M50">
    <cfRule type="expression" dxfId="277" priority="276">
      <formula>AND($J50&lt;&gt;"",K50&lt;$J50)</formula>
    </cfRule>
    <cfRule type="expression" dxfId="276" priority="277">
      <formula>AND($I50&lt;&gt;"",K50&gt;$I50)</formula>
    </cfRule>
    <cfRule type="notContainsBlanks" dxfId="275" priority="278">
      <formula>LEN(TRIM(K50))&gt;0</formula>
    </cfRule>
  </conditionalFormatting>
  <conditionalFormatting sqref="E49">
    <cfRule type="expression" dxfId="274" priority="273">
      <formula>AND($D49&lt;&gt;"Tolerance",$E49&lt;&gt;"")</formula>
    </cfRule>
    <cfRule type="expression" dxfId="273" priority="274">
      <formula>AND(OR($D49="GD&amp;T",$D49="MAX",$D49="MIN"),$E49="")</formula>
    </cfRule>
    <cfRule type="containsBlanks" dxfId="272" priority="275">
      <formula>LEN(TRIM(E49))=0</formula>
    </cfRule>
  </conditionalFormatting>
  <conditionalFormatting sqref="F49">
    <cfRule type="expression" dxfId="271" priority="270">
      <formula>AND($D49="MIN",$F49&lt;&gt;"")</formula>
    </cfRule>
    <cfRule type="expression" dxfId="270" priority="271">
      <formula>AND($D49="MIN",$F49="")</formula>
    </cfRule>
    <cfRule type="containsBlanks" dxfId="269" priority="272">
      <formula>LEN(TRIM(F49))=0</formula>
    </cfRule>
  </conditionalFormatting>
  <conditionalFormatting sqref="G49">
    <cfRule type="expression" dxfId="268" priority="267">
      <formula>AND(OR($D49="GD&amp;T",$D49="MAX"),$G49&lt;&gt;"")</formula>
    </cfRule>
    <cfRule type="expression" dxfId="267" priority="268">
      <formula>AND(OR($D49="GD&amp;T",$D49="MAX"),$G49="")</formula>
    </cfRule>
    <cfRule type="containsBlanks" dxfId="266" priority="269">
      <formula>LEN(TRIM(G49))=0</formula>
    </cfRule>
  </conditionalFormatting>
  <conditionalFormatting sqref="K49:M49">
    <cfRule type="containsBlanks" dxfId="265" priority="266">
      <formula>LEN(TRIM(K49))=0</formula>
    </cfRule>
  </conditionalFormatting>
  <conditionalFormatting sqref="K49:M49">
    <cfRule type="expression" dxfId="264" priority="263">
      <formula>AND($J49&lt;&gt;"",K49&lt;$J49)</formula>
    </cfRule>
    <cfRule type="expression" dxfId="263" priority="264">
      <formula>AND($I49&lt;&gt;"",K49&gt;$I49)</formula>
    </cfRule>
    <cfRule type="notContainsBlanks" dxfId="262" priority="265">
      <formula>LEN(TRIM(K49))&gt;0</formula>
    </cfRule>
  </conditionalFormatting>
  <conditionalFormatting sqref="E49">
    <cfRule type="expression" dxfId="261" priority="260">
      <formula>AND($D49&lt;&gt;"Tolerance",$E49&lt;&gt;"")</formula>
    </cfRule>
    <cfRule type="expression" dxfId="260" priority="261">
      <formula>AND(OR($D49="GD&amp;T",$D49="MAX",$D49="MIN"),$E49="")</formula>
    </cfRule>
    <cfRule type="containsBlanks" dxfId="259" priority="262">
      <formula>LEN(TRIM(E49))=0</formula>
    </cfRule>
  </conditionalFormatting>
  <conditionalFormatting sqref="F49">
    <cfRule type="expression" dxfId="258" priority="257">
      <formula>AND($D49="MIN",$F49&lt;&gt;"")</formula>
    </cfRule>
    <cfRule type="expression" dxfId="257" priority="258">
      <formula>AND($D49="MIN",$F49="")</formula>
    </cfRule>
    <cfRule type="containsBlanks" dxfId="256" priority="259">
      <formula>LEN(TRIM(F49))=0</formula>
    </cfRule>
  </conditionalFormatting>
  <conditionalFormatting sqref="G49">
    <cfRule type="expression" dxfId="255" priority="254">
      <formula>AND(OR($D49="GD&amp;T",$D49="MAX"),$G49&lt;&gt;"")</formula>
    </cfRule>
    <cfRule type="expression" dxfId="254" priority="255">
      <formula>AND(OR($D49="GD&amp;T",$D49="MAX"),$G49="")</formula>
    </cfRule>
    <cfRule type="containsBlanks" dxfId="253" priority="256">
      <formula>LEN(TRIM(G49))=0</formula>
    </cfRule>
  </conditionalFormatting>
  <conditionalFormatting sqref="K49:M49">
    <cfRule type="containsBlanks" dxfId="252" priority="253">
      <formula>LEN(TRIM(K49))=0</formula>
    </cfRule>
  </conditionalFormatting>
  <conditionalFormatting sqref="K49:M49">
    <cfRule type="expression" dxfId="251" priority="250">
      <formula>AND($J49&lt;&gt;"",K49&lt;$J49)</formula>
    </cfRule>
    <cfRule type="expression" dxfId="250" priority="251">
      <formula>AND($I49&lt;&gt;"",K49&gt;$I49)</formula>
    </cfRule>
    <cfRule type="notContainsBlanks" dxfId="249" priority="252">
      <formula>LEN(TRIM(K49))&gt;0</formula>
    </cfRule>
  </conditionalFormatting>
  <conditionalFormatting sqref="F53">
    <cfRule type="expression" dxfId="248" priority="247">
      <formula>AND($D53="MIN",$F53&lt;&gt;"")</formula>
    </cfRule>
    <cfRule type="expression" dxfId="247" priority="248">
      <formula>AND($D53="MIN",$F53="")</formula>
    </cfRule>
    <cfRule type="containsBlanks" dxfId="246" priority="249">
      <formula>LEN(TRIM(F53))=0</formula>
    </cfRule>
  </conditionalFormatting>
  <conditionalFormatting sqref="G53">
    <cfRule type="expression" dxfId="245" priority="244">
      <formula>AND(OR($D53="GD&amp;T",$D53="MAX"),$G53&lt;&gt;"")</formula>
    </cfRule>
    <cfRule type="expression" dxfId="244" priority="245">
      <formula>AND(OR($D53="GD&amp;T",$D53="MAX"),$G53="")</formula>
    </cfRule>
    <cfRule type="containsBlanks" dxfId="243" priority="246">
      <formula>LEN(TRIM(G53))=0</formula>
    </cfRule>
  </conditionalFormatting>
  <conditionalFormatting sqref="F53">
    <cfRule type="expression" dxfId="242" priority="241">
      <formula>AND($D53="MIN",$F53&lt;&gt;"")</formula>
    </cfRule>
    <cfRule type="expression" dxfId="241" priority="242">
      <formula>AND($D53="MIN",$F53="")</formula>
    </cfRule>
    <cfRule type="containsBlanks" dxfId="240" priority="243">
      <formula>LEN(TRIM(F53))=0</formula>
    </cfRule>
  </conditionalFormatting>
  <conditionalFormatting sqref="G53">
    <cfRule type="expression" dxfId="239" priority="238">
      <formula>AND(OR($D53="GD&amp;T",$D53="MAX"),$G53&lt;&gt;"")</formula>
    </cfRule>
    <cfRule type="expression" dxfId="238" priority="239">
      <formula>AND(OR($D53="GD&amp;T",$D53="MAX"),$G53="")</formula>
    </cfRule>
    <cfRule type="containsBlanks" dxfId="237" priority="240">
      <formula>LEN(TRIM(G53))=0</formula>
    </cfRule>
  </conditionalFormatting>
  <conditionalFormatting sqref="E51:E57">
    <cfRule type="expression" dxfId="236" priority="235">
      <formula>AND($D51&lt;&gt;"Tolerance",$E51&lt;&gt;"")</formula>
    </cfRule>
    <cfRule type="expression" dxfId="235" priority="236">
      <formula>AND(OR($D51="GD&amp;T",$D51="MAX",$D51="MIN"),$E51="")</formula>
    </cfRule>
    <cfRule type="containsBlanks" dxfId="234" priority="237">
      <formula>LEN(TRIM(E51))=0</formula>
    </cfRule>
  </conditionalFormatting>
  <conditionalFormatting sqref="E51:E57">
    <cfRule type="expression" dxfId="233" priority="232">
      <formula>AND($D51&lt;&gt;"Tolerance",$E51&lt;&gt;"")</formula>
    </cfRule>
    <cfRule type="expression" dxfId="232" priority="233">
      <formula>AND(OR($D51="GD&amp;T",$D51="MAX",$D51="MIN"),$E51="")</formula>
    </cfRule>
    <cfRule type="containsBlanks" dxfId="231" priority="234">
      <formula>LEN(TRIM(E51))=0</formula>
    </cfRule>
  </conditionalFormatting>
  <conditionalFormatting sqref="E50:E57">
    <cfRule type="expression" dxfId="230" priority="229">
      <formula>AND($D50&lt;&gt;"Tolerance",$E50&lt;&gt;"")</formula>
    </cfRule>
    <cfRule type="expression" dxfId="229" priority="230">
      <formula>AND(OR($D50="GD&amp;T",$D50="MAX",$D50="MIN"),$E50="")</formula>
    </cfRule>
    <cfRule type="containsBlanks" dxfId="228" priority="231">
      <formula>LEN(TRIM(E50))=0</formula>
    </cfRule>
  </conditionalFormatting>
  <conditionalFormatting sqref="F50:F57">
    <cfRule type="expression" dxfId="227" priority="226">
      <formula>AND($D50="MIN",$F50&lt;&gt;"")</formula>
    </cfRule>
    <cfRule type="expression" dxfId="226" priority="227">
      <formula>AND($D50="MIN",$F50="")</formula>
    </cfRule>
    <cfRule type="containsBlanks" dxfId="225" priority="228">
      <formula>LEN(TRIM(F50))=0</formula>
    </cfRule>
  </conditionalFormatting>
  <conditionalFormatting sqref="G50:G57">
    <cfRule type="expression" dxfId="224" priority="223">
      <formula>AND(OR($D50="GD&amp;T",$D50="MAX"),$G50&lt;&gt;"")</formula>
    </cfRule>
    <cfRule type="expression" dxfId="223" priority="224">
      <formula>AND(OR($D50="GD&amp;T",$D50="MAX"),$G50="")</formula>
    </cfRule>
    <cfRule type="containsBlanks" dxfId="222" priority="225">
      <formula>LEN(TRIM(G50))=0</formula>
    </cfRule>
  </conditionalFormatting>
  <conditionalFormatting sqref="K50:M57">
    <cfRule type="containsBlanks" dxfId="221" priority="222">
      <formula>LEN(TRIM(K50))=0</formula>
    </cfRule>
  </conditionalFormatting>
  <conditionalFormatting sqref="K50:M57">
    <cfRule type="expression" dxfId="220" priority="219">
      <formula>AND($J50&lt;&gt;"",K50&lt;$J50)</formula>
    </cfRule>
    <cfRule type="expression" dxfId="219" priority="220">
      <formula>AND($I50&lt;&gt;"",K50&gt;$I50)</formula>
    </cfRule>
    <cfRule type="notContainsBlanks" dxfId="218" priority="221">
      <formula>LEN(TRIM(K50))&gt;0</formula>
    </cfRule>
  </conditionalFormatting>
  <conditionalFormatting sqref="F50:F56">
    <cfRule type="expression" dxfId="217" priority="216">
      <formula>AND($D50="MIN",$F50&lt;&gt;"")</formula>
    </cfRule>
    <cfRule type="expression" dxfId="216" priority="217">
      <formula>AND($D50="MIN",$F50="")</formula>
    </cfRule>
    <cfRule type="containsBlanks" dxfId="215" priority="218">
      <formula>LEN(TRIM(F50))=0</formula>
    </cfRule>
  </conditionalFormatting>
  <conditionalFormatting sqref="G50:G56">
    <cfRule type="expression" dxfId="214" priority="213">
      <formula>AND(OR($D50="GD&amp;T",$D50="MAX"),$G50&lt;&gt;"")</formula>
    </cfRule>
    <cfRule type="expression" dxfId="213" priority="214">
      <formula>AND(OR($D50="GD&amp;T",$D50="MAX"),$G50="")</formula>
    </cfRule>
    <cfRule type="containsBlanks" dxfId="212" priority="215">
      <formula>LEN(TRIM(G50))=0</formula>
    </cfRule>
  </conditionalFormatting>
  <conditionalFormatting sqref="F52">
    <cfRule type="expression" dxfId="211" priority="210">
      <formula>AND($D52="MIN",$F52&lt;&gt;"")</formula>
    </cfRule>
    <cfRule type="expression" dxfId="210" priority="211">
      <formula>AND($D52="MIN",$F52="")</formula>
    </cfRule>
    <cfRule type="containsBlanks" dxfId="209" priority="212">
      <formula>LEN(TRIM(F52))=0</formula>
    </cfRule>
  </conditionalFormatting>
  <conditionalFormatting sqref="G52">
    <cfRule type="expression" dxfId="208" priority="207">
      <formula>AND(OR($D52="GD&amp;T",$D52="MAX"),$G52&lt;&gt;"")</formula>
    </cfRule>
    <cfRule type="expression" dxfId="207" priority="208">
      <formula>AND(OR($D52="GD&amp;T",$D52="MAX"),$G52="")</formula>
    </cfRule>
    <cfRule type="containsBlanks" dxfId="206" priority="209">
      <formula>LEN(TRIM(G52))=0</formula>
    </cfRule>
  </conditionalFormatting>
  <conditionalFormatting sqref="F52">
    <cfRule type="expression" dxfId="205" priority="204">
      <formula>AND($D52="MIN",$F52&lt;&gt;"")</formula>
    </cfRule>
    <cfRule type="expression" dxfId="204" priority="205">
      <formula>AND($D52="MIN",$F52="")</formula>
    </cfRule>
    <cfRule type="containsBlanks" dxfId="203" priority="206">
      <formula>LEN(TRIM(F52))=0</formula>
    </cfRule>
  </conditionalFormatting>
  <conditionalFormatting sqref="G52">
    <cfRule type="expression" dxfId="202" priority="201">
      <formula>AND(OR($D52="GD&amp;T",$D52="MAX"),$G52&lt;&gt;"")</formula>
    </cfRule>
    <cfRule type="expression" dxfId="201" priority="202">
      <formula>AND(OR($D52="GD&amp;T",$D52="MAX"),$G52="")</formula>
    </cfRule>
    <cfRule type="containsBlanks" dxfId="200" priority="203">
      <formula>LEN(TRIM(G52))=0</formula>
    </cfRule>
  </conditionalFormatting>
  <conditionalFormatting sqref="F52">
    <cfRule type="expression" dxfId="199" priority="198">
      <formula>AND($D52="MIN",$F52&lt;&gt;"")</formula>
    </cfRule>
    <cfRule type="expression" dxfId="198" priority="199">
      <formula>AND($D52="MIN",$F52="")</formula>
    </cfRule>
    <cfRule type="containsBlanks" dxfId="197" priority="200">
      <formula>LEN(TRIM(F52))=0</formula>
    </cfRule>
  </conditionalFormatting>
  <conditionalFormatting sqref="G52">
    <cfRule type="expression" dxfId="196" priority="195">
      <formula>AND(OR($D52="GD&amp;T",$D52="MAX"),$G52&lt;&gt;"")</formula>
    </cfRule>
    <cfRule type="expression" dxfId="195" priority="196">
      <formula>AND(OR($D52="GD&amp;T",$D52="MAX"),$G52="")</formula>
    </cfRule>
    <cfRule type="containsBlanks" dxfId="194" priority="197">
      <formula>LEN(TRIM(G52))=0</formula>
    </cfRule>
  </conditionalFormatting>
  <conditionalFormatting sqref="F52">
    <cfRule type="expression" dxfId="193" priority="192">
      <formula>AND($D52="MIN",$F52&lt;&gt;"")</formula>
    </cfRule>
    <cfRule type="expression" dxfId="192" priority="193">
      <formula>AND($D52="MIN",$F52="")</formula>
    </cfRule>
    <cfRule type="containsBlanks" dxfId="191" priority="194">
      <formula>LEN(TRIM(F52))=0</formula>
    </cfRule>
  </conditionalFormatting>
  <conditionalFormatting sqref="G52">
    <cfRule type="expression" dxfId="190" priority="189">
      <formula>AND(OR($D52="GD&amp;T",$D52="MAX"),$G52&lt;&gt;"")</formula>
    </cfRule>
    <cfRule type="expression" dxfId="189" priority="190">
      <formula>AND(OR($D52="GD&amp;T",$D52="MAX"),$G52="")</formula>
    </cfRule>
    <cfRule type="containsBlanks" dxfId="188" priority="191">
      <formula>LEN(TRIM(G52))=0</formula>
    </cfRule>
  </conditionalFormatting>
  <conditionalFormatting sqref="E50:E56">
    <cfRule type="expression" dxfId="187" priority="186">
      <formula>AND($D50&lt;&gt;"Tolerance",$E50&lt;&gt;"")</formula>
    </cfRule>
    <cfRule type="expression" dxfId="186" priority="187">
      <formula>AND(OR($D50="GD&amp;T",$D50="MAX",$D50="MIN"),$E50="")</formula>
    </cfRule>
    <cfRule type="containsBlanks" dxfId="185" priority="188">
      <formula>LEN(TRIM(E50))=0</formula>
    </cfRule>
  </conditionalFormatting>
  <conditionalFormatting sqref="E50:E56">
    <cfRule type="expression" dxfId="184" priority="183">
      <formula>AND($D50&lt;&gt;"Tolerance",$E50&lt;&gt;"")</formula>
    </cfRule>
    <cfRule type="expression" dxfId="183" priority="184">
      <formula>AND(OR($D50="GD&amp;T",$D50="MAX",$D50="MIN"),$E50="")</formula>
    </cfRule>
    <cfRule type="containsBlanks" dxfId="182" priority="185">
      <formula>LEN(TRIM(E50))=0</formula>
    </cfRule>
  </conditionalFormatting>
  <conditionalFormatting sqref="E51:E57">
    <cfRule type="expression" dxfId="181" priority="180">
      <formula>AND($D51&lt;&gt;"Tolerance",$E51&lt;&gt;"")</formula>
    </cfRule>
    <cfRule type="expression" dxfId="180" priority="181">
      <formula>AND(OR($D51="GD&amp;T",$D51="MAX",$D51="MIN"),$E51="")</formula>
    </cfRule>
    <cfRule type="containsBlanks" dxfId="179" priority="182">
      <formula>LEN(TRIM(E51))=0</formula>
    </cfRule>
  </conditionalFormatting>
  <conditionalFormatting sqref="F51:F57">
    <cfRule type="expression" dxfId="178" priority="177">
      <formula>AND($D51="MIN",$F51&lt;&gt;"")</formula>
    </cfRule>
    <cfRule type="expression" dxfId="177" priority="178">
      <formula>AND($D51="MIN",$F51="")</formula>
    </cfRule>
    <cfRule type="containsBlanks" dxfId="176" priority="179">
      <formula>LEN(TRIM(F51))=0</formula>
    </cfRule>
  </conditionalFormatting>
  <conditionalFormatting sqref="G51:G57">
    <cfRule type="expression" dxfId="175" priority="174">
      <formula>AND(OR($D51="GD&amp;T",$D51="MAX"),$G51&lt;&gt;"")</formula>
    </cfRule>
    <cfRule type="expression" dxfId="174" priority="175">
      <formula>AND(OR($D51="GD&amp;T",$D51="MAX"),$G51="")</formula>
    </cfRule>
    <cfRule type="containsBlanks" dxfId="173" priority="176">
      <formula>LEN(TRIM(G51))=0</formula>
    </cfRule>
  </conditionalFormatting>
  <conditionalFormatting sqref="K51:M57">
    <cfRule type="containsBlanks" dxfId="172" priority="173">
      <formula>LEN(TRIM(K51))=0</formula>
    </cfRule>
  </conditionalFormatting>
  <conditionalFormatting sqref="K51:M57">
    <cfRule type="expression" dxfId="171" priority="170">
      <formula>AND($J51&lt;&gt;"",K51&lt;$J51)</formula>
    </cfRule>
    <cfRule type="expression" dxfId="170" priority="171">
      <formula>AND($I51&lt;&gt;"",K51&gt;$I51)</formula>
    </cfRule>
    <cfRule type="notContainsBlanks" dxfId="169" priority="172">
      <formula>LEN(TRIM(K51))&gt;0</formula>
    </cfRule>
  </conditionalFormatting>
  <conditionalFormatting sqref="E51:E57">
    <cfRule type="expression" dxfId="168" priority="167">
      <formula>AND($D51&lt;&gt;"Tolerance",$E51&lt;&gt;"")</formula>
    </cfRule>
    <cfRule type="expression" dxfId="167" priority="168">
      <formula>AND(OR($D51="GD&amp;T",$D51="MAX",$D51="MIN"),$E51="")</formula>
    </cfRule>
    <cfRule type="containsBlanks" dxfId="166" priority="169">
      <formula>LEN(TRIM(E51))=0</formula>
    </cfRule>
  </conditionalFormatting>
  <conditionalFormatting sqref="F51:F57">
    <cfRule type="expression" dxfId="165" priority="164">
      <formula>AND($D51="MIN",$F51&lt;&gt;"")</formula>
    </cfRule>
    <cfRule type="expression" dxfId="164" priority="165">
      <formula>AND($D51="MIN",$F51="")</formula>
    </cfRule>
    <cfRule type="containsBlanks" dxfId="163" priority="166">
      <formula>LEN(TRIM(F51))=0</formula>
    </cfRule>
  </conditionalFormatting>
  <conditionalFormatting sqref="G51:G57">
    <cfRule type="expression" dxfId="162" priority="161">
      <formula>AND(OR($D51="GD&amp;T",$D51="MAX"),$G51&lt;&gt;"")</formula>
    </cfRule>
    <cfRule type="expression" dxfId="161" priority="162">
      <formula>AND(OR($D51="GD&amp;T",$D51="MAX"),$G51="")</formula>
    </cfRule>
    <cfRule type="containsBlanks" dxfId="160" priority="163">
      <formula>LEN(TRIM(G51))=0</formula>
    </cfRule>
  </conditionalFormatting>
  <conditionalFormatting sqref="F51">
    <cfRule type="expression" dxfId="159" priority="158">
      <formula>AND($D51="MIN",$F51&lt;&gt;"")</formula>
    </cfRule>
    <cfRule type="expression" dxfId="158" priority="159">
      <formula>AND($D51="MIN",$F51="")</formula>
    </cfRule>
    <cfRule type="containsBlanks" dxfId="157" priority="160">
      <formula>LEN(TRIM(F51))=0</formula>
    </cfRule>
  </conditionalFormatting>
  <conditionalFormatting sqref="G51">
    <cfRule type="expression" dxfId="156" priority="155">
      <formula>AND(OR($D51="GD&amp;T",$D51="MAX"),$G51&lt;&gt;"")</formula>
    </cfRule>
    <cfRule type="expression" dxfId="155" priority="156">
      <formula>AND(OR($D51="GD&amp;T",$D51="MAX"),$G51="")</formula>
    </cfRule>
    <cfRule type="containsBlanks" dxfId="154" priority="157">
      <formula>LEN(TRIM(G51))=0</formula>
    </cfRule>
  </conditionalFormatting>
  <conditionalFormatting sqref="E51">
    <cfRule type="expression" dxfId="153" priority="152">
      <formula>AND($D51&lt;&gt;"Tolerance",$E51&lt;&gt;"")</formula>
    </cfRule>
    <cfRule type="expression" dxfId="152" priority="153">
      <formula>AND(OR($D51="GD&amp;T",$D51="MAX",$D51="MIN"),$E51="")</formula>
    </cfRule>
    <cfRule type="containsBlanks" dxfId="151" priority="154">
      <formula>LEN(TRIM(E51))=0</formula>
    </cfRule>
  </conditionalFormatting>
  <conditionalFormatting sqref="E51">
    <cfRule type="expression" dxfId="150" priority="149">
      <formula>AND($D51&lt;&gt;"Tolerance",$E51&lt;&gt;"")</formula>
    </cfRule>
    <cfRule type="expression" dxfId="149" priority="150">
      <formula>AND(OR($D51="GD&amp;T",$D51="MAX",$D51="MIN"),$E51="")</formula>
    </cfRule>
    <cfRule type="containsBlanks" dxfId="148" priority="151">
      <formula>LEN(TRIM(E51))=0</formula>
    </cfRule>
  </conditionalFormatting>
  <conditionalFormatting sqref="E51">
    <cfRule type="expression" dxfId="147" priority="146">
      <formula>AND($D51="MIN",$F51&lt;&gt;"")</formula>
    </cfRule>
    <cfRule type="expression" dxfId="146" priority="147">
      <formula>AND($D51="MIN",$F51="")</formula>
    </cfRule>
    <cfRule type="containsBlanks" dxfId="145" priority="148">
      <formula>LEN(TRIM(E51))=0</formula>
    </cfRule>
  </conditionalFormatting>
  <conditionalFormatting sqref="E51">
    <cfRule type="expression" dxfId="144" priority="143">
      <formula>AND($D51="MIN",$F51&lt;&gt;"")</formula>
    </cfRule>
    <cfRule type="expression" dxfId="143" priority="144">
      <formula>AND($D51="MIN",$F51="")</formula>
    </cfRule>
    <cfRule type="containsBlanks" dxfId="142" priority="145">
      <formula>LEN(TRIM(E51))=0</formula>
    </cfRule>
  </conditionalFormatting>
  <conditionalFormatting sqref="F52">
    <cfRule type="expression" dxfId="141" priority="140">
      <formula>AND($D52="MIN",$F52&lt;&gt;"")</formula>
    </cfRule>
    <cfRule type="expression" dxfId="140" priority="141">
      <formula>AND($D52="MIN",$F52="")</formula>
    </cfRule>
    <cfRule type="containsBlanks" dxfId="139" priority="142">
      <formula>LEN(TRIM(F52))=0</formula>
    </cfRule>
  </conditionalFormatting>
  <conditionalFormatting sqref="G52">
    <cfRule type="expression" dxfId="138" priority="137">
      <formula>AND(OR($D52="GD&amp;T",$D52="MAX"),$G52&lt;&gt;"")</formula>
    </cfRule>
    <cfRule type="expression" dxfId="137" priority="138">
      <formula>AND(OR($D52="GD&amp;T",$D52="MAX"),$G52="")</formula>
    </cfRule>
    <cfRule type="containsBlanks" dxfId="136" priority="139">
      <formula>LEN(TRIM(G52))=0</formula>
    </cfRule>
  </conditionalFormatting>
  <conditionalFormatting sqref="F53">
    <cfRule type="expression" dxfId="135" priority="134">
      <formula>AND($D53="MIN",$F53&lt;&gt;"")</formula>
    </cfRule>
    <cfRule type="expression" dxfId="134" priority="135">
      <formula>AND($D53="MIN",$F53="")</formula>
    </cfRule>
    <cfRule type="containsBlanks" dxfId="133" priority="136">
      <formula>LEN(TRIM(F53))=0</formula>
    </cfRule>
  </conditionalFormatting>
  <conditionalFormatting sqref="G53">
    <cfRule type="expression" dxfId="132" priority="131">
      <formula>AND(OR($D53="GD&amp;T",$D53="MAX"),$G53&lt;&gt;"")</formula>
    </cfRule>
    <cfRule type="expression" dxfId="131" priority="132">
      <formula>AND(OR($D53="GD&amp;T",$D53="MAX"),$G53="")</formula>
    </cfRule>
    <cfRule type="containsBlanks" dxfId="130" priority="133">
      <formula>LEN(TRIM(G53))=0</formula>
    </cfRule>
  </conditionalFormatting>
  <conditionalFormatting sqref="F54">
    <cfRule type="expression" dxfId="129" priority="128">
      <formula>AND($D54="MIN",$F54&lt;&gt;"")</formula>
    </cfRule>
    <cfRule type="expression" dxfId="128" priority="129">
      <formula>AND($D54="MIN",$F54="")</formula>
    </cfRule>
    <cfRule type="containsBlanks" dxfId="127" priority="130">
      <formula>LEN(TRIM(F54))=0</formula>
    </cfRule>
  </conditionalFormatting>
  <conditionalFormatting sqref="G54">
    <cfRule type="expression" dxfId="126" priority="125">
      <formula>AND(OR($D54="GD&amp;T",$D54="MAX"),$G54&lt;&gt;"")</formula>
    </cfRule>
    <cfRule type="expression" dxfId="125" priority="126">
      <formula>AND(OR($D54="GD&amp;T",$D54="MAX"),$G54="")</formula>
    </cfRule>
    <cfRule type="containsBlanks" dxfId="124" priority="127">
      <formula>LEN(TRIM(G54))=0</formula>
    </cfRule>
  </conditionalFormatting>
  <conditionalFormatting sqref="F55">
    <cfRule type="expression" dxfId="123" priority="122">
      <formula>AND($D55="MIN",$F55&lt;&gt;"")</formula>
    </cfRule>
    <cfRule type="expression" dxfId="122" priority="123">
      <formula>AND($D55="MIN",$F55="")</formula>
    </cfRule>
    <cfRule type="containsBlanks" dxfId="121" priority="124">
      <formula>LEN(TRIM(F55))=0</formula>
    </cfRule>
  </conditionalFormatting>
  <conditionalFormatting sqref="G55">
    <cfRule type="expression" dxfId="120" priority="119">
      <formula>AND(OR($D55="GD&amp;T",$D55="MAX"),$G55&lt;&gt;"")</formula>
    </cfRule>
    <cfRule type="expression" dxfId="119" priority="120">
      <formula>AND(OR($D55="GD&amp;T",$D55="MAX"),$G55="")</formula>
    </cfRule>
    <cfRule type="containsBlanks" dxfId="118" priority="121">
      <formula>LEN(TRIM(G55))=0</formula>
    </cfRule>
  </conditionalFormatting>
  <conditionalFormatting sqref="K51:M57">
    <cfRule type="containsBlanks" dxfId="117" priority="118">
      <formula>LEN(TRIM(K51))=0</formula>
    </cfRule>
  </conditionalFormatting>
  <conditionalFormatting sqref="K51:M57">
    <cfRule type="expression" dxfId="116" priority="115">
      <formula>AND($J51&lt;&gt;"",K51&lt;$J51)</formula>
    </cfRule>
    <cfRule type="expression" dxfId="115" priority="116">
      <formula>AND($I51&lt;&gt;"",K51&gt;$I51)</formula>
    </cfRule>
    <cfRule type="notContainsBlanks" dxfId="114" priority="117">
      <formula>LEN(TRIM(K51))&gt;0</formula>
    </cfRule>
  </conditionalFormatting>
  <conditionalFormatting sqref="F52">
    <cfRule type="expression" dxfId="113" priority="112">
      <formula>AND($D52="MIN",$F52&lt;&gt;"")</formula>
    </cfRule>
    <cfRule type="expression" dxfId="112" priority="113">
      <formula>AND($D52="MIN",$F52="")</formula>
    </cfRule>
    <cfRule type="containsBlanks" dxfId="111" priority="114">
      <formula>LEN(TRIM(F52))=0</formula>
    </cfRule>
  </conditionalFormatting>
  <conditionalFormatting sqref="G52">
    <cfRule type="expression" dxfId="110" priority="109">
      <formula>AND(OR($D52="GD&amp;T",$D52="MAX"),$G52&lt;&gt;"")</formula>
    </cfRule>
    <cfRule type="expression" dxfId="109" priority="110">
      <formula>AND(OR($D52="GD&amp;T",$D52="MAX"),$G52="")</formula>
    </cfRule>
    <cfRule type="containsBlanks" dxfId="108" priority="111">
      <formula>LEN(TRIM(G52))=0</formula>
    </cfRule>
  </conditionalFormatting>
  <conditionalFormatting sqref="F53">
    <cfRule type="expression" dxfId="107" priority="106">
      <formula>AND($D53="MIN",$F53&lt;&gt;"")</formula>
    </cfRule>
    <cfRule type="expression" dxfId="106" priority="107">
      <formula>AND($D53="MIN",$F53="")</formula>
    </cfRule>
    <cfRule type="containsBlanks" dxfId="105" priority="108">
      <formula>LEN(TRIM(F53))=0</formula>
    </cfRule>
  </conditionalFormatting>
  <conditionalFormatting sqref="G53">
    <cfRule type="expression" dxfId="104" priority="103">
      <formula>AND(OR($D53="GD&amp;T",$D53="MAX"),$G53&lt;&gt;"")</formula>
    </cfRule>
    <cfRule type="expression" dxfId="103" priority="104">
      <formula>AND(OR($D53="GD&amp;T",$D53="MAX"),$G53="")</formula>
    </cfRule>
    <cfRule type="containsBlanks" dxfId="102" priority="105">
      <formula>LEN(TRIM(G53))=0</formula>
    </cfRule>
  </conditionalFormatting>
  <conditionalFormatting sqref="F54">
    <cfRule type="expression" dxfId="101" priority="100">
      <formula>AND($D54="MIN",$F54&lt;&gt;"")</formula>
    </cfRule>
    <cfRule type="expression" dxfId="100" priority="101">
      <formula>AND($D54="MIN",$F54="")</formula>
    </cfRule>
    <cfRule type="containsBlanks" dxfId="99" priority="102">
      <formula>LEN(TRIM(F54))=0</formula>
    </cfRule>
  </conditionalFormatting>
  <conditionalFormatting sqref="G54">
    <cfRule type="expression" dxfId="98" priority="97">
      <formula>AND(OR($D54="GD&amp;T",$D54="MAX"),$G54&lt;&gt;"")</formula>
    </cfRule>
    <cfRule type="expression" dxfId="97" priority="98">
      <formula>AND(OR($D54="GD&amp;T",$D54="MAX"),$G54="")</formula>
    </cfRule>
    <cfRule type="containsBlanks" dxfId="96" priority="99">
      <formula>LEN(TRIM(G54))=0</formula>
    </cfRule>
  </conditionalFormatting>
  <conditionalFormatting sqref="F55">
    <cfRule type="expression" dxfId="95" priority="94">
      <formula>AND($D55="MIN",$F55&lt;&gt;"")</formula>
    </cfRule>
    <cfRule type="expression" dxfId="94" priority="95">
      <formula>AND($D55="MIN",$F55="")</formula>
    </cfRule>
    <cfRule type="containsBlanks" dxfId="93" priority="96">
      <formula>LEN(TRIM(F55))=0</formula>
    </cfRule>
  </conditionalFormatting>
  <conditionalFormatting sqref="G55">
    <cfRule type="expression" dxfId="92" priority="91">
      <formula>AND(OR($D55="GD&amp;T",$D55="MAX"),$G55&lt;&gt;"")</formula>
    </cfRule>
    <cfRule type="expression" dxfId="91" priority="92">
      <formula>AND(OR($D55="GD&amp;T",$D55="MAX"),$G55="")</formula>
    </cfRule>
    <cfRule type="containsBlanks" dxfId="90" priority="93">
      <formula>LEN(TRIM(G55))=0</formula>
    </cfRule>
  </conditionalFormatting>
  <conditionalFormatting sqref="F56">
    <cfRule type="expression" dxfId="89" priority="88">
      <formula>AND($D56="MIN",$F56&lt;&gt;"")</formula>
    </cfRule>
    <cfRule type="expression" dxfId="88" priority="89">
      <formula>AND($D56="MIN",$F56="")</formula>
    </cfRule>
    <cfRule type="containsBlanks" dxfId="87" priority="90">
      <formula>LEN(TRIM(F56))=0</formula>
    </cfRule>
  </conditionalFormatting>
  <conditionalFormatting sqref="G56">
    <cfRule type="expression" dxfId="86" priority="85">
      <formula>AND(OR($D56="GD&amp;T",$D56="MAX"),$G56&lt;&gt;"")</formula>
    </cfRule>
    <cfRule type="expression" dxfId="85" priority="86">
      <formula>AND(OR($D56="GD&amp;T",$D56="MAX"),$G56="")</formula>
    </cfRule>
    <cfRule type="containsBlanks" dxfId="84" priority="87">
      <formula>LEN(TRIM(G56))=0</formula>
    </cfRule>
  </conditionalFormatting>
  <conditionalFormatting sqref="F57">
    <cfRule type="expression" dxfId="83" priority="82">
      <formula>AND($D57="MIN",$F57&lt;&gt;"")</formula>
    </cfRule>
    <cfRule type="expression" dxfId="82" priority="83">
      <formula>AND($D57="MIN",$F57="")</formula>
    </cfRule>
    <cfRule type="containsBlanks" dxfId="81" priority="84">
      <formula>LEN(TRIM(F57))=0</formula>
    </cfRule>
  </conditionalFormatting>
  <conditionalFormatting sqref="G57">
    <cfRule type="expression" dxfId="80" priority="79">
      <formula>AND(OR($D57="GD&amp;T",$D57="MAX"),$G57&lt;&gt;"")</formula>
    </cfRule>
    <cfRule type="expression" dxfId="79" priority="80">
      <formula>AND(OR($D57="GD&amp;T",$D57="MAX"),$G57="")</formula>
    </cfRule>
    <cfRule type="containsBlanks" dxfId="78" priority="81">
      <formula>LEN(TRIM(G57))=0</formula>
    </cfRule>
  </conditionalFormatting>
  <conditionalFormatting sqref="F13">
    <cfRule type="expression" dxfId="77" priority="76">
      <formula>AND($D13="MIN",$F13&lt;&gt;"")</formula>
    </cfRule>
    <cfRule type="expression" dxfId="76" priority="77">
      <formula>AND($D13="MIN",$F13="")</formula>
    </cfRule>
    <cfRule type="containsBlanks" dxfId="75" priority="78">
      <formula>LEN(TRIM(F13))=0</formula>
    </cfRule>
  </conditionalFormatting>
  <conditionalFormatting sqref="G13">
    <cfRule type="expression" dxfId="74" priority="73">
      <formula>AND(OR($D13="GD&amp;T",$D13="MAX"),$G13&lt;&gt;"")</formula>
    </cfRule>
    <cfRule type="expression" dxfId="73" priority="74">
      <formula>AND(OR($D13="GD&amp;T",$D13="MAX"),$G13="")</formula>
    </cfRule>
    <cfRule type="containsBlanks" dxfId="72" priority="75">
      <formula>LEN(TRIM(G13))=0</formula>
    </cfRule>
  </conditionalFormatting>
  <conditionalFormatting sqref="F14">
    <cfRule type="expression" dxfId="71" priority="70">
      <formula>AND($D14="MIN",$F14&lt;&gt;"")</formula>
    </cfRule>
    <cfRule type="expression" dxfId="70" priority="71">
      <formula>AND($D14="MIN",$F14="")</formula>
    </cfRule>
    <cfRule type="containsBlanks" dxfId="69" priority="72">
      <formula>LEN(TRIM(F14))=0</formula>
    </cfRule>
  </conditionalFormatting>
  <conditionalFormatting sqref="G14">
    <cfRule type="expression" dxfId="68" priority="67">
      <formula>AND(OR($D14="GD&amp;T",$D14="MAX"),$G14&lt;&gt;"")</formula>
    </cfRule>
    <cfRule type="expression" dxfId="67" priority="68">
      <formula>AND(OR($D14="GD&amp;T",$D14="MAX"),$G14="")</formula>
    </cfRule>
    <cfRule type="containsBlanks" dxfId="66" priority="69">
      <formula>LEN(TRIM(G14))=0</formula>
    </cfRule>
  </conditionalFormatting>
  <conditionalFormatting sqref="F15">
    <cfRule type="expression" dxfId="65" priority="64">
      <formula>AND($D15="MIN",$F15&lt;&gt;"")</formula>
    </cfRule>
    <cfRule type="expression" dxfId="64" priority="65">
      <formula>AND($D15="MIN",$F15="")</formula>
    </cfRule>
    <cfRule type="containsBlanks" dxfId="63" priority="66">
      <formula>LEN(TRIM(F15))=0</formula>
    </cfRule>
  </conditionalFormatting>
  <conditionalFormatting sqref="G15">
    <cfRule type="expression" dxfId="62" priority="61">
      <formula>AND(OR($D15="GD&amp;T",$D15="MAX"),$G15&lt;&gt;"")</formula>
    </cfRule>
    <cfRule type="expression" dxfId="61" priority="62">
      <formula>AND(OR($D15="GD&amp;T",$D15="MAX"),$G15="")</formula>
    </cfRule>
    <cfRule type="containsBlanks" dxfId="60" priority="63">
      <formula>LEN(TRIM(G15))=0</formula>
    </cfRule>
  </conditionalFormatting>
  <conditionalFormatting sqref="F19">
    <cfRule type="expression" dxfId="59" priority="58">
      <formula>AND($D19="MIN",$F19&lt;&gt;"")</formula>
    </cfRule>
    <cfRule type="expression" dxfId="58" priority="59">
      <formula>AND($D19="MIN",$F19="")</formula>
    </cfRule>
    <cfRule type="containsBlanks" dxfId="57" priority="60">
      <formula>LEN(TRIM(F19))=0</formula>
    </cfRule>
  </conditionalFormatting>
  <conditionalFormatting sqref="G19">
    <cfRule type="expression" dxfId="56" priority="55">
      <formula>AND(OR($D19="GD&amp;T",$D19="MAX"),$G19&lt;&gt;"")</formula>
    </cfRule>
    <cfRule type="expression" dxfId="55" priority="56">
      <formula>AND(OR($D19="GD&amp;T",$D19="MAX"),$G19="")</formula>
    </cfRule>
    <cfRule type="containsBlanks" dxfId="54" priority="57">
      <formula>LEN(TRIM(G19))=0</formula>
    </cfRule>
  </conditionalFormatting>
  <conditionalFormatting sqref="F20">
    <cfRule type="expression" dxfId="53" priority="52">
      <formula>AND($D20="MIN",$F20&lt;&gt;"")</formula>
    </cfRule>
    <cfRule type="expression" dxfId="52" priority="53">
      <formula>AND($D20="MIN",$F20="")</formula>
    </cfRule>
    <cfRule type="containsBlanks" dxfId="51" priority="54">
      <formula>LEN(TRIM(F20))=0</formula>
    </cfRule>
  </conditionalFormatting>
  <conditionalFormatting sqref="G20">
    <cfRule type="expression" dxfId="50" priority="49">
      <formula>AND(OR($D20="GD&amp;T",$D20="MAX"),$G20&lt;&gt;"")</formula>
    </cfRule>
    <cfRule type="expression" dxfId="49" priority="50">
      <formula>AND(OR($D20="GD&amp;T",$D20="MAX"),$G20="")</formula>
    </cfRule>
    <cfRule type="containsBlanks" dxfId="48" priority="51">
      <formula>LEN(TRIM(G20))=0</formula>
    </cfRule>
  </conditionalFormatting>
  <conditionalFormatting sqref="F19">
    <cfRule type="expression" dxfId="47" priority="46">
      <formula>AND($D19="MIN",$F19&lt;&gt;"")</formula>
    </cfRule>
    <cfRule type="expression" dxfId="46" priority="47">
      <formula>AND($D19="MIN",$F19="")</formula>
    </cfRule>
    <cfRule type="containsBlanks" dxfId="45" priority="48">
      <formula>LEN(TRIM(F19))=0</formula>
    </cfRule>
  </conditionalFormatting>
  <conditionalFormatting sqref="G19">
    <cfRule type="expression" dxfId="44" priority="43">
      <formula>AND(OR($D19="GD&amp;T",$D19="MAX"),$G19&lt;&gt;"")</formula>
    </cfRule>
    <cfRule type="expression" dxfId="43" priority="44">
      <formula>AND(OR($D19="GD&amp;T",$D19="MAX"),$G19="")</formula>
    </cfRule>
    <cfRule type="containsBlanks" dxfId="42" priority="45">
      <formula>LEN(TRIM(G19))=0</formula>
    </cfRule>
  </conditionalFormatting>
  <conditionalFormatting sqref="F20">
    <cfRule type="expression" dxfId="41" priority="40">
      <formula>AND($D20="MIN",$F20&lt;&gt;"")</formula>
    </cfRule>
    <cfRule type="expression" dxfId="40" priority="41">
      <formula>AND($D20="MIN",$F20="")</formula>
    </cfRule>
    <cfRule type="containsBlanks" dxfId="39" priority="42">
      <formula>LEN(TRIM(F20))=0</formula>
    </cfRule>
  </conditionalFormatting>
  <conditionalFormatting sqref="G20">
    <cfRule type="expression" dxfId="38" priority="37">
      <formula>AND(OR($D20="GD&amp;T",$D20="MAX"),$G20&lt;&gt;"")</formula>
    </cfRule>
    <cfRule type="expression" dxfId="37" priority="38">
      <formula>AND(OR($D20="GD&amp;T",$D20="MAX"),$G20="")</formula>
    </cfRule>
    <cfRule type="containsBlanks" dxfId="36" priority="39">
      <formula>LEN(TRIM(G20))=0</formula>
    </cfRule>
  </conditionalFormatting>
  <conditionalFormatting sqref="F21">
    <cfRule type="expression" dxfId="35" priority="34">
      <formula>AND($D21="MIN",$F21&lt;&gt;"")</formula>
    </cfRule>
    <cfRule type="expression" dxfId="34" priority="35">
      <formula>AND($D21="MIN",$F21="")</formula>
    </cfRule>
    <cfRule type="containsBlanks" dxfId="33" priority="36">
      <formula>LEN(TRIM(F21))=0</formula>
    </cfRule>
  </conditionalFormatting>
  <conditionalFormatting sqref="G21">
    <cfRule type="expression" dxfId="32" priority="31">
      <formula>AND(OR($D21="GD&amp;T",$D21="MAX"),$G21&lt;&gt;"")</formula>
    </cfRule>
    <cfRule type="expression" dxfId="31" priority="32">
      <formula>AND(OR($D21="GD&amp;T",$D21="MAX"),$G21="")</formula>
    </cfRule>
    <cfRule type="containsBlanks" dxfId="30" priority="33">
      <formula>LEN(TRIM(G21))=0</formula>
    </cfRule>
  </conditionalFormatting>
  <conditionalFormatting sqref="F22">
    <cfRule type="expression" dxfId="29" priority="28">
      <formula>AND($D22="MIN",$F22&lt;&gt;"")</formula>
    </cfRule>
    <cfRule type="expression" dxfId="28" priority="29">
      <formula>AND($D22="MIN",$F22="")</formula>
    </cfRule>
    <cfRule type="containsBlanks" dxfId="27" priority="30">
      <formula>LEN(TRIM(F22))=0</formula>
    </cfRule>
  </conditionalFormatting>
  <conditionalFormatting sqref="G22">
    <cfRule type="expression" dxfId="26" priority="25">
      <formula>AND(OR($D22="GD&amp;T",$D22="MAX"),$G22&lt;&gt;"")</formula>
    </cfRule>
    <cfRule type="expression" dxfId="25" priority="26">
      <formula>AND(OR($D22="GD&amp;T",$D22="MAX"),$G22="")</formula>
    </cfRule>
    <cfRule type="containsBlanks" dxfId="24" priority="27">
      <formula>LEN(TRIM(G22))=0</formula>
    </cfRule>
  </conditionalFormatting>
  <conditionalFormatting sqref="F21">
    <cfRule type="expression" dxfId="23" priority="22">
      <formula>AND($D21="MIN",$F21&lt;&gt;"")</formula>
    </cfRule>
    <cfRule type="expression" dxfId="22" priority="23">
      <formula>AND($D21="MIN",$F21="")</formula>
    </cfRule>
    <cfRule type="containsBlanks" dxfId="21" priority="24">
      <formula>LEN(TRIM(F21))=0</formula>
    </cfRule>
  </conditionalFormatting>
  <conditionalFormatting sqref="G21">
    <cfRule type="expression" dxfId="20" priority="19">
      <formula>AND(OR($D21="GD&amp;T",$D21="MAX"),$G21&lt;&gt;"")</formula>
    </cfRule>
    <cfRule type="expression" dxfId="19" priority="20">
      <formula>AND(OR($D21="GD&amp;T",$D21="MAX"),$G21="")</formula>
    </cfRule>
    <cfRule type="containsBlanks" dxfId="18" priority="21">
      <formula>LEN(TRIM(G21))=0</formula>
    </cfRule>
  </conditionalFormatting>
  <conditionalFormatting sqref="F22">
    <cfRule type="expression" dxfId="17" priority="16">
      <formula>AND($D22="MIN",$F22&lt;&gt;"")</formula>
    </cfRule>
    <cfRule type="expression" dxfId="16" priority="17">
      <formula>AND($D22="MIN",$F22="")</formula>
    </cfRule>
    <cfRule type="containsBlanks" dxfId="15" priority="18">
      <formula>LEN(TRIM(F22))=0</formula>
    </cfRule>
  </conditionalFormatting>
  <conditionalFormatting sqref="G22">
    <cfRule type="expression" dxfId="14" priority="13">
      <formula>AND(OR($D22="GD&amp;T",$D22="MAX"),$G22&lt;&gt;"")</formula>
    </cfRule>
    <cfRule type="expression" dxfId="13" priority="14">
      <formula>AND(OR($D22="GD&amp;T",$D22="MAX"),$G22="")</formula>
    </cfRule>
    <cfRule type="containsBlanks" dxfId="12" priority="15">
      <formula>LEN(TRIM(G22))=0</formula>
    </cfRule>
  </conditionalFormatting>
  <conditionalFormatting sqref="F23">
    <cfRule type="expression" dxfId="11" priority="10">
      <formula>AND($D23="MIN",$F23&lt;&gt;"")</formula>
    </cfRule>
    <cfRule type="expression" dxfId="10" priority="11">
      <formula>AND($D23="MIN",$F23="")</formula>
    </cfRule>
    <cfRule type="containsBlanks" dxfId="9" priority="12">
      <formula>LEN(TRIM(F23))=0</formula>
    </cfRule>
  </conditionalFormatting>
  <conditionalFormatting sqref="G23">
    <cfRule type="expression" dxfId="8" priority="7">
      <formula>AND(OR($D23="GD&amp;T",$D23="MAX"),$G23&lt;&gt;"")</formula>
    </cfRule>
    <cfRule type="expression" dxfId="7" priority="8">
      <formula>AND(OR($D23="GD&amp;T",$D23="MAX"),$G23="")</formula>
    </cfRule>
    <cfRule type="containsBlanks" dxfId="6" priority="9">
      <formula>LEN(TRIM(G23))=0</formula>
    </cfRule>
  </conditionalFormatting>
  <conditionalFormatting sqref="F23">
    <cfRule type="expression" dxfId="5" priority="4">
      <formula>AND($D23="MIN",$F23&lt;&gt;"")</formula>
    </cfRule>
    <cfRule type="expression" dxfId="4" priority="5">
      <formula>AND($D23="MIN",$F23="")</formula>
    </cfRule>
    <cfRule type="containsBlanks" dxfId="3" priority="6">
      <formula>LEN(TRIM(F23))=0</formula>
    </cfRule>
  </conditionalFormatting>
  <conditionalFormatting sqref="G23">
    <cfRule type="expression" dxfId="2" priority="1">
      <formula>AND(OR($D23="GD&amp;T",$D23="MAX"),$G23&lt;&gt;"")</formula>
    </cfRule>
    <cfRule type="expression" dxfId="1" priority="2">
      <formula>AND(OR($D23="GD&amp;T",$D23="MAX"),$G23="")</formula>
    </cfRule>
    <cfRule type="containsBlanks" dxfId="0" priority="3">
      <formula>LEN(TRIM(G23))=0</formula>
    </cfRule>
  </conditionalFormatting>
  <dataValidations count="1">
    <dataValidation type="list" allowBlank="1" showInputMessage="1" showErrorMessage="1" sqref="D11:D57">
      <formula1>"Tolerance,GD&amp;T,MIN,MAX"</formula1>
    </dataValidation>
  </dataValidations>
  <pageMargins left="0.75" right="0.75" top="1" bottom="1" header="0.5" footer="0.5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C156"/>
  <sheetViews>
    <sheetView tabSelected="1" zoomScale="62" zoomScaleNormal="62" workbookViewId="0">
      <selection activeCell="W77" sqref="W77"/>
    </sheetView>
  </sheetViews>
  <sheetFormatPr defaultColWidth="8.88671875" defaultRowHeight="16.3"/>
  <cols>
    <col min="1" max="1" width="8.88671875" style="9"/>
    <col min="2" max="2" width="8.88671875" style="9" customWidth="1"/>
    <col min="3" max="16384" width="8.88671875" style="9"/>
  </cols>
  <sheetData>
    <row r="1" spans="3:3" ht="20.2" customHeight="1">
      <c r="C1" s="10"/>
    </row>
    <row r="156" spans="2:2" ht="67">
      <c r="B156" s="64"/>
    </row>
  </sheetData>
  <phoneticPr fontId="21" type="noConversion"/>
  <pageMargins left="0.75" right="0.75" top="1" bottom="1" header="0.5" footer="0.5"/>
  <pageSetup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13"/>
  <sheetViews>
    <sheetView topLeftCell="B1" workbookViewId="0">
      <selection activeCell="C27" sqref="C27"/>
    </sheetView>
  </sheetViews>
  <sheetFormatPr defaultColWidth="11" defaultRowHeight="16.3"/>
  <cols>
    <col min="8" max="8" width="20" style="6" customWidth="1"/>
    <col min="9" max="9" width="10.88671875" style="6"/>
    <col min="10" max="10" width="16" style="6" customWidth="1"/>
  </cols>
  <sheetData>
    <row r="1" spans="1:10" ht="32.6">
      <c r="A1" s="111" t="s">
        <v>33</v>
      </c>
      <c r="B1" s="111"/>
      <c r="H1" s="7" t="s">
        <v>34</v>
      </c>
      <c r="I1" s="8"/>
      <c r="J1" s="7" t="s">
        <v>35</v>
      </c>
    </row>
    <row r="2" spans="1:10">
      <c r="A2" s="6" t="s">
        <v>36</v>
      </c>
      <c r="B2" s="6" t="s">
        <v>37</v>
      </c>
      <c r="H2" s="6" t="s">
        <v>38</v>
      </c>
      <c r="J2" s="6" t="s">
        <v>39</v>
      </c>
    </row>
    <row r="3" spans="1:10">
      <c r="H3" s="6" t="s">
        <v>40</v>
      </c>
      <c r="J3" s="6" t="s">
        <v>41</v>
      </c>
    </row>
    <row r="4" spans="1:10">
      <c r="H4" s="6" t="s">
        <v>42</v>
      </c>
      <c r="J4" s="6" t="s">
        <v>43</v>
      </c>
    </row>
    <row r="5" spans="1:10">
      <c r="H5" s="6" t="s">
        <v>44</v>
      </c>
      <c r="J5" s="6" t="s">
        <v>45</v>
      </c>
    </row>
    <row r="6" spans="1:10">
      <c r="H6" s="6" t="s">
        <v>46</v>
      </c>
    </row>
    <row r="7" spans="1:10">
      <c r="H7" s="6" t="s">
        <v>47</v>
      </c>
    </row>
    <row r="8" spans="1:10">
      <c r="H8" s="6" t="s">
        <v>48</v>
      </c>
    </row>
    <row r="9" spans="1:10">
      <c r="H9" s="6" t="s">
        <v>49</v>
      </c>
    </row>
    <row r="10" spans="1:10">
      <c r="H10" s="6" t="s">
        <v>50</v>
      </c>
    </row>
    <row r="11" spans="1:10">
      <c r="H11" s="6" t="s">
        <v>51</v>
      </c>
    </row>
    <row r="12" spans="1:10">
      <c r="H12" s="6" t="s">
        <v>52</v>
      </c>
    </row>
    <row r="13" spans="1:10">
      <c r="H13" s="6" t="s">
        <v>53</v>
      </c>
    </row>
  </sheetData>
  <mergeCells count="1">
    <mergeCell ref="A1:B1"/>
  </mergeCells>
  <phoneticPr fontId="2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workbookViewId="0">
      <selection activeCell="A7" sqref="A7"/>
    </sheetView>
  </sheetViews>
  <sheetFormatPr defaultColWidth="11" defaultRowHeight="16.3"/>
  <cols>
    <col min="1" max="2" width="10.88671875" style="1"/>
    <col min="3" max="3" width="11.88671875" style="1" customWidth="1"/>
    <col min="4" max="4" width="90.44140625" style="2" customWidth="1"/>
  </cols>
  <sheetData>
    <row r="1" spans="1:4" ht="22.55">
      <c r="A1" s="112" t="s">
        <v>54</v>
      </c>
      <c r="B1" s="112"/>
      <c r="C1" s="112"/>
      <c r="D1" s="112"/>
    </row>
    <row r="4" spans="1:4">
      <c r="A4" s="3" t="s">
        <v>55</v>
      </c>
      <c r="B4" s="3" t="s">
        <v>56</v>
      </c>
      <c r="C4" s="3" t="s">
        <v>57</v>
      </c>
      <c r="D4" s="3" t="s">
        <v>58</v>
      </c>
    </row>
    <row r="5" spans="1:4">
      <c r="A5" s="1">
        <v>1</v>
      </c>
      <c r="B5" s="4">
        <v>41649</v>
      </c>
      <c r="C5" s="1" t="s">
        <v>59</v>
      </c>
      <c r="D5" s="2" t="s">
        <v>60</v>
      </c>
    </row>
    <row r="6" spans="1:4" ht="48.85">
      <c r="A6" s="1">
        <v>2</v>
      </c>
      <c r="B6" s="4">
        <v>41772</v>
      </c>
      <c r="C6" s="1" t="s">
        <v>59</v>
      </c>
      <c r="D6" s="5" t="s">
        <v>61</v>
      </c>
    </row>
  </sheetData>
  <mergeCells count="1">
    <mergeCell ref="A1:D1"/>
  </mergeCells>
  <phoneticPr fontId="21" type="noConversion"/>
  <pageMargins left="0.75" right="0.75" top="1" bottom="1" header="0.5" footer="0.5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1#</vt:lpstr>
      <vt:lpstr>2#</vt:lpstr>
      <vt:lpstr>Drawing</vt:lpstr>
      <vt:lpstr>Setup</vt:lpstr>
      <vt:lpstr>Revision</vt:lpstr>
    </vt:vector>
  </TitlesOfParts>
  <Company>Apple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lixiaojun</cp:lastModifiedBy>
  <dcterms:created xsi:type="dcterms:W3CDTF">2012-05-22T11:55:00Z</dcterms:created>
  <dcterms:modified xsi:type="dcterms:W3CDTF">2019-06-23T01:54:09Z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2052-10.1.0.7401</vt:lpwstr>
  </property>
</Properties>
</file>