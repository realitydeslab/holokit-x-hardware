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2"/>
  <workbookPr date1904="1" codeName="ThisWorkbook"/>
  <xr:revisionPtr revIDLastSave="0" documentId="8_{E3824039-D513-0141-82ED-969887D7A68E}" xr6:coauthVersionLast="43" xr6:coauthVersionMax="43" xr10:uidLastSave="{00000000-0000-0000-0000-000000000000}"/>
  <bookViews>
    <workbookView xWindow="2300" yWindow="2300" windowWidth="21600" windowHeight="11380" tabRatio="803" xr2:uid="{00000000-000D-0000-FFFF-FFFF00000000}"/>
  </bookViews>
  <sheets>
    <sheet name="Head band" sheetId="61" r:id="rId1"/>
  </sheets>
  <definedNames>
    <definedName name="DISTINTERVAL" localSheetId="0">OFFSET(#REF!,1,0,#REF!,1)</definedName>
    <definedName name="DISTINTERVAL">OFFSET(#REF!,1,0,#REF!,1)</definedName>
    <definedName name="DISTINTERVAL1" localSheetId="0">OFFSET(#REF!,1,0,#REF!,1)</definedName>
    <definedName name="DISTINTERVAL1">OFFSET(#REF!,1,0,#REF!,1)</definedName>
    <definedName name="GroupInterval" localSheetId="0">OFFSET(#REF!,1,0,#REF!,1)</definedName>
    <definedName name="GroupInterval">OFFSET(#REF!,1,0,#REF!,1)</definedName>
    <definedName name="GroupInterval1" localSheetId="0">OFFSET(#REF!,1,0,#REF!,1)</definedName>
    <definedName name="GroupInterval1">OFFSET(#REF!,1,0,#REF!,1)</definedName>
    <definedName name="Histogram" localSheetId="0">OFFSET(#REF!,1,0,#REF!,1)</definedName>
    <definedName name="Histogram">OFFSET(#REF!,1,0,#REF!,1)</definedName>
    <definedName name="Histogram1" localSheetId="0">OFFSET(#REF!,1,0,#REF!,1)</definedName>
    <definedName name="Histogram1">OFFSET(#REF!,1,0,#REF!,1)</definedName>
    <definedName name="NORMDIST" localSheetId="0">OFFSET(#REF!,1,0,#REF!,1)</definedName>
    <definedName name="NORMDIST">OFFSET(#REF!,1,0,#REF!,1)</definedName>
    <definedName name="NORMDIST1" localSheetId="0">OFFSET(#REF!,1,0,#REF!,1)</definedName>
    <definedName name="NORMDIST1">OFFSET(#REF!,1,0,#REF!,1)</definedName>
    <definedName name="_xlnm.Print_Area" localSheetId="0">'Head band'!$A$1:$U$17</definedName>
  </definedNames>
  <calcPr calcId="191029"/>
  <customWorkbookViews>
    <customWorkbookView name="Martin Wong - Personal View" guid="{6130BAA2-550F-11DD-9262-0017F2D249BE}" personalView="1" xWindow="188" yWindow="318" windowWidth="1176" windowHeight="603" activeSheetId="0"/>
    <customWorkbookView name="Ji Kim - Personal View" guid="{7F83E96C-9D43-5446-8F0B-917FE1EF3DB5}" personalView="1" xWindow="105" yWindow="210" windowWidth="974" windowHeight="522" activeSheetId="0" showFormulaBar="0" showComments="commIndAndComment"/>
    <customWorkbookView name="Robert York - Personal View" guid="{971DFF50-E2D6-A94D-B32C-4DBE6112B19F}" personalView="1" xWindow="105" yWindow="210" windowWidth="974" windowHeight="522" activeSheetId="0"/>
    <customWorkbookView name="Zhang Zhengjun - Personal View" guid="{05A1B552-4CBE-0449-9BDE-AF4BEEEA0B22}" personalView="1" yWindow="105" windowWidth="1428" windowHeight="728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9" i="61" l="1"/>
  <c r="Q29" i="61"/>
  <c r="S29" i="61" s="1"/>
  <c r="P29" i="61"/>
  <c r="O29" i="61"/>
  <c r="N29" i="61"/>
  <c r="M29" i="61"/>
  <c r="L29" i="61"/>
  <c r="K29" i="61"/>
  <c r="R28" i="61"/>
  <c r="Q28" i="61"/>
  <c r="S28" i="61" s="1"/>
  <c r="P28" i="61"/>
  <c r="O28" i="61"/>
  <c r="N28" i="61"/>
  <c r="M28" i="61"/>
  <c r="L28" i="61"/>
  <c r="K28" i="61"/>
  <c r="R27" i="61"/>
  <c r="S27" i="61" s="1"/>
  <c r="Q27" i="61"/>
  <c r="P27" i="61"/>
  <c r="O27" i="61"/>
  <c r="N27" i="61"/>
  <c r="M27" i="61"/>
  <c r="L27" i="61"/>
  <c r="K27" i="61"/>
  <c r="S26" i="61"/>
  <c r="R26" i="61"/>
  <c r="Q26" i="61"/>
  <c r="P26" i="61"/>
  <c r="O26" i="61"/>
  <c r="N26" i="61"/>
  <c r="M26" i="61"/>
  <c r="L26" i="61"/>
  <c r="K26" i="61"/>
  <c r="R25" i="61"/>
  <c r="Q25" i="61"/>
  <c r="S25" i="61" s="1"/>
  <c r="P25" i="61"/>
  <c r="O25" i="61"/>
  <c r="N25" i="61"/>
  <c r="M25" i="61"/>
  <c r="L25" i="61"/>
  <c r="K25" i="61"/>
  <c r="R24" i="61"/>
  <c r="Q24" i="61"/>
  <c r="S24" i="61" s="1"/>
  <c r="P24" i="61"/>
  <c r="O24" i="61"/>
  <c r="N24" i="61"/>
  <c r="M24" i="61"/>
  <c r="L24" i="61"/>
  <c r="K24" i="61"/>
  <c r="R23" i="61"/>
  <c r="S23" i="61" s="1"/>
  <c r="Q23" i="61"/>
  <c r="P23" i="61"/>
  <c r="O23" i="61"/>
  <c r="N23" i="61"/>
  <c r="M23" i="61"/>
  <c r="L23" i="61"/>
  <c r="K23" i="61"/>
  <c r="S22" i="61"/>
  <c r="R22" i="61"/>
  <c r="Q22" i="61"/>
  <c r="P22" i="61"/>
  <c r="O22" i="61"/>
  <c r="N22" i="61"/>
  <c r="M22" i="61"/>
  <c r="L22" i="61"/>
  <c r="K22" i="61"/>
  <c r="Q21" i="61"/>
  <c r="P21" i="61"/>
  <c r="R21" i="61" s="1"/>
  <c r="O21" i="61"/>
  <c r="N21" i="61"/>
  <c r="M21" i="61"/>
  <c r="L21" i="61"/>
  <c r="K21" i="61"/>
  <c r="R20" i="61"/>
  <c r="Q20" i="61"/>
  <c r="S20" i="61" s="1"/>
  <c r="P20" i="61"/>
  <c r="O20" i="61"/>
  <c r="N20" i="61"/>
  <c r="M20" i="61"/>
  <c r="L20" i="61"/>
  <c r="K20" i="61"/>
  <c r="R19" i="61"/>
  <c r="P19" i="61"/>
  <c r="O19" i="61"/>
  <c r="Q19" i="61" s="1"/>
  <c r="S19" i="61" s="1"/>
  <c r="N19" i="61"/>
  <c r="M19" i="61"/>
  <c r="L19" i="61"/>
  <c r="K19" i="61"/>
  <c r="P18" i="61"/>
  <c r="R18" i="61" s="1"/>
  <c r="O18" i="61"/>
  <c r="Q18" i="61" s="1"/>
  <c r="S18" i="61" s="1"/>
  <c r="N18" i="61"/>
  <c r="M18" i="61"/>
  <c r="L18" i="61"/>
  <c r="K18" i="61"/>
  <c r="Q17" i="61"/>
  <c r="P17" i="61"/>
  <c r="R17" i="61" s="1"/>
  <c r="O17" i="61"/>
  <c r="N17" i="61"/>
  <c r="M17" i="61"/>
  <c r="L17" i="61"/>
  <c r="K17" i="61"/>
  <c r="R16" i="61"/>
  <c r="Q16" i="61"/>
  <c r="S16" i="61" s="1"/>
  <c r="P16" i="61"/>
  <c r="O16" i="61"/>
  <c r="N16" i="61"/>
  <c r="M16" i="61"/>
  <c r="L16" i="61"/>
  <c r="K16" i="61"/>
  <c r="R15" i="61"/>
  <c r="P15" i="61"/>
  <c r="O15" i="61"/>
  <c r="Q15" i="61" s="1"/>
  <c r="S15" i="61" s="1"/>
  <c r="N15" i="61"/>
  <c r="M15" i="61"/>
  <c r="L15" i="61"/>
  <c r="K15" i="61"/>
  <c r="P14" i="61"/>
  <c r="R14" i="61" s="1"/>
  <c r="O14" i="61"/>
  <c r="Q14" i="61" s="1"/>
  <c r="S14" i="61" s="1"/>
  <c r="N14" i="61"/>
  <c r="M14" i="61"/>
  <c r="L14" i="61"/>
  <c r="K14" i="61"/>
  <c r="Q13" i="61"/>
  <c r="P13" i="61"/>
  <c r="R13" i="61" s="1"/>
  <c r="O13" i="61"/>
  <c r="N13" i="61"/>
  <c r="M13" i="61"/>
  <c r="L13" i="61"/>
  <c r="K13" i="61"/>
  <c r="R12" i="61"/>
  <c r="Q12" i="61"/>
  <c r="S12" i="61" s="1"/>
  <c r="P12" i="61"/>
  <c r="O12" i="61"/>
  <c r="N12" i="61"/>
  <c r="M12" i="61"/>
  <c r="L12" i="61"/>
  <c r="K12" i="61"/>
  <c r="R11" i="61"/>
  <c r="P11" i="61"/>
  <c r="O11" i="61"/>
  <c r="Q11" i="61" s="1"/>
  <c r="S11" i="61" s="1"/>
  <c r="N11" i="61"/>
  <c r="M11" i="61"/>
  <c r="L11" i="61"/>
  <c r="K11" i="61"/>
  <c r="P10" i="61"/>
  <c r="R10" i="61" s="1"/>
  <c r="O10" i="61"/>
  <c r="Q10" i="61" s="1"/>
  <c r="S10" i="61" s="1"/>
  <c r="N10" i="61"/>
  <c r="M10" i="61"/>
  <c r="L10" i="61"/>
  <c r="K10" i="61"/>
  <c r="Q9" i="61"/>
  <c r="P9" i="61"/>
  <c r="R9" i="61" s="1"/>
  <c r="O9" i="61"/>
  <c r="N9" i="61"/>
  <c r="M9" i="61"/>
  <c r="L9" i="61"/>
  <c r="K9" i="61"/>
  <c r="S9" i="61" l="1"/>
  <c r="S13" i="61"/>
  <c r="S17" i="61"/>
  <c r="S21" i="6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7" authorId="0" shapeId="0" xr:uid="{00000000-0006-0000-0000-000001000000}">
      <text>
        <r>
          <rPr>
            <b/>
            <sz val="9"/>
            <rFont val="Geneva"/>
            <family val="2"/>
          </rPr>
          <t>Method of inspection abbreviations: 
HG = Height gauge
MIC = Micrometer
DC = Dial Caliper
P = Protractor
OC = Optical Comparator
CG = Checking Gauge
CMM = Coordinate Measuring Machine</t>
        </r>
        <r>
          <rPr>
            <sz val="9"/>
            <rFont val="Geneva"/>
            <family val="2"/>
          </rPr>
          <t xml:space="preserve">
</t>
        </r>
        <r>
          <rPr>
            <b/>
            <sz val="9"/>
            <rFont val="Geneva"/>
            <family val="2"/>
          </rPr>
          <t>OMM = Optical Coordinate Measuring Machine
HT = Hardness Tester
TG = Thickness Gauge
VIS = Visual
PG = Plug Gauge
A=Callipers
FG=filler gauge</t>
        </r>
      </text>
    </comment>
  </commentList>
</comments>
</file>

<file path=xl/sharedStrings.xml><?xml version="1.0" encoding="utf-8"?>
<sst xmlns="http://schemas.openxmlformats.org/spreadsheetml/2006/main" count="71" uniqueCount="59">
  <si>
    <t>Artoo FAI Data Sheet</t>
  </si>
  <si>
    <t>Part Number :</t>
  </si>
  <si>
    <t>Tool # :</t>
  </si>
  <si>
    <t>N/A</t>
  </si>
  <si>
    <t>Supplier :</t>
  </si>
  <si>
    <t>PCH</t>
  </si>
  <si>
    <t>Reviewer :</t>
  </si>
  <si>
    <t>tang jing</t>
  </si>
  <si>
    <t>Page :</t>
  </si>
  <si>
    <t>1 of 1</t>
  </si>
  <si>
    <t xml:space="preserve"> </t>
  </si>
  <si>
    <t>Part Description :</t>
  </si>
  <si>
    <t>Cavity # :</t>
  </si>
  <si>
    <t>Inspector :</t>
  </si>
  <si>
    <t>Li wen</t>
  </si>
  <si>
    <t>Approver :</t>
  </si>
  <si>
    <t>chen long</t>
  </si>
  <si>
    <t>Report stage :</t>
  </si>
  <si>
    <t>Revision :</t>
  </si>
  <si>
    <t>1.0</t>
  </si>
  <si>
    <t>Tool vendor :</t>
  </si>
  <si>
    <t>TL</t>
  </si>
  <si>
    <t>Date :</t>
  </si>
  <si>
    <t>2019-6-28</t>
  </si>
  <si>
    <t>2019-6-25</t>
  </si>
  <si>
    <t>DRAWING SPECIFICATIONS</t>
  </si>
  <si>
    <t>INSPECTION RESULTS</t>
  </si>
  <si>
    <t>INSPECTION ANALYSIS</t>
  </si>
  <si>
    <t>COMMENTS &amp; DISPOSITIONS</t>
  </si>
  <si>
    <t>Inspection</t>
  </si>
  <si>
    <t>Sample Number</t>
  </si>
  <si>
    <t>Deviation from Nominal</t>
  </si>
  <si>
    <t>% Tolerance</t>
  </si>
  <si>
    <t>Alert/Reject</t>
  </si>
  <si>
    <t>Supplier</t>
  </si>
  <si>
    <t>PD</t>
  </si>
  <si>
    <t>NO.</t>
  </si>
  <si>
    <t>FAI/SPC</t>
  </si>
  <si>
    <t>LOCATION</t>
  </si>
  <si>
    <t>NOMINAL</t>
  </si>
  <si>
    <t>+TOL</t>
  </si>
  <si>
    <t>-TOL</t>
  </si>
  <si>
    <t>Method</t>
  </si>
  <si>
    <t>Mean</t>
  </si>
  <si>
    <t>UPPER</t>
  </si>
  <si>
    <t>LOWER</t>
  </si>
  <si>
    <t>HIGH</t>
  </si>
  <si>
    <t>LOW</t>
  </si>
  <si>
    <t>ADJUDGMENT</t>
  </si>
  <si>
    <t>Comment</t>
  </si>
  <si>
    <t>Disposition</t>
  </si>
  <si>
    <t>Steel ruler</t>
  </si>
  <si>
    <t>OMM</t>
  </si>
  <si>
    <t>7-1</t>
  </si>
  <si>
    <t>7-2</t>
  </si>
  <si>
    <t>7-3</t>
  </si>
  <si>
    <t>8-1</t>
  </si>
  <si>
    <t>8-2</t>
  </si>
  <si>
    <t>HK Head pad</t>
    <phoneticPr fontId="6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</si>
</sst>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\&quot;#,##0;[Red]&quot;\&quot;\-#,##0"/>
    <numFmt numFmtId="165" formatCode="_(&quot;R$&quot;* #,##0_);_(&quot;R$&quot;* \(#,##0\);_(&quot;R$&quot;* &quot;-&quot;_);_(@_)"/>
    <numFmt numFmtId="166" formatCode="0%_);[Red]\(0%\)"/>
    <numFmt numFmtId="167" formatCode="&quot;\&quot;#,##0.00;[Red]&quot;\&quot;\-#,##0.00"/>
    <numFmt numFmtId="168" formatCode="#,##0.0,_);[Red]\(#,##0.0\)"/>
    <numFmt numFmtId="169" formatCode="0.00_)"/>
    <numFmt numFmtId="170" formatCode="0.000000_);\(0.000000\)"/>
    <numFmt numFmtId="171" formatCode="[$-409]d\-mmm;@"/>
    <numFmt numFmtId="172" formatCode="0.000_ "/>
    <numFmt numFmtId="173" formatCode="#,##0.000;[Blue]\-#,##0.000"/>
    <numFmt numFmtId="174" formatCode="_ \¥* #,##0_ ;_ \¥* \-#,##0_ ;_ \¥* &quot;-&quot;_ ;_ @_ "/>
    <numFmt numFmtId="175" formatCode="&quot;$&quot;#,##0.00"/>
    <numFmt numFmtId="176" formatCode="#,##0,_);[Red]\(#,##0,\);&quot;-  &quot;"/>
    <numFmt numFmtId="177" formatCode="#,##0;[Red]\(#,##0\);&quot;- &quot;"/>
    <numFmt numFmtId="178" formatCode="0.000000000000"/>
    <numFmt numFmtId="179" formatCode="0%;[Red]\(0%\);&quot;- &quot;"/>
    <numFmt numFmtId="180" formatCode="#,##0,\ ;[Red]\(#,##0,\);&quot;&quot;"/>
    <numFmt numFmtId="181" formatCode="m/d;@"/>
    <numFmt numFmtId="182" formatCode="\ \ \ \ \ \ \ \ \ \ \ \ @"/>
    <numFmt numFmtId="183" formatCode="_(&quot;R$&quot;* #,##0.00_);_(&quot;R$&quot;* \(#,##0.00\);_(&quot;R$&quot;* &quot;-&quot;??_);_(@_)"/>
    <numFmt numFmtId="184" formatCode="0.0%"/>
    <numFmt numFmtId="185" formatCode="0_);[Red]\(0\)"/>
    <numFmt numFmtId="186" formatCode="0.000"/>
  </numFmts>
  <fonts count="64">
    <font>
      <sz val="10"/>
      <name val="Verdana"/>
      <charset val="134"/>
    </font>
    <font>
      <sz val="9"/>
      <name val="华文仿宋"/>
      <family val="3"/>
      <charset val="134"/>
    </font>
    <font>
      <sz val="10"/>
      <name val="Arial"/>
      <family val="2"/>
    </font>
    <font>
      <sz val="11"/>
      <color theme="1"/>
      <name val="Calibri"/>
      <family val="3"/>
      <charset val="134"/>
      <scheme val="minor"/>
    </font>
    <font>
      <sz val="14"/>
      <color theme="0" tint="-0.499984740745262"/>
      <name val="Arial"/>
      <family val="2"/>
    </font>
    <font>
      <sz val="9"/>
      <name val="Arial"/>
      <family val="2"/>
    </font>
    <font>
      <b/>
      <sz val="9"/>
      <color theme="0" tint="-0.499984740745262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theme="0" tint="-0.499984740745262"/>
      <name val="Arial"/>
      <family val="2"/>
    </font>
    <font>
      <sz val="10"/>
      <color theme="3"/>
      <name val="Arial"/>
      <family val="2"/>
    </font>
    <font>
      <sz val="10"/>
      <color theme="0" tint="-0.499984740745262"/>
      <name val="Verdana"/>
      <family val="2"/>
    </font>
    <font>
      <i/>
      <sz val="10"/>
      <color theme="1"/>
      <name val="Arial"/>
      <family val="2"/>
    </font>
    <font>
      <b/>
      <sz val="14"/>
      <color theme="1"/>
      <name val="Calibri"/>
      <family val="3"/>
      <charset val="134"/>
      <scheme val="minor"/>
    </font>
    <font>
      <b/>
      <sz val="9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9"/>
      <color theme="0" tint="-0.499984740745262"/>
      <name val="Arial"/>
      <family val="2"/>
    </font>
    <font>
      <b/>
      <sz val="10"/>
      <color indexed="10"/>
      <name val="Arial"/>
      <family val="2"/>
    </font>
    <font>
      <sz val="12"/>
      <name val="Times New Roman"/>
      <family val="1"/>
    </font>
    <font>
      <sz val="11"/>
      <color indexed="17"/>
      <name val="Calibri"/>
      <family val="2"/>
    </font>
    <font>
      <sz val="11"/>
      <name val="돋움"/>
      <family val="2"/>
      <charset val="129"/>
    </font>
    <font>
      <sz val="11"/>
      <color indexed="17"/>
      <name val="宋体"/>
      <family val="3"/>
      <charset val="134"/>
    </font>
    <font>
      <sz val="11"/>
      <color indexed="9"/>
      <name val="Calibri"/>
      <family val="2"/>
    </font>
    <font>
      <sz val="11"/>
      <name val="ＭＳ Ｐゴシック"/>
      <family val="2"/>
      <charset val="128"/>
    </font>
    <font>
      <sz val="12"/>
      <name val="宋体"/>
      <family val="3"/>
      <charset val="134"/>
    </font>
    <font>
      <sz val="11"/>
      <color indexed="20"/>
      <name val="Calibri"/>
      <family val="2"/>
    </font>
    <font>
      <sz val="11"/>
      <color indexed="8"/>
      <name val="Calibri"/>
      <family val="2"/>
    </font>
    <font>
      <b/>
      <sz val="11"/>
      <color indexed="56"/>
      <name val="Calibri"/>
      <family val="2"/>
    </font>
    <font>
      <sz val="10"/>
      <name val="Verdana"/>
      <family val="2"/>
    </font>
    <font>
      <sz val="11"/>
      <color indexed="20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0"/>
      <name val="Helv"/>
      <family val="2"/>
    </font>
    <font>
      <sz val="8"/>
      <name val="Times New Roman"/>
      <family val="1"/>
    </font>
    <font>
      <sz val="10"/>
      <color indexed="8"/>
      <name val="MS Sans Serif"/>
      <family val="2"/>
    </font>
    <font>
      <sz val="10"/>
      <name val="MS Serif"/>
      <family val="1"/>
    </font>
    <font>
      <sz val="11"/>
      <color indexed="60"/>
      <name val="Calibri"/>
      <family val="2"/>
    </font>
    <font>
      <u/>
      <sz val="10"/>
      <color theme="10"/>
      <name val="Verdana"/>
      <family val="2"/>
    </font>
    <font>
      <sz val="12"/>
      <color rgb="FF9C6500"/>
      <name val="Calibri"/>
      <family val="3"/>
      <charset val="134"/>
      <scheme val="minor"/>
    </font>
    <font>
      <b/>
      <sz val="10"/>
      <name val="Helv"/>
      <family val="2"/>
    </font>
    <font>
      <b/>
      <sz val="12"/>
      <name val="Arial"/>
      <family val="2"/>
    </font>
    <font>
      <sz val="12"/>
      <color theme="1"/>
      <name val="Calibri"/>
      <family val="3"/>
      <charset val="134"/>
      <scheme val="minor"/>
    </font>
    <font>
      <sz val="12"/>
      <color indexed="8"/>
      <name val="Calibri"/>
      <family val="2"/>
    </font>
    <font>
      <sz val="12"/>
      <name val="Arial"/>
      <family val="2"/>
    </font>
    <font>
      <b/>
      <sz val="18"/>
      <color indexed="56"/>
      <name val="Cambria"/>
      <family val="1"/>
    </font>
    <font>
      <b/>
      <sz val="13"/>
      <color indexed="56"/>
      <name val="Calibri"/>
      <family val="2"/>
    </font>
    <font>
      <sz val="8"/>
      <name val="Arial"/>
      <family val="2"/>
    </font>
    <font>
      <b/>
      <sz val="11"/>
      <color indexed="63"/>
      <name val="Calibri"/>
      <family val="2"/>
    </font>
    <font>
      <b/>
      <i/>
      <sz val="16"/>
      <name val="Helv"/>
      <family val="2"/>
    </font>
    <font>
      <i/>
      <sz val="11"/>
      <color indexed="23"/>
      <name val="Calibri"/>
      <family val="2"/>
    </font>
    <font>
      <sz val="7"/>
      <name val="Small Fonts"/>
      <family val="2"/>
    </font>
    <font>
      <sz val="11"/>
      <color indexed="8"/>
      <name val="宋体"/>
      <family val="3"/>
      <charset val="134"/>
    </font>
    <font>
      <b/>
      <sz val="11"/>
      <color indexed="8"/>
      <name val="Calibri"/>
      <family val="2"/>
    </font>
    <font>
      <sz val="11"/>
      <color indexed="16"/>
      <name val="宋体"/>
      <family val="3"/>
      <charset val="134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sz val="12"/>
      <name val="新細明體"/>
      <family val="1"/>
      <charset val="136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9"/>
      <name val="Geneva"/>
      <family val="2"/>
    </font>
    <font>
      <b/>
      <sz val="9"/>
      <name val="Geneva"/>
      <family val="2"/>
    </font>
    <font>
      <sz val="9"/>
      <name val="Verdana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5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medium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indexed="30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indexed="52"/>
      </bottom>
      <diagonal/>
    </border>
  </borders>
  <cellStyleXfs count="499">
    <xf numFmtId="171" fontId="0" fillId="0" borderId="0"/>
    <xf numFmtId="0" fontId="20" fillId="3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19" fillId="0" borderId="0"/>
    <xf numFmtId="0" fontId="19" fillId="0" borderId="0"/>
    <xf numFmtId="0" fontId="19" fillId="0" borderId="0"/>
    <xf numFmtId="171" fontId="25" fillId="0" borderId="0"/>
    <xf numFmtId="0" fontId="33" fillId="0" borderId="0">
      <alignment horizontal="center" wrapText="1"/>
      <protection locked="0"/>
    </xf>
    <xf numFmtId="171" fontId="37" fillId="0" borderId="0" applyNumberFormat="0" applyFill="0" applyBorder="0" applyAlignment="0" applyProtection="0"/>
    <xf numFmtId="0" fontId="19" fillId="0" borderId="0"/>
    <xf numFmtId="0" fontId="30" fillId="5" borderId="0" applyNumberFormat="0" applyBorder="0" applyAlignment="0" applyProtection="0">
      <alignment vertical="center"/>
    </xf>
    <xf numFmtId="175" fontId="2" fillId="0" borderId="0" applyFill="0" applyBorder="0" applyAlignment="0"/>
    <xf numFmtId="171" fontId="25" fillId="0" borderId="0"/>
    <xf numFmtId="171" fontId="29" fillId="0" borderId="0"/>
    <xf numFmtId="41" fontId="2" fillId="0" borderId="0" applyFont="0" applyFill="0" applyBorder="0" applyAlignment="0" applyProtection="0"/>
    <xf numFmtId="171" fontId="38" fillId="14" borderId="0" applyNumberFormat="0" applyBorder="0" applyAlignment="0" applyProtection="0"/>
    <xf numFmtId="0" fontId="19" fillId="0" borderId="0"/>
    <xf numFmtId="0" fontId="20" fillId="3" borderId="0" applyNumberFormat="0" applyBorder="0" applyAlignment="0" applyProtection="0">
      <alignment vertical="center"/>
    </xf>
    <xf numFmtId="171" fontId="29" fillId="0" borderId="0"/>
    <xf numFmtId="166" fontId="2" fillId="0" borderId="0" applyFill="0" applyBorder="0" applyAlignment="0"/>
    <xf numFmtId="171" fontId="25" fillId="0" borderId="0"/>
    <xf numFmtId="43" fontId="41" fillId="0" borderId="0" applyFont="0" applyFill="0" applyBorder="0" applyAlignment="0" applyProtection="0"/>
    <xf numFmtId="0" fontId="2" fillId="0" borderId="0"/>
    <xf numFmtId="171" fontId="3" fillId="0" borderId="0">
      <alignment vertical="center"/>
    </xf>
    <xf numFmtId="171" fontId="29" fillId="0" borderId="0"/>
    <xf numFmtId="0" fontId="26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171" fontId="29" fillId="0" borderId="0"/>
    <xf numFmtId="177" fontId="2" fillId="0" borderId="0" applyFill="0" applyBorder="0" applyAlignment="0"/>
    <xf numFmtId="171" fontId="25" fillId="0" borderId="0"/>
    <xf numFmtId="0" fontId="25" fillId="0" borderId="0"/>
    <xf numFmtId="171" fontId="25" fillId="0" borderId="0"/>
    <xf numFmtId="171" fontId="25" fillId="0" borderId="0"/>
    <xf numFmtId="174" fontId="25" fillId="0" borderId="0" applyFont="0" applyFill="0" applyBorder="0" applyAlignment="0" applyProtection="0"/>
    <xf numFmtId="0" fontId="19" fillId="0" borderId="0"/>
    <xf numFmtId="0" fontId="19" fillId="0" borderId="0"/>
    <xf numFmtId="171" fontId="31" fillId="0" borderId="0">
      <alignment vertical="center"/>
    </xf>
    <xf numFmtId="0" fontId="27" fillId="11" borderId="0" applyNumberFormat="0" applyBorder="0" applyAlignment="0" applyProtection="0">
      <alignment vertical="center"/>
    </xf>
    <xf numFmtId="0" fontId="2" fillId="0" borderId="0"/>
    <xf numFmtId="171" fontId="29" fillId="0" borderId="0"/>
    <xf numFmtId="166" fontId="2" fillId="0" borderId="0" applyFill="0" applyBorder="0" applyAlignment="0"/>
    <xf numFmtId="0" fontId="19" fillId="0" borderId="0"/>
    <xf numFmtId="171" fontId="38" fillId="14" borderId="0" applyNumberFormat="0" applyBorder="0" applyAlignment="0" applyProtection="0"/>
    <xf numFmtId="177" fontId="2" fillId="0" borderId="0" applyFill="0" applyBorder="0" applyAlignment="0"/>
    <xf numFmtId="0" fontId="2" fillId="0" borderId="0"/>
    <xf numFmtId="181" fontId="3" fillId="0" borderId="0">
      <alignment vertical="center"/>
    </xf>
    <xf numFmtId="0" fontId="2" fillId="0" borderId="0"/>
    <xf numFmtId="0" fontId="19" fillId="0" borderId="0"/>
    <xf numFmtId="0" fontId="20" fillId="3" borderId="0" applyNumberFormat="0" applyBorder="0" applyAlignment="0" applyProtection="0">
      <alignment vertical="center"/>
    </xf>
    <xf numFmtId="171" fontId="29" fillId="0" borderId="0"/>
    <xf numFmtId="177" fontId="2" fillId="0" borderId="0" applyFill="0" applyBorder="0" applyAlignment="0"/>
    <xf numFmtId="0" fontId="20" fillId="3" borderId="0" applyNumberFormat="0" applyBorder="0" applyAlignment="0" applyProtection="0">
      <alignment vertical="center"/>
    </xf>
    <xf numFmtId="10" fontId="2" fillId="0" borderId="0" applyFont="0" applyFill="0" applyBorder="0" applyAlignment="0" applyProtection="0"/>
    <xf numFmtId="0" fontId="2" fillId="0" borderId="0"/>
    <xf numFmtId="0" fontId="22" fillId="3" borderId="0" applyNumberFormat="0" applyBorder="0" applyAlignment="0" applyProtection="0">
      <alignment vertical="center"/>
    </xf>
    <xf numFmtId="0" fontId="19" fillId="0" borderId="0"/>
    <xf numFmtId="0" fontId="26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0" borderId="0"/>
    <xf numFmtId="0" fontId="2" fillId="0" borderId="0"/>
    <xf numFmtId="0" fontId="2" fillId="0" borderId="0"/>
    <xf numFmtId="0" fontId="26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19" fillId="0" borderId="0"/>
    <xf numFmtId="171" fontId="29" fillId="0" borderId="0"/>
    <xf numFmtId="0" fontId="32" fillId="0" borderId="0"/>
    <xf numFmtId="0" fontId="20" fillId="3" borderId="0" applyNumberFormat="0" applyBorder="0" applyAlignment="0" applyProtection="0">
      <alignment vertical="center"/>
    </xf>
    <xf numFmtId="0" fontId="19" fillId="0" borderId="0"/>
    <xf numFmtId="0" fontId="32" fillId="0" borderId="0"/>
    <xf numFmtId="0" fontId="2" fillId="0" borderId="0"/>
    <xf numFmtId="171" fontId="29" fillId="0" borderId="0"/>
    <xf numFmtId="0" fontId="19" fillId="0" borderId="0"/>
    <xf numFmtId="0" fontId="19" fillId="0" borderId="0"/>
    <xf numFmtId="0" fontId="22" fillId="3" borderId="0" applyNumberFormat="0" applyBorder="0" applyAlignment="0" applyProtection="0">
      <alignment vertical="center"/>
    </xf>
    <xf numFmtId="0" fontId="19" fillId="0" borderId="0"/>
    <xf numFmtId="0" fontId="20" fillId="3" borderId="0" applyNumberFormat="0" applyBorder="0" applyAlignment="0" applyProtection="0">
      <alignment vertical="center"/>
    </xf>
    <xf numFmtId="0" fontId="25" fillId="0" borderId="0"/>
    <xf numFmtId="0" fontId="19" fillId="0" borderId="0"/>
    <xf numFmtId="0" fontId="19" fillId="0" borderId="0"/>
    <xf numFmtId="171" fontId="3" fillId="0" borderId="0">
      <alignment vertical="center"/>
    </xf>
    <xf numFmtId="0" fontId="19" fillId="0" borderId="0"/>
    <xf numFmtId="0" fontId="19" fillId="0" borderId="0"/>
    <xf numFmtId="0" fontId="22" fillId="3" borderId="0" applyNumberFormat="0" applyBorder="0" applyAlignment="0" applyProtection="0">
      <alignment vertical="center"/>
    </xf>
    <xf numFmtId="170" fontId="2" fillId="0" borderId="0" applyFill="0" applyBorder="0" applyAlignment="0"/>
    <xf numFmtId="0" fontId="2" fillId="0" borderId="0"/>
    <xf numFmtId="171" fontId="25" fillId="0" borderId="0"/>
    <xf numFmtId="0" fontId="19" fillId="0" borderId="0"/>
    <xf numFmtId="171" fontId="29" fillId="0" borderId="0"/>
    <xf numFmtId="0" fontId="2" fillId="0" borderId="0"/>
    <xf numFmtId="0" fontId="19" fillId="0" borderId="0"/>
    <xf numFmtId="169" fontId="48" fillId="0" borderId="0"/>
    <xf numFmtId="0" fontId="19" fillId="0" borderId="0"/>
    <xf numFmtId="0" fontId="2" fillId="0" borderId="0"/>
    <xf numFmtId="0" fontId="25" fillId="0" borderId="0"/>
    <xf numFmtId="0" fontId="2" fillId="0" borderId="0"/>
    <xf numFmtId="9" fontId="29" fillId="0" borderId="0" applyFont="0" applyFill="0" applyBorder="0" applyAlignment="0" applyProtection="0"/>
    <xf numFmtId="0" fontId="2" fillId="0" borderId="0"/>
    <xf numFmtId="0" fontId="30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" fillId="0" borderId="0"/>
    <xf numFmtId="171" fontId="31" fillId="0" borderId="0">
      <alignment vertical="center"/>
    </xf>
    <xf numFmtId="0" fontId="19" fillId="0" borderId="0"/>
    <xf numFmtId="179" fontId="2" fillId="0" borderId="0" applyFill="0" applyBorder="0" applyAlignment="0"/>
    <xf numFmtId="0" fontId="2" fillId="0" borderId="0"/>
    <xf numFmtId="171" fontId="31" fillId="0" borderId="0">
      <alignment vertical="center"/>
    </xf>
    <xf numFmtId="0" fontId="2" fillId="0" borderId="0"/>
    <xf numFmtId="0" fontId="25" fillId="0" borderId="0"/>
    <xf numFmtId="0" fontId="2" fillId="0" borderId="0"/>
    <xf numFmtId="0" fontId="2" fillId="0" borderId="0"/>
    <xf numFmtId="0" fontId="20" fillId="3" borderId="0" applyNumberFormat="0" applyBorder="0" applyAlignment="0" applyProtection="0">
      <alignment vertical="center"/>
    </xf>
    <xf numFmtId="0" fontId="19" fillId="0" borderId="0"/>
    <xf numFmtId="0" fontId="2" fillId="0" borderId="0"/>
    <xf numFmtId="0" fontId="2" fillId="0" borderId="0"/>
    <xf numFmtId="171" fontId="29" fillId="0" borderId="0"/>
    <xf numFmtId="0" fontId="27" fillId="17" borderId="26" applyNumberFormat="0" applyFont="0" applyAlignment="0" applyProtection="0">
      <alignment vertical="center"/>
    </xf>
    <xf numFmtId="0" fontId="2" fillId="0" borderId="0"/>
    <xf numFmtId="0" fontId="32" fillId="0" borderId="0"/>
    <xf numFmtId="170" fontId="2" fillId="0" borderId="0" applyFill="0" applyBorder="0" applyAlignment="0"/>
    <xf numFmtId="0" fontId="2" fillId="0" borderId="0"/>
    <xf numFmtId="0" fontId="19" fillId="0" borderId="0"/>
    <xf numFmtId="0" fontId="2" fillId="0" borderId="0"/>
    <xf numFmtId="171" fontId="2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71" fontId="29" fillId="0" borderId="0"/>
    <xf numFmtId="0" fontId="19" fillId="0" borderId="0"/>
    <xf numFmtId="0" fontId="19" fillId="0" borderId="0"/>
    <xf numFmtId="0" fontId="20" fillId="3" borderId="0" applyNumberFormat="0" applyBorder="0" applyAlignment="0" applyProtection="0">
      <alignment vertical="center"/>
    </xf>
    <xf numFmtId="0" fontId="32" fillId="0" borderId="0"/>
    <xf numFmtId="0" fontId="19" fillId="0" borderId="0"/>
    <xf numFmtId="171" fontId="2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0" fillId="0" borderId="22" applyNumberFormat="0" applyAlignment="0" applyProtection="0">
      <alignment horizontal="left"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3" fillId="0" borderId="0"/>
    <xf numFmtId="0" fontId="19" fillId="0" borderId="0"/>
    <xf numFmtId="0" fontId="19" fillId="0" borderId="0"/>
    <xf numFmtId="0" fontId="32" fillId="0" borderId="0"/>
    <xf numFmtId="0" fontId="32" fillId="0" borderId="0"/>
    <xf numFmtId="0" fontId="2" fillId="0" borderId="0"/>
    <xf numFmtId="0" fontId="27" fillId="19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19" fillId="0" borderId="0"/>
    <xf numFmtId="0" fontId="19" fillId="0" borderId="0"/>
    <xf numFmtId="171" fontId="27" fillId="0" borderId="0">
      <alignment vertical="center"/>
    </xf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2" fillId="0" borderId="0"/>
    <xf numFmtId="0" fontId="19" fillId="0" borderId="0"/>
    <xf numFmtId="0" fontId="2" fillId="0" borderId="0"/>
    <xf numFmtId="0" fontId="2" fillId="0" borderId="0"/>
    <xf numFmtId="0" fontId="19" fillId="0" borderId="0"/>
    <xf numFmtId="0" fontId="30" fillId="11" borderId="0" applyNumberFormat="0" applyBorder="0" applyAlignment="0" applyProtection="0">
      <alignment vertical="center"/>
    </xf>
    <xf numFmtId="171" fontId="31" fillId="0" borderId="0">
      <alignment vertical="center"/>
    </xf>
    <xf numFmtId="0" fontId="19" fillId="0" borderId="0"/>
    <xf numFmtId="0" fontId="19" fillId="0" borderId="0"/>
    <xf numFmtId="0" fontId="28" fillId="0" borderId="0" applyNumberFormat="0" applyFill="0" applyBorder="0" applyAlignment="0" applyProtection="0">
      <alignment vertical="center"/>
    </xf>
    <xf numFmtId="0" fontId="19" fillId="0" borderId="0"/>
    <xf numFmtId="0" fontId="32" fillId="0" borderId="0"/>
    <xf numFmtId="0" fontId="32" fillId="0" borderId="0"/>
    <xf numFmtId="0" fontId="19" fillId="0" borderId="0"/>
    <xf numFmtId="171" fontId="31" fillId="0" borderId="0">
      <alignment vertical="center"/>
    </xf>
    <xf numFmtId="0" fontId="19" fillId="0" borderId="0"/>
    <xf numFmtId="0" fontId="25" fillId="0" borderId="0"/>
    <xf numFmtId="171" fontId="29" fillId="0" borderId="0"/>
    <xf numFmtId="0" fontId="19" fillId="0" borderId="0"/>
    <xf numFmtId="0" fontId="23" fillId="12" borderId="0" applyNumberFormat="0" applyBorder="0" applyAlignment="0" applyProtection="0">
      <alignment vertical="center"/>
    </xf>
    <xf numFmtId="0" fontId="32" fillId="0" borderId="0"/>
    <xf numFmtId="0" fontId="43" fillId="0" borderId="0"/>
    <xf numFmtId="0" fontId="27" fillId="6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7" fillId="3" borderId="0" applyNumberFormat="0" applyBorder="0" applyAlignment="0" applyProtection="0">
      <alignment vertical="center"/>
    </xf>
    <xf numFmtId="171" fontId="29" fillId="0" borderId="0"/>
    <xf numFmtId="171" fontId="41" fillId="0" borderId="0"/>
    <xf numFmtId="0" fontId="27" fillId="11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171" fontId="31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171" fontId="31" fillId="0" borderId="0">
      <alignment vertical="center"/>
    </xf>
    <xf numFmtId="0" fontId="27" fillId="8" borderId="0" applyNumberFormat="0" applyBorder="0" applyAlignment="0" applyProtection="0">
      <alignment vertical="center"/>
    </xf>
    <xf numFmtId="171" fontId="31" fillId="0" borderId="0">
      <alignment vertical="center"/>
    </xf>
    <xf numFmtId="0" fontId="27" fillId="1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171" fontId="38" fillId="14" borderId="0" applyNumberFormat="0" applyBorder="0" applyAlignment="0" applyProtection="0"/>
    <xf numFmtId="0" fontId="26" fillId="5" borderId="0" applyNumberFormat="0" applyBorder="0" applyAlignment="0" applyProtection="0">
      <alignment vertical="center"/>
    </xf>
    <xf numFmtId="0" fontId="32" fillId="0" borderId="0"/>
    <xf numFmtId="168" fontId="2" fillId="18" borderId="23">
      <alignment horizontal="center" vertical="center"/>
    </xf>
    <xf numFmtId="0" fontId="20" fillId="3" borderId="0" applyNumberFormat="0" applyBorder="0" applyAlignment="0" applyProtection="0">
      <alignment vertical="center"/>
    </xf>
    <xf numFmtId="170" fontId="2" fillId="0" borderId="0" applyFill="0" applyBorder="0" applyAlignment="0"/>
    <xf numFmtId="171" fontId="3" fillId="0" borderId="0">
      <alignment vertical="center"/>
    </xf>
    <xf numFmtId="171" fontId="29" fillId="0" borderId="0"/>
    <xf numFmtId="169" fontId="2" fillId="0" borderId="0" applyFill="0" applyBorder="0" applyAlignment="0"/>
    <xf numFmtId="184" fontId="2" fillId="0" borderId="0" applyFill="0" applyBorder="0" applyAlignment="0"/>
    <xf numFmtId="171" fontId="29" fillId="0" borderId="0"/>
    <xf numFmtId="166" fontId="2" fillId="0" borderId="0" applyFill="0" applyBorder="0" applyAlignment="0"/>
    <xf numFmtId="169" fontId="2" fillId="0" borderId="0" applyFill="0" applyBorder="0" applyAlignment="0"/>
    <xf numFmtId="0" fontId="20" fillId="3" borderId="0" applyNumberFormat="0" applyBorder="0" applyAlignment="0" applyProtection="0">
      <alignment vertical="center"/>
    </xf>
    <xf numFmtId="0" fontId="39" fillId="0" borderId="0"/>
    <xf numFmtId="177" fontId="2" fillId="0" borderId="0" applyFont="0" applyFill="0" applyBorder="0" applyAlignment="0" applyProtection="0"/>
    <xf numFmtId="178" fontId="2" fillId="0" borderId="0"/>
    <xf numFmtId="0" fontId="35" fillId="0" borderId="0" applyNumberFormat="0" applyAlignment="0">
      <alignment horizontal="left"/>
    </xf>
    <xf numFmtId="171" fontId="29" fillId="0" borderId="0"/>
    <xf numFmtId="169" fontId="2" fillId="0" borderId="0" applyFont="0" applyFill="0" applyBorder="0" applyAlignment="0" applyProtection="0"/>
    <xf numFmtId="17" fontId="2" fillId="0" borderId="0" applyFont="0" applyFill="0" applyBorder="0" applyAlignment="0" applyProtection="0"/>
    <xf numFmtId="14" fontId="16" fillId="0" borderId="0" applyFill="0" applyBorder="0" applyAlignment="0"/>
    <xf numFmtId="0" fontId="22" fillId="3" borderId="0" applyNumberFormat="0" applyBorder="0" applyAlignment="0" applyProtection="0">
      <alignment vertical="center"/>
    </xf>
    <xf numFmtId="171" fontId="3" fillId="0" borderId="0">
      <alignment vertical="center"/>
    </xf>
    <xf numFmtId="180" fontId="2" fillId="0" borderId="20">
      <alignment vertical="center"/>
    </xf>
    <xf numFmtId="170" fontId="2" fillId="0" borderId="0" applyFill="0" applyBorder="0" applyAlignment="0"/>
    <xf numFmtId="9" fontId="29" fillId="0" borderId="0" applyFont="0" applyFill="0" applyBorder="0" applyAlignment="0" applyProtection="0"/>
    <xf numFmtId="169" fontId="2" fillId="0" borderId="0" applyFill="0" applyBorder="0" applyAlignment="0"/>
    <xf numFmtId="166" fontId="2" fillId="0" borderId="0" applyFill="0" applyBorder="0" applyAlignment="0"/>
    <xf numFmtId="169" fontId="2" fillId="0" borderId="0" applyFill="0" applyBorder="0" applyAlignment="0"/>
    <xf numFmtId="0" fontId="45" fillId="0" borderId="24" applyNumberFormat="0" applyFill="0" applyAlignment="0" applyProtection="0">
      <alignment vertical="center"/>
    </xf>
    <xf numFmtId="38" fontId="46" fillId="22" borderId="0" applyNumberFormat="0" applyBorder="0" applyAlignment="0" applyProtection="0"/>
    <xf numFmtId="0" fontId="30" fillId="5" borderId="0" applyNumberFormat="0" applyBorder="0" applyAlignment="0" applyProtection="0">
      <alignment vertical="center"/>
    </xf>
    <xf numFmtId="0" fontId="40" fillId="0" borderId="21">
      <alignment horizontal="left" vertical="center"/>
    </xf>
    <xf numFmtId="10" fontId="46" fillId="17" borderId="27" applyNumberFormat="0" applyBorder="0" applyAlignment="0" applyProtection="0"/>
    <xf numFmtId="0" fontId="26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170" fontId="2" fillId="0" borderId="0" applyFill="0" applyBorder="0" applyAlignment="0"/>
    <xf numFmtId="171" fontId="31" fillId="0" borderId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169" fontId="2" fillId="0" borderId="0" applyFill="0" applyBorder="0" applyAlignment="0"/>
    <xf numFmtId="171" fontId="29" fillId="0" borderId="0"/>
    <xf numFmtId="169" fontId="2" fillId="0" borderId="0" applyFill="0" applyBorder="0" applyAlignment="0"/>
    <xf numFmtId="165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49" fontId="16" fillId="0" borderId="0" applyFill="0" applyBorder="0" applyAlignment="0"/>
    <xf numFmtId="0" fontId="38" fillId="17" borderId="0" applyNumberFormat="0" applyBorder="0" applyAlignment="0" applyProtection="0"/>
    <xf numFmtId="37" fontId="50" fillId="0" borderId="0"/>
    <xf numFmtId="171" fontId="31" fillId="0" borderId="0">
      <alignment vertical="center"/>
    </xf>
    <xf numFmtId="171" fontId="25" fillId="0" borderId="0"/>
    <xf numFmtId="171" fontId="29" fillId="0" borderId="0"/>
    <xf numFmtId="171" fontId="3" fillId="0" borderId="0"/>
    <xf numFmtId="0" fontId="26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" fillId="0" borderId="0"/>
    <xf numFmtId="171" fontId="25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171" fontId="41" fillId="0" borderId="0"/>
    <xf numFmtId="171" fontId="41" fillId="0" borderId="0"/>
    <xf numFmtId="171" fontId="25" fillId="0" borderId="0"/>
    <xf numFmtId="171" fontId="25" fillId="0" borderId="0"/>
    <xf numFmtId="171" fontId="25" fillId="0" borderId="0"/>
    <xf numFmtId="0" fontId="22" fillId="3" borderId="0" applyNumberFormat="0" applyBorder="0" applyAlignment="0" applyProtection="0">
      <alignment vertical="center"/>
    </xf>
    <xf numFmtId="171" fontId="25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0" fontId="26" fillId="5" borderId="0" applyNumberFormat="0" applyBorder="0" applyAlignment="0" applyProtection="0">
      <alignment vertical="center"/>
    </xf>
    <xf numFmtId="171" fontId="25" fillId="0" borderId="0"/>
    <xf numFmtId="0" fontId="26" fillId="5" borderId="0" applyNumberFormat="0" applyBorder="0" applyAlignment="0" applyProtection="0">
      <alignment vertical="center"/>
    </xf>
    <xf numFmtId="171" fontId="25" fillId="0" borderId="0"/>
    <xf numFmtId="0" fontId="26" fillId="5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71" fontId="25" fillId="0" borderId="0"/>
    <xf numFmtId="9" fontId="42" fillId="0" borderId="0" applyFont="0" applyFill="0" applyBorder="0" applyAlignment="0" applyProtection="0">
      <alignment vertical="center"/>
    </xf>
    <xf numFmtId="171" fontId="25" fillId="0" borderId="0"/>
    <xf numFmtId="171" fontId="25" fillId="0" borderId="0"/>
    <xf numFmtId="0" fontId="30" fillId="5" borderId="0" applyNumberFormat="0" applyBorder="0" applyAlignment="0" applyProtection="0">
      <alignment vertical="center"/>
    </xf>
    <xf numFmtId="176" fontId="2" fillId="0" borderId="0" applyFill="0" applyBorder="0" applyAlignment="0"/>
    <xf numFmtId="171" fontId="25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171" fontId="25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171" fontId="25" fillId="0" borderId="0"/>
    <xf numFmtId="171" fontId="25" fillId="0" borderId="0"/>
    <xf numFmtId="171" fontId="25" fillId="0" borderId="0"/>
    <xf numFmtId="171" fontId="25" fillId="0" borderId="0"/>
    <xf numFmtId="171" fontId="25" fillId="0" borderId="0"/>
    <xf numFmtId="171" fontId="29" fillId="0" borderId="0"/>
    <xf numFmtId="171" fontId="25" fillId="0" borderId="0"/>
    <xf numFmtId="171" fontId="29" fillId="0" borderId="0"/>
    <xf numFmtId="171" fontId="3" fillId="0" borderId="0">
      <alignment vertical="center"/>
    </xf>
    <xf numFmtId="0" fontId="26" fillId="5" borderId="0" applyNumberFormat="0" applyBorder="0" applyAlignment="0" applyProtection="0">
      <alignment vertical="center"/>
    </xf>
    <xf numFmtId="171" fontId="3" fillId="0" borderId="0">
      <alignment vertical="center"/>
    </xf>
    <xf numFmtId="43" fontId="2" fillId="0" borderId="0" applyFont="0" applyFill="0" applyBorder="0" applyAlignment="0" applyProtection="0"/>
    <xf numFmtId="0" fontId="22" fillId="3" borderId="0" applyNumberFormat="0" applyBorder="0" applyAlignment="0" applyProtection="0">
      <alignment vertical="center"/>
    </xf>
    <xf numFmtId="179" fontId="2" fillId="0" borderId="0" applyFont="0" applyFill="0" applyBorder="0" applyAlignment="0" applyProtection="0"/>
    <xf numFmtId="182" fontId="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169" fontId="2" fillId="0" borderId="0" applyFill="0" applyBorder="0" applyAlignment="0"/>
    <xf numFmtId="171" fontId="31" fillId="0" borderId="0">
      <alignment vertical="center"/>
    </xf>
    <xf numFmtId="177" fontId="2" fillId="0" borderId="0" applyFill="0" applyBorder="0" applyAlignment="0"/>
    <xf numFmtId="169" fontId="2" fillId="0" borderId="0" applyFill="0" applyBorder="0" applyAlignment="0"/>
    <xf numFmtId="0" fontId="8" fillId="0" borderId="0" applyNumberForma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0" fontId="56" fillId="0" borderId="31" applyNumberFormat="0" applyFill="0" applyAlignment="0" applyProtection="0">
      <alignment vertical="center"/>
    </xf>
    <xf numFmtId="0" fontId="28" fillId="0" borderId="19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171" fontId="31" fillId="0" borderId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171" fontId="29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171" fontId="31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171" fontId="31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171" fontId="29" fillId="0" borderId="0"/>
    <xf numFmtId="0" fontId="53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171" fontId="29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171" fontId="3" fillId="0" borderId="0">
      <alignment vertical="center"/>
    </xf>
    <xf numFmtId="171" fontId="3" fillId="0" borderId="0">
      <alignment vertical="center"/>
    </xf>
    <xf numFmtId="171" fontId="3" fillId="0" borderId="0">
      <alignment vertical="center"/>
    </xf>
    <xf numFmtId="0" fontId="25" fillId="0" borderId="0" applyProtection="0"/>
    <xf numFmtId="171" fontId="31" fillId="0" borderId="0">
      <alignment vertical="center"/>
    </xf>
    <xf numFmtId="171" fontId="31" fillId="0" borderId="0">
      <alignment vertical="center"/>
    </xf>
    <xf numFmtId="0" fontId="20" fillId="3" borderId="0" applyNumberFormat="0" applyBorder="0" applyAlignment="0" applyProtection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0" fontId="22" fillId="3" borderId="0" applyNumberFormat="0" applyBorder="0" applyAlignment="0" applyProtection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0" fontId="20" fillId="3" borderId="0" applyNumberFormat="0" applyBorder="0" applyAlignment="0" applyProtection="0">
      <alignment vertical="center"/>
    </xf>
    <xf numFmtId="181" fontId="3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171" fontId="31" fillId="0" borderId="0">
      <alignment vertical="center"/>
    </xf>
    <xf numFmtId="0" fontId="20" fillId="3" borderId="0" applyNumberFormat="0" applyBorder="0" applyAlignment="0" applyProtection="0">
      <alignment vertical="center"/>
    </xf>
    <xf numFmtId="171" fontId="31" fillId="0" borderId="0">
      <alignment vertical="center"/>
    </xf>
    <xf numFmtId="181" fontId="3" fillId="0" borderId="0">
      <alignment vertical="center"/>
    </xf>
    <xf numFmtId="171" fontId="29" fillId="0" borderId="0"/>
    <xf numFmtId="171" fontId="29" fillId="0" borderId="0"/>
    <xf numFmtId="171" fontId="29" fillId="0" borderId="0"/>
    <xf numFmtId="171" fontId="29" fillId="0" borderId="0"/>
    <xf numFmtId="0" fontId="25" fillId="0" borderId="0"/>
    <xf numFmtId="171" fontId="29" fillId="0" borderId="0"/>
    <xf numFmtId="171" fontId="29" fillId="0" borderId="0"/>
    <xf numFmtId="171" fontId="29" fillId="0" borderId="0"/>
    <xf numFmtId="0" fontId="55" fillId="15" borderId="30" applyNumberFormat="0" applyAlignment="0" applyProtection="0">
      <alignment vertical="center"/>
    </xf>
    <xf numFmtId="171" fontId="29" fillId="0" borderId="0"/>
    <xf numFmtId="171" fontId="29" fillId="0" borderId="0"/>
    <xf numFmtId="171" fontId="3" fillId="0" borderId="0">
      <alignment vertical="center"/>
    </xf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41" fillId="0" borderId="0"/>
    <xf numFmtId="171" fontId="29" fillId="0" borderId="0"/>
    <xf numFmtId="0" fontId="25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3" fillId="0" borderId="0"/>
    <xf numFmtId="171" fontId="3" fillId="0" borderId="0">
      <alignment vertical="center"/>
    </xf>
    <xf numFmtId="171" fontId="3" fillId="0" borderId="0">
      <alignment vertical="center"/>
    </xf>
    <xf numFmtId="171" fontId="3" fillId="0" borderId="0">
      <alignment vertical="center"/>
    </xf>
    <xf numFmtId="171" fontId="3" fillId="0" borderId="0">
      <alignment vertical="center"/>
    </xf>
    <xf numFmtId="0" fontId="25" fillId="0" borderId="0"/>
    <xf numFmtId="171" fontId="3" fillId="0" borderId="0">
      <alignment vertical="center"/>
    </xf>
    <xf numFmtId="171" fontId="3" fillId="0" borderId="0">
      <alignment vertical="center"/>
    </xf>
    <xf numFmtId="171" fontId="29" fillId="0" borderId="0"/>
    <xf numFmtId="171" fontId="3" fillId="0" borderId="0">
      <alignment vertical="center"/>
    </xf>
    <xf numFmtId="171" fontId="29" fillId="0" borderId="0"/>
    <xf numFmtId="171" fontId="3" fillId="0" borderId="0">
      <alignment vertical="center"/>
    </xf>
    <xf numFmtId="171" fontId="29" fillId="0" borderId="0"/>
    <xf numFmtId="171" fontId="29" fillId="0" borderId="0"/>
    <xf numFmtId="171" fontId="29" fillId="0" borderId="0"/>
    <xf numFmtId="0" fontId="25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171" fontId="29" fillId="0" borderId="0"/>
    <xf numFmtId="0" fontId="22" fillId="3" borderId="0" applyNumberFormat="0" applyBorder="0" applyAlignment="0" applyProtection="0">
      <alignment vertical="center"/>
    </xf>
    <xf numFmtId="171" fontId="42" fillId="0" borderId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40" fontId="24" fillId="0" borderId="0" applyFont="0" applyFill="0" applyBorder="0" applyAlignment="0" applyProtection="0"/>
    <xf numFmtId="38" fontId="24" fillId="0" borderId="0" applyFont="0" applyFill="0" applyBorder="0" applyAlignment="0" applyProtection="0"/>
    <xf numFmtId="0" fontId="52" fillId="0" borderId="28" applyNumberFormat="0" applyFill="0" applyAlignment="0" applyProtection="0">
      <alignment vertical="center"/>
    </xf>
    <xf numFmtId="42" fontId="57" fillId="0" borderId="0" applyFont="0" applyFill="0" applyBorder="0" applyAlignment="0" applyProtection="0"/>
    <xf numFmtId="0" fontId="19" fillId="0" borderId="0" applyFont="0" applyFill="0" applyBorder="0" applyAlignment="0" applyProtection="0"/>
    <xf numFmtId="44" fontId="57" fillId="0" borderId="0" applyFont="0" applyFill="0" applyBorder="0" applyAlignment="0" applyProtection="0"/>
    <xf numFmtId="0" fontId="59" fillId="22" borderId="30" applyNumberFormat="0" applyAlignment="0" applyProtection="0">
      <alignment vertical="center"/>
    </xf>
    <xf numFmtId="0" fontId="54" fillId="25" borderId="29" applyNumberFormat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60" fillId="0" borderId="32" applyNumberFormat="0" applyFill="0" applyAlignment="0" applyProtection="0">
      <alignment vertical="center"/>
    </xf>
    <xf numFmtId="41" fontId="57" fillId="0" borderId="0" applyFont="0" applyFill="0" applyBorder="0" applyAlignment="0" applyProtection="0"/>
    <xf numFmtId="172" fontId="19" fillId="0" borderId="0" applyFont="0" applyFill="0" applyBorder="0" applyAlignment="0" applyProtection="0"/>
    <xf numFmtId="0" fontId="23" fillId="24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36" fillId="13" borderId="0" applyNumberFormat="0" applyBorder="0" applyAlignment="0" applyProtection="0">
      <alignment vertical="center"/>
    </xf>
    <xf numFmtId="0" fontId="47" fillId="22" borderId="25" applyNumberFormat="0" applyAlignment="0" applyProtection="0">
      <alignment vertical="center"/>
    </xf>
    <xf numFmtId="167" fontId="24" fillId="0" borderId="0" applyFont="0" applyFill="0" applyBorder="0" applyAlignment="0" applyProtection="0"/>
    <xf numFmtId="164" fontId="24" fillId="0" borderId="0" applyFont="0" applyFill="0" applyBorder="0" applyAlignment="0" applyProtection="0"/>
    <xf numFmtId="0" fontId="19" fillId="0" borderId="0"/>
    <xf numFmtId="171" fontId="29" fillId="0" borderId="0"/>
    <xf numFmtId="171" fontId="29" fillId="0" borderId="0">
      <alignment vertical="center"/>
    </xf>
    <xf numFmtId="0" fontId="21" fillId="0" borderId="0"/>
  </cellStyleXfs>
  <cellXfs count="96">
    <xf numFmtId="171" fontId="0" fillId="0" borderId="0" xfId="0"/>
    <xf numFmtId="0" fontId="1" fillId="0" borderId="0" xfId="142" applyFont="1" applyFill="1" applyProtection="1">
      <protection locked="0"/>
    </xf>
    <xf numFmtId="0" fontId="2" fillId="0" borderId="0" xfId="142" applyFont="1" applyFill="1" applyProtection="1">
      <protection locked="0"/>
    </xf>
    <xf numFmtId="0" fontId="3" fillId="0" borderId="0" xfId="142" applyFill="1" applyProtection="1">
      <protection locked="0"/>
    </xf>
    <xf numFmtId="0" fontId="3" fillId="0" borderId="0" xfId="142" applyFill="1" applyAlignment="1" applyProtection="1">
      <alignment horizontal="center" vertical="center"/>
      <protection locked="0"/>
    </xf>
    <xf numFmtId="0" fontId="3" fillId="0" borderId="0" xfId="142" applyFill="1" applyAlignment="1" applyProtection="1">
      <alignment horizontal="center"/>
      <protection locked="0"/>
    </xf>
    <xf numFmtId="171" fontId="0" fillId="0" borderId="0" xfId="0" applyAlignment="1">
      <alignment vertical="center"/>
    </xf>
    <xf numFmtId="0" fontId="4" fillId="0" borderId="0" xfId="142" applyFont="1" applyFill="1" applyProtection="1">
      <protection locked="0"/>
    </xf>
    <xf numFmtId="0" fontId="2" fillId="0" borderId="0" xfId="142" applyFont="1" applyFill="1" applyBorder="1" applyAlignment="1" applyProtection="1">
      <alignment horizontal="center" vertical="center"/>
      <protection locked="0"/>
    </xf>
    <xf numFmtId="0" fontId="2" fillId="0" borderId="0" xfId="142" applyFont="1" applyFill="1" applyAlignment="1" applyProtection="1">
      <alignment horizontal="center"/>
      <protection locked="0"/>
    </xf>
    <xf numFmtId="0" fontId="5" fillId="0" borderId="1" xfId="142" applyFont="1" applyFill="1" applyBorder="1" applyProtection="1">
      <protection locked="0"/>
    </xf>
    <xf numFmtId="0" fontId="6" fillId="0" borderId="2" xfId="142" applyFont="1" applyFill="1" applyBorder="1" applyAlignment="1" applyProtection="1">
      <alignment horizontal="right"/>
      <protection locked="0"/>
    </xf>
    <xf numFmtId="0" fontId="5" fillId="0" borderId="3" xfId="142" applyFont="1" applyFill="1" applyBorder="1" applyAlignment="1" applyProtection="1">
      <alignment horizontal="left"/>
      <protection locked="0"/>
    </xf>
    <xf numFmtId="0" fontId="6" fillId="0" borderId="2" xfId="142" applyFont="1" applyFill="1" applyBorder="1" applyAlignment="1">
      <alignment horizontal="right"/>
    </xf>
    <xf numFmtId="0" fontId="5" fillId="0" borderId="4" xfId="142" applyFont="1" applyFill="1" applyBorder="1" applyProtection="1">
      <protection locked="0"/>
    </xf>
    <xf numFmtId="0" fontId="6" fillId="0" borderId="0" xfId="142" applyFont="1" applyFill="1" applyBorder="1" applyAlignment="1" applyProtection="1">
      <alignment horizontal="right"/>
      <protection locked="0"/>
    </xf>
    <xf numFmtId="0" fontId="6" fillId="0" borderId="0" xfId="142" applyFont="1" applyFill="1" applyBorder="1" applyAlignment="1">
      <alignment horizontal="right"/>
    </xf>
    <xf numFmtId="0" fontId="5" fillId="0" borderId="0" xfId="142" applyFont="1" applyFill="1" applyBorder="1" applyAlignment="1" applyProtection="1">
      <alignment horizontal="left"/>
      <protection locked="0"/>
    </xf>
    <xf numFmtId="0" fontId="5" fillId="0" borderId="5" xfId="142" applyFont="1" applyFill="1" applyBorder="1" applyProtection="1">
      <protection locked="0"/>
    </xf>
    <xf numFmtId="0" fontId="6" fillId="0" borderId="3" xfId="142" applyFont="1" applyFill="1" applyBorder="1" applyAlignment="1" applyProtection="1">
      <alignment horizontal="right"/>
      <protection locked="0"/>
    </xf>
    <xf numFmtId="0" fontId="6" fillId="0" borderId="3" xfId="142" applyFont="1" applyFill="1" applyBorder="1" applyAlignment="1">
      <alignment horizontal="right"/>
    </xf>
    <xf numFmtId="0" fontId="8" fillId="0" borderId="0" xfId="142" applyFont="1" applyFill="1" applyBorder="1"/>
    <xf numFmtId="0" fontId="8" fillId="0" borderId="0" xfId="142" applyFont="1" applyFill="1" applyBorder="1" applyProtection="1">
      <protection locked="0"/>
    </xf>
    <xf numFmtId="0" fontId="2" fillId="0" borderId="0" xfId="142" applyFont="1" applyFill="1" applyBorder="1" applyAlignment="1" applyProtection="1">
      <alignment horizontal="center"/>
      <protection locked="0"/>
    </xf>
    <xf numFmtId="0" fontId="9" fillId="0" borderId="7" xfId="142" applyFont="1" applyFill="1" applyBorder="1" applyAlignment="1" applyProtection="1">
      <alignment horizontal="center"/>
    </xf>
    <xf numFmtId="0" fontId="2" fillId="0" borderId="7" xfId="142" applyFont="1" applyFill="1" applyBorder="1" applyProtection="1"/>
    <xf numFmtId="0" fontId="2" fillId="0" borderId="7" xfId="142" applyFont="1" applyFill="1" applyBorder="1" applyAlignment="1" applyProtection="1">
      <alignment horizontal="center" vertical="center"/>
    </xf>
    <xf numFmtId="0" fontId="9" fillId="0" borderId="7" xfId="142" applyFont="1" applyFill="1" applyBorder="1" applyProtection="1"/>
    <xf numFmtId="0" fontId="9" fillId="0" borderId="7" xfId="142" applyFont="1" applyFill="1" applyBorder="1" applyAlignment="1" applyProtection="1">
      <alignment horizontal="center" vertical="center"/>
    </xf>
    <xf numFmtId="0" fontId="10" fillId="0" borderId="7" xfId="142" applyNumberFormat="1" applyFont="1" applyFill="1" applyBorder="1" applyAlignment="1" applyProtection="1">
      <alignment horizontal="center"/>
    </xf>
    <xf numFmtId="185" fontId="11" fillId="0" borderId="7" xfId="142" applyNumberFormat="1" applyFont="1" applyFill="1" applyBorder="1" applyAlignment="1" applyProtection="1">
      <alignment horizontal="center"/>
      <protection locked="0"/>
    </xf>
    <xf numFmtId="0" fontId="2" fillId="0" borderId="7" xfId="142" applyFont="1" applyFill="1" applyBorder="1" applyAlignment="1" applyProtection="1">
      <alignment horizontal="center"/>
      <protection locked="0"/>
    </xf>
    <xf numFmtId="0" fontId="2" fillId="0" borderId="7" xfId="142" applyFont="1" applyFill="1" applyBorder="1" applyAlignment="1" applyProtection="1">
      <alignment horizontal="left" vertical="center" wrapText="1"/>
      <protection locked="0"/>
    </xf>
    <xf numFmtId="2" fontId="2" fillId="0" borderId="7" xfId="142" applyNumberFormat="1" applyFont="1" applyFill="1" applyBorder="1" applyAlignment="1" applyProtection="1">
      <alignment horizontal="center" vertical="center"/>
      <protection locked="0"/>
    </xf>
    <xf numFmtId="2" fontId="2" fillId="0" borderId="9" xfId="142" applyNumberFormat="1" applyFont="1" applyFill="1" applyBorder="1" applyAlignment="1" applyProtection="1">
      <alignment horizontal="center" vertical="center"/>
      <protection locked="0"/>
    </xf>
    <xf numFmtId="0" fontId="2" fillId="0" borderId="10" xfId="142" applyFont="1" applyFill="1" applyBorder="1" applyAlignment="1" applyProtection="1">
      <alignment horizontal="center"/>
      <protection locked="0"/>
    </xf>
    <xf numFmtId="173" fontId="12" fillId="0" borderId="7" xfId="142" applyNumberFormat="1" applyFont="1" applyFill="1" applyBorder="1" applyAlignment="1" applyProtection="1">
      <alignment horizontal="center"/>
      <protection locked="0"/>
    </xf>
    <xf numFmtId="0" fontId="2" fillId="0" borderId="7" xfId="142" applyNumberFormat="1" applyFont="1" applyFill="1" applyBorder="1" applyAlignment="1" applyProtection="1">
      <alignment horizontal="center"/>
      <protection locked="0"/>
    </xf>
    <xf numFmtId="49" fontId="2" fillId="0" borderId="7" xfId="142" applyNumberFormat="1" applyFont="1" applyFill="1" applyBorder="1" applyAlignment="1" applyProtection="1">
      <alignment horizontal="center"/>
      <protection locked="0"/>
    </xf>
    <xf numFmtId="2" fontId="2" fillId="0" borderId="7" xfId="142" applyNumberFormat="1" applyFont="1" applyFill="1" applyBorder="1" applyAlignment="1" applyProtection="1">
      <alignment horizontal="center" vertical="center"/>
      <protection locked="0"/>
    </xf>
    <xf numFmtId="2" fontId="2" fillId="0" borderId="9" xfId="142" applyNumberFormat="1" applyFont="1" applyFill="1" applyBorder="1" applyAlignment="1" applyProtection="1">
      <alignment horizontal="center" vertical="center"/>
      <protection locked="0"/>
    </xf>
    <xf numFmtId="0" fontId="2" fillId="0" borderId="7" xfId="142" applyFont="1" applyFill="1" applyBorder="1" applyAlignment="1" applyProtection="1">
      <alignment horizontal="left" vertical="center"/>
      <protection locked="0"/>
    </xf>
    <xf numFmtId="0" fontId="13" fillId="0" borderId="0" xfId="142" applyFont="1" applyFill="1" applyAlignment="1" applyProtection="1">
      <alignment horizontal="center" vertical="center"/>
      <protection locked="0"/>
    </xf>
    <xf numFmtId="0" fontId="2" fillId="0" borderId="0" xfId="142" applyFont="1" applyFill="1" applyBorder="1"/>
    <xf numFmtId="0" fontId="14" fillId="0" borderId="2" xfId="142" applyFont="1" applyFill="1" applyBorder="1" applyProtection="1">
      <protection locked="0"/>
    </xf>
    <xf numFmtId="186" fontId="6" fillId="0" borderId="2" xfId="142" applyNumberFormat="1" applyFont="1" applyFill="1" applyBorder="1" applyAlignment="1" applyProtection="1">
      <alignment horizontal="right"/>
      <protection locked="0"/>
    </xf>
    <xf numFmtId="0" fontId="5" fillId="0" borderId="2" xfId="142" applyFont="1" applyFill="1" applyBorder="1" applyProtection="1">
      <protection locked="0"/>
    </xf>
    <xf numFmtId="0" fontId="14" fillId="0" borderId="0" xfId="142" applyFont="1" applyFill="1" applyBorder="1" applyProtection="1">
      <protection locked="0"/>
    </xf>
    <xf numFmtId="186" fontId="6" fillId="0" borderId="0" xfId="142" applyNumberFormat="1" applyFont="1" applyFill="1" applyBorder="1" applyAlignment="1" applyProtection="1">
      <alignment horizontal="right"/>
      <protection locked="0"/>
    </xf>
    <xf numFmtId="0" fontId="5" fillId="0" borderId="0" xfId="142" applyFont="1" applyFill="1" applyBorder="1" applyProtection="1">
      <protection locked="0"/>
    </xf>
    <xf numFmtId="0" fontId="14" fillId="0" borderId="3" xfId="142" applyFont="1" applyFill="1" applyBorder="1" applyProtection="1">
      <protection locked="0"/>
    </xf>
    <xf numFmtId="186" fontId="6" fillId="0" borderId="3" xfId="142" applyNumberFormat="1" applyFont="1" applyFill="1" applyBorder="1" applyAlignment="1" applyProtection="1">
      <alignment horizontal="right"/>
      <protection locked="0"/>
    </xf>
    <xf numFmtId="49" fontId="5" fillId="0" borderId="3" xfId="142" applyNumberFormat="1" applyFont="1" applyFill="1" applyBorder="1" applyAlignment="1" applyProtection="1">
      <alignment horizontal="left"/>
      <protection locked="0"/>
    </xf>
    <xf numFmtId="0" fontId="5" fillId="0" borderId="3" xfId="142" applyFont="1" applyFill="1" applyBorder="1" applyProtection="1">
      <protection locked="0"/>
    </xf>
    <xf numFmtId="186" fontId="2" fillId="0" borderId="0" xfId="142" applyNumberFormat="1" applyFont="1" applyFill="1" applyBorder="1" applyAlignment="1">
      <alignment horizontal="right"/>
    </xf>
    <xf numFmtId="0" fontId="3" fillId="0" borderId="0" xfId="142" applyFill="1" applyBorder="1"/>
    <xf numFmtId="0" fontId="3" fillId="0" borderId="0" xfId="142" applyFill="1" applyBorder="1" applyAlignment="1">
      <alignment horizontal="right"/>
    </xf>
    <xf numFmtId="0" fontId="2" fillId="0" borderId="7" xfId="142" applyFont="1" applyFill="1" applyBorder="1" applyAlignment="1" applyProtection="1">
      <alignment horizontal="centerContinuous"/>
    </xf>
    <xf numFmtId="0" fontId="9" fillId="0" borderId="7" xfId="142" applyFont="1" applyFill="1" applyBorder="1" applyAlignment="1" applyProtection="1">
      <alignment horizontal="centerContinuous"/>
    </xf>
    <xf numFmtId="0" fontId="9" fillId="0" borderId="7" xfId="142" applyNumberFormat="1" applyFont="1" applyFill="1" applyBorder="1" applyAlignment="1" applyProtection="1">
      <alignment horizontal="center"/>
    </xf>
    <xf numFmtId="186" fontId="15" fillId="0" borderId="7" xfId="142" applyNumberFormat="1" applyFont="1" applyFill="1" applyBorder="1"/>
    <xf numFmtId="9" fontId="16" fillId="0" borderId="7" xfId="142" applyNumberFormat="1" applyFont="1" applyFill="1" applyBorder="1" applyAlignment="1">
      <alignment horizontal="center"/>
    </xf>
    <xf numFmtId="186" fontId="15" fillId="2" borderId="7" xfId="142" applyNumberFormat="1" applyFont="1" applyFill="1" applyBorder="1"/>
    <xf numFmtId="0" fontId="2" fillId="0" borderId="0" xfId="142" applyFont="1" applyFill="1" applyAlignment="1" applyProtection="1">
      <alignment vertical="center"/>
      <protection locked="0"/>
    </xf>
    <xf numFmtId="0" fontId="14" fillId="0" borderId="2" xfId="142" applyFont="1" applyFill="1" applyBorder="1" applyAlignment="1" applyProtection="1">
      <alignment horizontal="left"/>
      <protection locked="0"/>
    </xf>
    <xf numFmtId="0" fontId="17" fillId="0" borderId="3" xfId="142" applyFont="1" applyFill="1" applyBorder="1"/>
    <xf numFmtId="0" fontId="5" fillId="0" borderId="3" xfId="142" applyFont="1" applyFill="1" applyBorder="1" applyAlignment="1" applyProtection="1">
      <alignment vertical="center"/>
      <protection locked="0"/>
    </xf>
    <xf numFmtId="0" fontId="2" fillId="0" borderId="0" xfId="142" applyFont="1" applyFill="1" applyBorder="1" applyAlignment="1" applyProtection="1">
      <alignment horizontal="right"/>
      <protection locked="0"/>
    </xf>
    <xf numFmtId="0" fontId="2" fillId="0" borderId="0" xfId="142" applyFont="1" applyFill="1" applyBorder="1" applyAlignment="1" applyProtection="1">
      <alignment vertical="center"/>
      <protection locked="0"/>
    </xf>
    <xf numFmtId="0" fontId="2" fillId="0" borderId="12" xfId="142" applyFont="1" applyFill="1" applyBorder="1"/>
    <xf numFmtId="0" fontId="9" fillId="0" borderId="12" xfId="142" applyFont="1" applyFill="1" applyBorder="1" applyAlignment="1" applyProtection="1">
      <alignment vertical="center"/>
    </xf>
    <xf numFmtId="0" fontId="9" fillId="0" borderId="10" xfId="142" applyFont="1" applyFill="1" applyBorder="1" applyAlignment="1" applyProtection="1">
      <alignment horizontal="centerContinuous"/>
    </xf>
    <xf numFmtId="0" fontId="9" fillId="0" borderId="13" xfId="142" applyFont="1" applyFill="1" applyBorder="1" applyAlignment="1" applyProtection="1">
      <alignment vertical="center"/>
    </xf>
    <xf numFmtId="0" fontId="9" fillId="0" borderId="14" xfId="142" applyFont="1" applyFill="1" applyBorder="1" applyProtection="1"/>
    <xf numFmtId="0" fontId="9" fillId="0" borderId="15" xfId="142" applyFont="1" applyFill="1" applyBorder="1" applyAlignment="1" applyProtection="1">
      <alignment vertical="center"/>
    </xf>
    <xf numFmtId="0" fontId="9" fillId="0" borderId="16" xfId="142" applyFont="1" applyFill="1" applyBorder="1" applyProtection="1"/>
    <xf numFmtId="186" fontId="18" fillId="0" borderId="7" xfId="142" applyNumberFormat="1" applyFont="1" applyFill="1" applyBorder="1" applyAlignment="1">
      <alignment horizontal="center"/>
    </xf>
    <xf numFmtId="0" fontId="2" fillId="0" borderId="11" xfId="142" applyFont="1" applyFill="1" applyBorder="1" applyAlignment="1" applyProtection="1">
      <alignment vertical="center" wrapText="1"/>
      <protection locked="0"/>
    </xf>
    <xf numFmtId="0" fontId="2" fillId="0" borderId="7" xfId="142" applyFont="1" applyFill="1" applyBorder="1" applyAlignment="1" applyProtection="1">
      <alignment wrapText="1"/>
      <protection locked="0"/>
    </xf>
    <xf numFmtId="0" fontId="2" fillId="0" borderId="17" xfId="142" applyFont="1" applyFill="1" applyBorder="1" applyAlignment="1" applyProtection="1">
      <alignment vertical="center" wrapText="1"/>
      <protection locked="0"/>
    </xf>
    <xf numFmtId="0" fontId="2" fillId="0" borderId="18" xfId="142" applyFont="1" applyFill="1" applyBorder="1" applyAlignment="1" applyProtection="1">
      <alignment vertical="center" wrapText="1"/>
      <protection locked="0"/>
    </xf>
    <xf numFmtId="0" fontId="2" fillId="0" borderId="10" xfId="142" applyFont="1" applyFill="1" applyBorder="1" applyAlignment="1" applyProtection="1">
      <alignment vertical="center" wrapText="1"/>
      <protection locked="0"/>
    </xf>
    <xf numFmtId="173" fontId="15" fillId="0" borderId="10" xfId="142" applyNumberFormat="1" applyFont="1" applyFill="1" applyBorder="1" applyAlignment="1" applyProtection="1">
      <alignment vertical="center"/>
      <protection locked="0"/>
    </xf>
    <xf numFmtId="173" fontId="15" fillId="0" borderId="7" xfId="142" applyNumberFormat="1" applyFont="1" applyFill="1" applyBorder="1" applyAlignment="1" applyProtection="1">
      <alignment horizontal="center"/>
      <protection locked="0"/>
    </xf>
    <xf numFmtId="0" fontId="3" fillId="0" borderId="0" xfId="142" applyFill="1" applyAlignment="1" applyProtection="1">
      <alignment vertical="center"/>
      <protection locked="0"/>
    </xf>
    <xf numFmtId="0" fontId="9" fillId="0" borderId="7" xfId="142" quotePrefix="1" applyFont="1" applyFill="1" applyBorder="1" applyAlignment="1" applyProtection="1">
      <alignment horizontal="center"/>
    </xf>
    <xf numFmtId="0" fontId="5" fillId="0" borderId="3" xfId="142" applyFont="1" applyFill="1" applyBorder="1" applyAlignment="1" applyProtection="1">
      <alignment horizontal="left"/>
      <protection locked="0"/>
    </xf>
    <xf numFmtId="0" fontId="5" fillId="0" borderId="2" xfId="142" applyFont="1" applyFill="1" applyBorder="1" applyAlignment="1" applyProtection="1">
      <alignment horizontal="left"/>
      <protection locked="0"/>
    </xf>
    <xf numFmtId="0" fontId="5" fillId="0" borderId="0" xfId="142" applyFont="1" applyFill="1" applyBorder="1" applyAlignment="1" applyProtection="1">
      <alignment horizontal="left"/>
      <protection locked="0"/>
    </xf>
    <xf numFmtId="0" fontId="5" fillId="0" borderId="3" xfId="142" quotePrefix="1" applyFont="1" applyFill="1" applyBorder="1" applyAlignment="1" applyProtection="1">
      <alignment horizontal="left"/>
      <protection locked="0"/>
    </xf>
    <xf numFmtId="0" fontId="7" fillId="0" borderId="6" xfId="142" applyFont="1" applyFill="1" applyBorder="1" applyAlignment="1" applyProtection="1">
      <alignment horizontal="center"/>
      <protection locked="0"/>
    </xf>
    <xf numFmtId="0" fontId="7" fillId="0" borderId="2" xfId="142" applyFont="1" applyFill="1" applyBorder="1" applyAlignment="1" applyProtection="1">
      <alignment horizontal="center"/>
      <protection locked="0"/>
    </xf>
    <xf numFmtId="0" fontId="9" fillId="0" borderId="7" xfId="142" applyFont="1" applyFill="1" applyBorder="1" applyAlignment="1" applyProtection="1">
      <alignment horizontal="center"/>
    </xf>
    <xf numFmtId="0" fontId="9" fillId="0" borderId="11" xfId="142" applyFont="1" applyFill="1" applyBorder="1" applyAlignment="1" applyProtection="1">
      <alignment horizontal="center"/>
    </xf>
    <xf numFmtId="0" fontId="9" fillId="0" borderId="8" xfId="142" applyFont="1" applyFill="1" applyBorder="1" applyAlignment="1" applyProtection="1">
      <alignment horizontal="center" vertical="center"/>
    </xf>
    <xf numFmtId="0" fontId="9" fillId="0" borderId="12" xfId="142" applyFont="1" applyFill="1" applyBorder="1" applyAlignment="1" applyProtection="1">
      <alignment horizontal="center" vertical="center"/>
    </xf>
  </cellXfs>
  <cellStyles count="499">
    <cellStyle name="_0036- 技术课表格记录" xfId="53" xr:uid="{00000000-0005-0000-0000-000057000000}"/>
    <cellStyle name="_0036- 技术课表格记录_品质部表单1" xfId="60" xr:uid="{00000000-0005-0000-0000-000062000000}"/>
    <cellStyle name="_14739-31-001APQP（1）" xfId="74" xr:uid="{00000000-0005-0000-0000-000078000000}"/>
    <cellStyle name="_14739-31-001APQP（1）_品质部表单1" xfId="55" xr:uid="{00000000-0005-0000-0000-00005B000000}"/>
    <cellStyle name="_14739-31-001APQP(2)" xfId="47" xr:uid="{00000000-0005-0000-0000-00004C000000}"/>
    <cellStyle name="_14739-31-001APQP(2)_品质部表单1" xfId="35" xr:uid="{00000000-0005-0000-0000-00003A000000}"/>
    <cellStyle name="_14739-31-001APQP(3)" xfId="34" xr:uid="{00000000-0005-0000-0000-000038000000}"/>
    <cellStyle name="_14739-31-001APQP(3)_品质部表单1" xfId="63" xr:uid="{00000000-0005-0000-0000-000067000000}"/>
    <cellStyle name="_14739-31-002APQP(1)" xfId="77" xr:uid="{00000000-0005-0000-0000-00007B000000}"/>
    <cellStyle name="_14739-31-002APQP(1)_品质部表单1" xfId="67" xr:uid="{00000000-0005-0000-0000-00006F000000}"/>
    <cellStyle name="_14739-31-002APQP(2)" xfId="3" xr:uid="{00000000-0005-0000-0000-000003000000}"/>
    <cellStyle name="_14739-31-002APQP(2)_14739-31-001APQP(2)" xfId="69" xr:uid="{00000000-0005-0000-0000-000072000000}"/>
    <cellStyle name="_14739-31-002APQP(2)_14739-31-001APQP(2)_品质部表单1" xfId="44" xr:uid="{00000000-0005-0000-0000-000048000000}"/>
    <cellStyle name="_14739-31-002APQP(2)_14739-31-002PPAP" xfId="4" xr:uid="{00000000-0005-0000-0000-000005000000}"/>
    <cellStyle name="_14739-31-002APQP(2)_14739-31-002PPAP_品质部表单1" xfId="72" xr:uid="{00000000-0005-0000-0000-000076000000}"/>
    <cellStyle name="_14739-31-002APQP(2)_556-40-001APQP(2)" xfId="46" xr:uid="{00000000-0005-0000-0000-00004B000000}"/>
    <cellStyle name="_14739-31-002APQP(2)_556-40-001APQP(2)_品质部表单1" xfId="38" xr:uid="{00000000-0005-0000-0000-00003E000000}"/>
    <cellStyle name="_14739-31-002APQP(2)_556-40-001PPAP" xfId="78" xr:uid="{00000000-0005-0000-0000-00007C000000}"/>
    <cellStyle name="_14739-31-002APQP(2)_556-40-001PPAP_品质部表单1" xfId="80" xr:uid="{00000000-0005-0000-0000-00007E000000}"/>
    <cellStyle name="_14739-31-002APQP(2)_品质部表单1" xfId="81" xr:uid="{00000000-0005-0000-0000-00007F000000}"/>
    <cellStyle name="_14739-31-002APQP(3)" xfId="86" xr:uid="{00000000-0005-0000-0000-000084000000}"/>
    <cellStyle name="_14739-31-002APQP(3)_品质部表单1" xfId="89" xr:uid="{00000000-0005-0000-0000-000087000000}"/>
    <cellStyle name="_14739-31-002PPAP" xfId="92" xr:uid="{00000000-0005-0000-0000-00008A000000}"/>
    <cellStyle name="_14739-31-002PPAP_品质部表单1" xfId="94" xr:uid="{00000000-0005-0000-0000-00008C000000}"/>
    <cellStyle name="_14739-31-002作业指导书" xfId="96" xr:uid="{00000000-0005-0000-0000-00008E000000}"/>
    <cellStyle name="_14739-31-002作业指导书_品质部表单1" xfId="99" xr:uid="{00000000-0005-0000-0000-000091000000}"/>
    <cellStyle name="_556-40-001APQP(1)" xfId="9" xr:uid="{00000000-0005-0000-0000-00000E000000}"/>
    <cellStyle name="_556-40-001APQP(1)_品质部表单1" xfId="101" xr:uid="{00000000-0005-0000-0000-000093000000}"/>
    <cellStyle name="_556-40-001APQP(2)" xfId="103" xr:uid="{00000000-0005-0000-0000-000095000000}"/>
    <cellStyle name="_556-40-001APQP(2)_品质部表单1" xfId="105" xr:uid="{00000000-0005-0000-0000-000097000000}"/>
    <cellStyle name="_556-40-001PPAP" xfId="107" xr:uid="{00000000-0005-0000-0000-000099000000}"/>
    <cellStyle name="_556-40-001PPAP_品质部表单1" xfId="108" xr:uid="{00000000-0005-0000-0000-00009A000000}"/>
    <cellStyle name="_703-45-001APQP(1)" xfId="59" xr:uid="{00000000-0005-0000-0000-000061000000}"/>
    <cellStyle name="_703-45-001APQP(1)_品质部表单1" xfId="111" xr:uid="{00000000-0005-0000-0000-00009D000000}"/>
    <cellStyle name="_703-45-001PPAP" xfId="112" xr:uid="{00000000-0005-0000-0000-00009E000000}"/>
    <cellStyle name="_703-45-001PPAP_品质部表单1" xfId="115" xr:uid="{00000000-0005-0000-0000-0000A1000000}"/>
    <cellStyle name="_9789BOM表" xfId="118" xr:uid="{00000000-0005-0000-0000-0000A4000000}"/>
    <cellStyle name="_9789BOM表_品质部表单1" xfId="120" xr:uid="{00000000-0005-0000-0000-0000A6000000}"/>
    <cellStyle name="_A088B-10格吸塑盒（金利昌）" xfId="71" xr:uid="{00000000-0005-0000-0000-000075000000}"/>
    <cellStyle name="_A088B-10格吸塑盒（金利昌）_品质部表单1" xfId="122" xr:uid="{00000000-0005-0000-0000-0000A8000000}"/>
    <cellStyle name="_APQP 标准化格式" xfId="123" xr:uid="{00000000-0005-0000-0000-0000A9000000}"/>
    <cellStyle name="_APQP 标准化格式_品质部表单1" xfId="125" xr:uid="{00000000-0005-0000-0000-0000AB000000}"/>
    <cellStyle name="_BOM" xfId="127" xr:uid="{00000000-0005-0000-0000-0000AD000000}"/>
    <cellStyle name="_BOM_品质部表单1" xfId="41" xr:uid="{00000000-0005-0000-0000-000041000000}"/>
    <cellStyle name="_BOM表" xfId="84" xr:uid="{00000000-0005-0000-0000-000082000000}"/>
    <cellStyle name="_BOM表_品质部表单1" xfId="88" xr:uid="{00000000-0005-0000-0000-000086000000}"/>
    <cellStyle name="_CTS项目703-45-001.APQP" xfId="128" xr:uid="{00000000-0005-0000-0000-0000AE000000}"/>
    <cellStyle name="_CTS项目703-45-001.APQP_品质部表单1" xfId="131" xr:uid="{00000000-0005-0000-0000-0000B1000000}"/>
    <cellStyle name="_Drafting Note about New Product新产品立项书" xfId="119" xr:uid="{00000000-0005-0000-0000-0000A5000000}"/>
    <cellStyle name="_Drafting Note about New Product新产品立项书_品质部表单1" xfId="133" xr:uid="{00000000-0005-0000-0000-0000B3000000}"/>
    <cellStyle name="_ET_STYLE_NoName_00_" xfId="134" xr:uid="{00000000-0005-0000-0000-0000B4000000}"/>
    <cellStyle name="_ET_STYLE_NoName_00__7S问题项改善报告" xfId="16" xr:uid="{00000000-0005-0000-0000-00001A000000}"/>
    <cellStyle name="_Factory Disposal Map场地平面布置图" xfId="136" xr:uid="{00000000-0005-0000-0000-0000B6000000}"/>
    <cellStyle name="_Factory Disposal Map场地平面布置图_品质部表单1" xfId="5" xr:uid="{00000000-0005-0000-0000-000006000000}"/>
    <cellStyle name="_GM9789APQP" xfId="138" xr:uid="{00000000-0005-0000-0000-0000B8000000}"/>
    <cellStyle name="_GM9789APQP_品质部表单1" xfId="144" xr:uid="{00000000-0005-0000-0000-0000BE000000}"/>
    <cellStyle name="_GM9789APQP（1）" xfId="139" xr:uid="{00000000-0005-0000-0000-0000B9000000}"/>
    <cellStyle name="_GM9789APQP（1）_品质部表单1" xfId="140" xr:uid="{00000000-0005-0000-0000-0000BA000000}"/>
    <cellStyle name="_GM9789APQP(2)" xfId="141" xr:uid="{00000000-0005-0000-0000-0000BB000000}"/>
    <cellStyle name="_GM9789APQP(2)_品质部表单1" xfId="143" xr:uid="{00000000-0005-0000-0000-0000BD000000}"/>
    <cellStyle name="_GMEFM-ISO-0031-A 产品环保符合性确认表2008-11-26" xfId="145" xr:uid="{00000000-0005-0000-0000-0000BF000000}"/>
    <cellStyle name="_GMEFM-ISO-0037-A.XXXX年XX部-课管理评审报告2008-10-22" xfId="146" xr:uid="{00000000-0005-0000-0000-0000C0000000}"/>
    <cellStyle name="_ISO表格记录" xfId="150" xr:uid="{00000000-0005-0000-0000-0000C4000000}"/>
    <cellStyle name="_ISO表格记录_品质部表单1" xfId="151" xr:uid="{00000000-0005-0000-0000-0000C5000000}"/>
    <cellStyle name="_KOD054 GRR" xfId="153" xr:uid="{00000000-0005-0000-0000-0000C7000000}"/>
    <cellStyle name="_KOD090  GRR" xfId="154" xr:uid="{00000000-0005-0000-0000-0000C8000000}"/>
    <cellStyle name="_KOD090-100R01.2 LOWER PAPER GUIDE FAI DV3 06.08.08" xfId="147" xr:uid="{00000000-0005-0000-0000-0000C1000000}"/>
    <cellStyle name="_KOD090-100R01.2 LOWER PAPER GUIDE FAI DV3 06.08.08_品质部表单1" xfId="22" xr:uid="{00000000-0005-0000-0000-000022000000}"/>
    <cellStyle name="_产品和过程特殊特性的初始清单" xfId="156" xr:uid="{00000000-0005-0000-0000-0000CA000000}"/>
    <cellStyle name="_产品和过程特殊特性的初始清单_品质部表单1" xfId="91" xr:uid="{00000000-0005-0000-0000-000089000000}"/>
    <cellStyle name="_关键设备易损件清单" xfId="163" xr:uid="{00000000-0005-0000-0000-0000D1000000}"/>
    <cellStyle name="_关键设备易损件清单_品质部表单1" xfId="165" xr:uid="{00000000-0005-0000-0000-0000D3000000}"/>
    <cellStyle name="_分供应商清单-受控空表 (2)" xfId="157" xr:uid="{00000000-0005-0000-0000-0000CB000000}"/>
    <cellStyle name="_分供应商清单-受控空表 (2)_品质部表单1" xfId="158" xr:uid="{00000000-0005-0000-0000-0000CC000000}"/>
    <cellStyle name="_客户样板批准报告" xfId="130" xr:uid="{00000000-0005-0000-0000-0000B0000000}"/>
    <cellStyle name="_客户设计检讨回应" xfId="166" xr:uid="{00000000-0005-0000-0000-0000D4000000}"/>
    <cellStyle name="_工模加工设备清单" xfId="159" xr:uid="{00000000-0005-0000-0000-0000CD000000}"/>
    <cellStyle name="_工模加工设备清单_品质部表单1" xfId="162" xr:uid="{00000000-0005-0000-0000-0000D0000000}"/>
    <cellStyle name="_工程样板提交检查表" xfId="116" xr:uid="{00000000-0005-0000-0000-0000A2000000}"/>
    <cellStyle name="_干燥周期检查表" xfId="65" xr:uid="{00000000-0005-0000-0000-000069000000}"/>
    <cellStyle name="_承认文" xfId="58" xr:uid="{00000000-0005-0000-0000-000060000000}"/>
    <cellStyle name="_承认文_品质部表单1" xfId="110" xr:uid="{00000000-0005-0000-0000-00009C000000}"/>
    <cellStyle name="_料房设备周点检表" xfId="167" xr:uid="{00000000-0005-0000-0000-0000D5000000}"/>
    <cellStyle name="_新增设备、工装和模具配置计划" xfId="68" xr:uid="{00000000-0005-0000-0000-000071000000}"/>
    <cellStyle name="_注塑课表格记录2009-6" xfId="124" xr:uid="{00000000-0005-0000-0000-0000AA000000}"/>
    <cellStyle name="_注塑部表单" xfId="175" xr:uid="{00000000-0005-0000-0000-0000DD000000}"/>
    <cellStyle name="_测量仪器点检表" xfId="155" xr:uid="{00000000-0005-0000-0000-0000C9000000}"/>
    <cellStyle name="_特殊特性清单 (2)" xfId="168" xr:uid="{00000000-0005-0000-0000-0000D6000000}"/>
    <cellStyle name="_特殊特性清单 (2)_品质部表单1" xfId="170" xr:uid="{00000000-0005-0000-0000-0000D8000000}"/>
    <cellStyle name="_特殊特性清单1" xfId="173" xr:uid="{00000000-0005-0000-0000-0000DB000000}"/>
    <cellStyle name="_特殊特性清单1_品质部表单1" xfId="135" xr:uid="{00000000-0005-0000-0000-0000B5000000}"/>
    <cellStyle name="¤@¯ë_plastic_1" xfId="176" xr:uid="{00000000-0005-0000-0000-0000DE000000}"/>
    <cellStyle name="0,0_x000d__x000a_NA_x000d__x000a_" xfId="30" xr:uid="{00000000-0005-0000-0000-00002F000000}"/>
    <cellStyle name="20% - 强调文字颜色 1 2" xfId="177" xr:uid="{00000000-0005-0000-0000-0000DF000000}"/>
    <cellStyle name="20% - 强调文字颜色 2 2" xfId="179" xr:uid="{00000000-0005-0000-0000-0000E1000000}"/>
    <cellStyle name="20% - 强调文字颜色 3 2" xfId="180" xr:uid="{00000000-0005-0000-0000-0000E2000000}"/>
    <cellStyle name="20% - 强调文字颜色 4 2" xfId="183" xr:uid="{00000000-0005-0000-0000-0000E5000000}"/>
    <cellStyle name="20% - 强调文字颜色 5 2" xfId="185" xr:uid="{00000000-0005-0000-0000-0000E7000000}"/>
    <cellStyle name="20% - 强调文字颜色 6 2" xfId="186" xr:uid="{00000000-0005-0000-0000-0000E8000000}"/>
    <cellStyle name="40% - 强调文字颜色 1 2" xfId="187" xr:uid="{00000000-0005-0000-0000-0000E9000000}"/>
    <cellStyle name="40% - 强调文字颜色 2 2" xfId="190" xr:uid="{00000000-0005-0000-0000-0000EC000000}"/>
    <cellStyle name="40% - 强调文字颜色 3 2" xfId="192" xr:uid="{00000000-0005-0000-0000-0000EE000000}"/>
    <cellStyle name="40% - 强调文字颜色 4 2" xfId="37" xr:uid="{00000000-0005-0000-0000-00003D000000}"/>
    <cellStyle name="40% - 强调文字颜色 5 2" xfId="194" xr:uid="{00000000-0005-0000-0000-0000F0000000}"/>
    <cellStyle name="40% - 强调文字颜色 6 2" xfId="148" xr:uid="{00000000-0005-0000-0000-0000C2000000}"/>
    <cellStyle name="60% - 强调文字颜色 1 2" xfId="195" xr:uid="{00000000-0005-0000-0000-0000F1000000}"/>
    <cellStyle name="60% - 强调文字颜色 2 2" xfId="174" xr:uid="{00000000-0005-0000-0000-0000DC000000}"/>
    <cellStyle name="60% - 强调文字颜色 3 2" xfId="196" xr:uid="{00000000-0005-0000-0000-0000F2000000}"/>
    <cellStyle name="60% - 强调文字颜色 4 2" xfId="197" xr:uid="{00000000-0005-0000-0000-0000F3000000}"/>
    <cellStyle name="60% - 强调文字颜色 5 2" xfId="98" xr:uid="{00000000-0005-0000-0000-000090000000}"/>
    <cellStyle name="60% - 强调文字颜色 6 2" xfId="198" xr:uid="{00000000-0005-0000-0000-0000F4000000}"/>
    <cellStyle name="A4 Small 210 x 297 mm" xfId="201" xr:uid="{00000000-0005-0000-0000-0000F7000000}"/>
    <cellStyle name="Actual Date" xfId="202" xr:uid="{00000000-0005-0000-0000-0000F8000000}"/>
    <cellStyle name="args.style" xfId="7" xr:uid="{00000000-0005-0000-0000-00000B000000}"/>
    <cellStyle name="Calc Currency (0)" xfId="204" xr:uid="{00000000-0005-0000-0000-0000FA000000}"/>
    <cellStyle name="Calc Currency (2)" xfId="207" xr:uid="{00000000-0005-0000-0000-0000FD000000}"/>
    <cellStyle name="Calc Percent (0)" xfId="208" xr:uid="{00000000-0005-0000-0000-0000FE000000}"/>
    <cellStyle name="Calc Percent (1)" xfId="11" xr:uid="{00000000-0005-0000-0000-000010000000}"/>
    <cellStyle name="Calc Percent (2)" xfId="102" xr:uid="{00000000-0005-0000-0000-000094000000}"/>
    <cellStyle name="Calc Units (0)" xfId="28" xr:uid="{00000000-0005-0000-0000-00002B000000}"/>
    <cellStyle name="Calc Units (1)" xfId="210" xr:uid="{00000000-0005-0000-0000-000000010000}"/>
    <cellStyle name="Calc Units (2)" xfId="211" xr:uid="{00000000-0005-0000-0000-000001010000}"/>
    <cellStyle name="category" xfId="213" xr:uid="{00000000-0005-0000-0000-000003010000}"/>
    <cellStyle name="Comma [00]" xfId="214" xr:uid="{00000000-0005-0000-0000-000004010000}"/>
    <cellStyle name="Comma 2" xfId="21" xr:uid="{00000000-0005-0000-0000-000021000000}"/>
    <cellStyle name="comma zerodec" xfId="215" xr:uid="{00000000-0005-0000-0000-000005010000}"/>
    <cellStyle name="Copied" xfId="216" xr:uid="{00000000-0005-0000-0000-000006010000}"/>
    <cellStyle name="Currency [00]" xfId="218" xr:uid="{00000000-0005-0000-0000-000008010000}"/>
    <cellStyle name="DATE" xfId="219" xr:uid="{00000000-0005-0000-0000-000009010000}"/>
    <cellStyle name="Date Short" xfId="220" xr:uid="{00000000-0005-0000-0000-00000A010000}"/>
    <cellStyle name="DELTA" xfId="223" xr:uid="{00000000-0005-0000-0000-00000D010000}"/>
    <cellStyle name="Enter Currency (0)" xfId="224" xr:uid="{00000000-0005-0000-0000-00000E010000}"/>
    <cellStyle name="Enter Currency (2)" xfId="226" xr:uid="{00000000-0005-0000-0000-000010010000}"/>
    <cellStyle name="Enter Units (0)" xfId="43" xr:uid="{00000000-0005-0000-0000-000046000000}"/>
    <cellStyle name="Enter Units (1)" xfId="227" xr:uid="{00000000-0005-0000-0000-000011010000}"/>
    <cellStyle name="Enter Units (2)" xfId="228" xr:uid="{00000000-0005-0000-0000-000012010000}"/>
    <cellStyle name="Grey" xfId="230" xr:uid="{00000000-0005-0000-0000-000014010000}"/>
    <cellStyle name="Header1" xfId="137" xr:uid="{00000000-0005-0000-0000-0000B7000000}"/>
    <cellStyle name="Header2" xfId="232" xr:uid="{00000000-0005-0000-0000-000016010000}"/>
    <cellStyle name="Hyperlink" xfId="8" xr:uid="{00000000-0005-0000-0000-00000C000000}"/>
    <cellStyle name="Input [yellow]" xfId="233" xr:uid="{00000000-0005-0000-0000-000017010000}"/>
    <cellStyle name="Link Currency (0)" xfId="236" xr:uid="{00000000-0005-0000-0000-00001A010000}"/>
    <cellStyle name="Link Currency (2)" xfId="240" xr:uid="{00000000-0005-0000-0000-00001E010000}"/>
    <cellStyle name="Link Units (0)" xfId="50" xr:uid="{00000000-0005-0000-0000-000052000000}"/>
    <cellStyle name="Link Units (1)" xfId="40" xr:uid="{00000000-0005-0000-0000-000040000000}"/>
    <cellStyle name="Link Units (2)" xfId="242" xr:uid="{00000000-0005-0000-0000-000020010000}"/>
    <cellStyle name="Moeda [0]_kinslayer" xfId="243" xr:uid="{00000000-0005-0000-0000-000021010000}"/>
    <cellStyle name="Moeda_kinslayer" xfId="244" xr:uid="{00000000-0005-0000-0000-000022010000}"/>
    <cellStyle name="Neutral 2" xfId="199" xr:uid="{00000000-0005-0000-0000-0000F5000000}"/>
    <cellStyle name="Neutral 2 2" xfId="15" xr:uid="{00000000-0005-0000-0000-000019000000}"/>
    <cellStyle name="Neutral 2 3" xfId="246" xr:uid="{00000000-0005-0000-0000-000024010000}"/>
    <cellStyle name="Neutral 3" xfId="42" xr:uid="{00000000-0005-0000-0000-000045000000}"/>
    <cellStyle name="no dec" xfId="247" xr:uid="{00000000-0005-0000-0000-000025010000}"/>
    <cellStyle name="Normal" xfId="0" builtinId="0"/>
    <cellStyle name="Normal - Style1" xfId="90" xr:uid="{00000000-0005-0000-0000-000088000000}"/>
    <cellStyle name="Normal 2" xfId="249" xr:uid="{00000000-0005-0000-0000-000027010000}"/>
    <cellStyle name="Normal 2 10" xfId="250" xr:uid="{00000000-0005-0000-0000-000028010000}"/>
    <cellStyle name="Normal 2 11" xfId="152" xr:uid="{00000000-0005-0000-0000-0000C6000000}"/>
    <cellStyle name="Normal 2 12" xfId="251" xr:uid="{00000000-0005-0000-0000-000029010000}"/>
    <cellStyle name="Normal 2 13" xfId="142" xr:uid="{00000000-0005-0000-0000-0000BC000000}"/>
    <cellStyle name="Normal 2 13 2" xfId="254" xr:uid="{00000000-0005-0000-0000-00002C010000}"/>
    <cellStyle name="Normal 2 2" xfId="255" xr:uid="{00000000-0005-0000-0000-00002D010000}"/>
    <cellStyle name="Normal 2 2 2" xfId="259" xr:uid="{00000000-0005-0000-0000-000031010000}"/>
    <cellStyle name="Normal 2 2 2 16" xfId="260" xr:uid="{00000000-0005-0000-0000-000032010000}"/>
    <cellStyle name="Normal 2 3" xfId="261" xr:uid="{00000000-0005-0000-0000-000033010000}"/>
    <cellStyle name="Normal 2 4" xfId="262" xr:uid="{00000000-0005-0000-0000-000034010000}"/>
    <cellStyle name="Normal 2 5" xfId="263" xr:uid="{00000000-0005-0000-0000-000035010000}"/>
    <cellStyle name="Normal 2 6" xfId="265" xr:uid="{00000000-0005-0000-0000-000037010000}"/>
    <cellStyle name="Normal 2 6 2" xfId="266" xr:uid="{00000000-0005-0000-0000-000038010000}"/>
    <cellStyle name="Normal 2 6 3" xfId="267" xr:uid="{00000000-0005-0000-0000-000039010000}"/>
    <cellStyle name="Normal 2 6 4" xfId="268" xr:uid="{00000000-0005-0000-0000-00003A010000}"/>
    <cellStyle name="Normal 2 6 5" xfId="269" xr:uid="{00000000-0005-0000-0000-00003B010000}"/>
    <cellStyle name="Normal 2 6 6" xfId="270" xr:uid="{00000000-0005-0000-0000-00003C010000}"/>
    <cellStyle name="Normal 2 6 7" xfId="271" xr:uid="{00000000-0005-0000-0000-00003D010000}"/>
    <cellStyle name="Normal 2 6 8" xfId="272" xr:uid="{00000000-0005-0000-0000-00003E010000}"/>
    <cellStyle name="Normal 2 6 9" xfId="273" xr:uid="{00000000-0005-0000-0000-00003F010000}"/>
    <cellStyle name="Normal 2 7" xfId="12" xr:uid="{00000000-0005-0000-0000-000013000000}"/>
    <cellStyle name="Normal 2 7 2" xfId="275" xr:uid="{00000000-0005-0000-0000-000041010000}"/>
    <cellStyle name="Normal 2 7 3" xfId="277" xr:uid="{00000000-0005-0000-0000-000043010000}"/>
    <cellStyle name="Normal 2 7 4" xfId="280" xr:uid="{00000000-0005-0000-0000-000046010000}"/>
    <cellStyle name="Normal 2 7 5" xfId="282" xr:uid="{00000000-0005-0000-0000-000048010000}"/>
    <cellStyle name="Normal 2 7 6" xfId="29" xr:uid="{00000000-0005-0000-0000-00002D000000}"/>
    <cellStyle name="Normal 2 7 7" xfId="31" xr:uid="{00000000-0005-0000-0000-000030000000}"/>
    <cellStyle name="Normal 2 7 8" xfId="32" xr:uid="{00000000-0005-0000-0000-000033000000}"/>
    <cellStyle name="Normal 2 7 9" xfId="20" xr:uid="{00000000-0005-0000-0000-000020000000}"/>
    <cellStyle name="Normal 2 8" xfId="283" xr:uid="{00000000-0005-0000-0000-000049010000}"/>
    <cellStyle name="Normal 2 8 2" xfId="85" xr:uid="{00000000-0005-0000-0000-000083000000}"/>
    <cellStyle name="Normal 2 8 3" xfId="286" xr:uid="{00000000-0005-0000-0000-00004C010000}"/>
    <cellStyle name="Normal 2 8 4" xfId="289" xr:uid="{00000000-0005-0000-0000-00004F010000}"/>
    <cellStyle name="Normal 2 8 5" xfId="290" xr:uid="{00000000-0005-0000-0000-000050010000}"/>
    <cellStyle name="Normal 2 8 6" xfId="291" xr:uid="{00000000-0005-0000-0000-000051010000}"/>
    <cellStyle name="Normal 2 8 7" xfId="292" xr:uid="{00000000-0005-0000-0000-000052010000}"/>
    <cellStyle name="Normal 2 8 8" xfId="293" xr:uid="{00000000-0005-0000-0000-000053010000}"/>
    <cellStyle name="Normal 2 8 9" xfId="294" xr:uid="{00000000-0005-0000-0000-000054010000}"/>
    <cellStyle name="Normal 2 9" xfId="297" xr:uid="{00000000-0005-0000-0000-000057010000}"/>
    <cellStyle name="Normal 2 9 2" xfId="132" xr:uid="{00000000-0005-0000-0000-0000B2000000}"/>
    <cellStyle name="Normal 2 9 3" xfId="298" xr:uid="{00000000-0005-0000-0000-000058010000}"/>
    <cellStyle name="Normal 2 9 4" xfId="6" xr:uid="{00000000-0005-0000-0000-000008000000}"/>
    <cellStyle name="Normal 2 9 5" xfId="299" xr:uid="{00000000-0005-0000-0000-000059010000}"/>
    <cellStyle name="Normal 2 9 6" xfId="300" xr:uid="{00000000-0005-0000-0000-00005A010000}"/>
    <cellStyle name="Normal 2 9 7" xfId="301" xr:uid="{00000000-0005-0000-0000-00005B010000}"/>
    <cellStyle name="Normal 2 9 8" xfId="121" xr:uid="{00000000-0005-0000-0000-0000A7000000}"/>
    <cellStyle name="Normal 2 9 9" xfId="303" xr:uid="{00000000-0005-0000-0000-00005D010000}"/>
    <cellStyle name="Normal 3" xfId="305" xr:uid="{00000000-0005-0000-0000-00005F010000}"/>
    <cellStyle name="Normal 3 2" xfId="307" xr:uid="{00000000-0005-0000-0000-000061010000}"/>
    <cellStyle name="Œ…‹æØ‚è [0.00]_laroux" xfId="308" xr:uid="{00000000-0005-0000-0000-000062010000}"/>
    <cellStyle name="Œ…‹æØ‚è_laroux" xfId="14" xr:uid="{00000000-0005-0000-0000-000016000000}"/>
    <cellStyle name="Percent [0]" xfId="310" xr:uid="{00000000-0005-0000-0000-000064010000}"/>
    <cellStyle name="Percent [00]" xfId="311" xr:uid="{00000000-0005-0000-0000-000065010000}"/>
    <cellStyle name="Percent [2]" xfId="52" xr:uid="{00000000-0005-0000-0000-000056000000}"/>
    <cellStyle name="Percent 2" xfId="312" xr:uid="{00000000-0005-0000-0000-000066010000}"/>
    <cellStyle name="PrePop Currency (0)" xfId="117" xr:uid="{00000000-0005-0000-0000-0000A3000000}"/>
    <cellStyle name="PrePop Currency (2)" xfId="313" xr:uid="{00000000-0005-0000-0000-000067010000}"/>
    <cellStyle name="PrePop Units (0)" xfId="315" xr:uid="{00000000-0005-0000-0000-000069010000}"/>
    <cellStyle name="PrePop Units (1)" xfId="19" xr:uid="{00000000-0005-0000-0000-00001E000000}"/>
    <cellStyle name="PrePop Units (2)" xfId="316" xr:uid="{00000000-0005-0000-0000-00006A010000}"/>
    <cellStyle name="RowLevel_0" xfId="317" xr:uid="{00000000-0005-0000-0000-00006B010000}"/>
    <cellStyle name="Text Indent A" xfId="245" xr:uid="{00000000-0005-0000-0000-000023010000}"/>
    <cellStyle name="Text Indent B" xfId="83" xr:uid="{00000000-0005-0000-0000-000081000000}"/>
    <cellStyle name="Text Indent C" xfId="285" xr:uid="{00000000-0005-0000-0000-00004B010000}"/>
    <cellStyle name="표준_HD-802생기0423_1_802Hpl" xfId="498" xr:uid="{00000000-0005-0000-0000-000020020000}"/>
    <cellStyle name="一般 2" xfId="496" xr:uid="{00000000-0005-0000-0000-00001E020000}"/>
    <cellStyle name="一般_(B167)-(CAP_7)-Cpk-0427-WSJF1202402" xfId="497" xr:uid="{00000000-0005-0000-0000-00001F020000}"/>
    <cellStyle name="千分位_981117b" xfId="484" xr:uid="{00000000-0005-0000-0000-000012020000}"/>
    <cellStyle name="千分位[0]_981117b" xfId="483" xr:uid="{00000000-0005-0000-0000-000011020000}"/>
    <cellStyle name="好 2" xfId="447" xr:uid="{00000000-0005-0000-0000-0000ED010000}"/>
    <cellStyle name="好_0004-0005.SAP付款申请表和采购申请表A 2007-12-21" xfId="448" xr:uid="{00000000-0005-0000-0000-0000EE010000}"/>
    <cellStyle name="好_0004-0005.SAP付款申请表和采购申请表A 2007-12-21_7S问题项改善报告" xfId="129" xr:uid="{00000000-0005-0000-0000-0000AF000000}"/>
    <cellStyle name="好_0004-0005.SAP付款申请表和采购申请表A 2007-12-21_品质一二课整合的表单20090421" xfId="57" xr:uid="{00000000-0005-0000-0000-00005E000000}"/>
    <cellStyle name="好_0004-0005.SAP付款申请表和采购申请表A 2007-12-21_品质一二课整合的表单20090421_7S问题项改善报告" xfId="62" xr:uid="{00000000-0005-0000-0000-000064000000}"/>
    <cellStyle name="好_0004-0005.SAP付款申请表和采购申请表A 2007-12-21_品质一二课整合的表单20090421_品质课表格记录2" xfId="450" xr:uid="{00000000-0005-0000-0000-0000F0010000}"/>
    <cellStyle name="好_0004-0005.SAP付款申请表和采购申请表A 2007-12-21_品质一二课整合的表单20090421_品质课表格记录2_7S问题项改善报告" xfId="451" xr:uid="{00000000-0005-0000-0000-0000F1010000}"/>
    <cellStyle name="好_0004-0005.SAP付款申请表和采购申请表A 2007-12-21_品质一二课整合的表单20090421_品质课表格记录2_品质部表单1" xfId="452" xr:uid="{00000000-0005-0000-0000-0000F2010000}"/>
    <cellStyle name="好_0004-0005.SAP付款申请表和采购申请表A 2007-12-21_品质一二课整合的表单20090421_品质部表单1" xfId="325" xr:uid="{00000000-0005-0000-0000-000073010000}"/>
    <cellStyle name="好_0004-0005.SAP付款申请表和采购申请表A 2007-12-21_品质一二课整合的表单20090421_品质部表格记录2" xfId="184" xr:uid="{00000000-0005-0000-0000-0000E6000000}"/>
    <cellStyle name="好_0004-0005.SAP付款申请表和采购申请表A 2007-12-21_品质一二课整合的表单20090421_品质部表格记录2_7S问题项改善报告" xfId="449" xr:uid="{00000000-0005-0000-0000-0000EF010000}"/>
    <cellStyle name="好_0004-0005.SAP付款申请表和采购申请表A 2007-12-21_品质一二课整合的表单20090421_品质部表格记录2_品质部表单1" xfId="381" xr:uid="{00000000-0005-0000-0000-0000AB010000}"/>
    <cellStyle name="好_0004-0005.SAP付款申请表和采购申请表A 2007-12-21_品质一二课整合的表单20090421_注塑首件尾件检验报告（修订后）" xfId="203" xr:uid="{00000000-0005-0000-0000-0000F9000000}"/>
    <cellStyle name="好_0004-0005.SAP付款申请表和采购申请表A 2007-12-21_品质一二课整合的表单20090421_注塑首件尾件检验报告（修订后）_7S问题项改善报告" xfId="109" xr:uid="{00000000-0005-0000-0000-00009B000000}"/>
    <cellStyle name="好_0004-0005.SAP付款申请表和采购申请表A 2007-12-21_品质一二课整合的表单20090421_注塑首件尾件检验报告（修订后）_品质部表单1" xfId="375" xr:uid="{00000000-0005-0000-0000-0000A5010000}"/>
    <cellStyle name="好_0004-0005.SAP付款申请表和采购申请表A 2007-12-21_品质部表单1" xfId="17" xr:uid="{00000000-0005-0000-0000-00001C000000}"/>
    <cellStyle name="好_01.品质异常反馈单" xfId="453" xr:uid="{00000000-0005-0000-0000-0000F3010000}"/>
    <cellStyle name="好_2016年6月稽核报告（誉嘉）" xfId="366" xr:uid="{00000000-0005-0000-0000-00009C010000}"/>
    <cellStyle name="好_2016年度质量目标统计情况" xfId="264" xr:uid="{00000000-0005-0000-0000-000036010000}"/>
    <cellStyle name="好_3.各车间7S检查总表" xfId="82" xr:uid="{00000000-0005-0000-0000-000080000000}"/>
    <cellStyle name="好_7S问题项改善报告" xfId="454" xr:uid="{00000000-0005-0000-0000-0000F4010000}"/>
    <cellStyle name="好_A088B-10格吸塑盒（金利昌）" xfId="455" xr:uid="{00000000-0005-0000-0000-0000F5010000}"/>
    <cellStyle name="好_A088B-10格吸塑盒（金利昌）_7S问题项改善报告" xfId="456" xr:uid="{00000000-0005-0000-0000-0000F6010000}"/>
    <cellStyle name="好_A088B-10格吸塑盒（金利昌）_品质部表单1" xfId="457" xr:uid="{00000000-0005-0000-0000-0000F7010000}"/>
    <cellStyle name="好_FAI报告空白格式" xfId="458" xr:uid="{00000000-0005-0000-0000-0000F8010000}"/>
    <cellStyle name="好_QA-8D报告" xfId="459" xr:uid="{00000000-0005-0000-0000-0000F9010000}"/>
    <cellStyle name="好_丝喷部喷涂工艺记录表" xfId="469" xr:uid="{00000000-0005-0000-0000-000003020000}"/>
    <cellStyle name="好_会议记录(1)" xfId="461" xr:uid="{00000000-0005-0000-0000-0000FB010000}"/>
    <cellStyle name="好_供应商来料返工记录表" xfId="309" xr:uid="{00000000-0005-0000-0000-000063010000}"/>
    <cellStyle name="好_副本QA-8D报告(1)" xfId="460" xr:uid="{00000000-0005-0000-0000-0000FA010000}"/>
    <cellStyle name="好_品质一二课整合的表单20090421" xfId="212" xr:uid="{00000000-0005-0000-0000-000002010000}"/>
    <cellStyle name="好_品质一二课整合的表单20090421_7S问题项改善报告" xfId="464" xr:uid="{00000000-0005-0000-0000-0000FE010000}"/>
    <cellStyle name="好_品质一二课整合的表单20090421_品质课表格记录2" xfId="75" xr:uid="{00000000-0005-0000-0000-000079000000}"/>
    <cellStyle name="好_品质一二课整合的表单20090421_品质课表格记录2_7S问题项改善报告" xfId="467" xr:uid="{00000000-0005-0000-0000-000001020000}"/>
    <cellStyle name="好_品质一二课整合的表单20090421_品质课表格记录2_品质部表单1" xfId="66" xr:uid="{00000000-0005-0000-0000-00006E000000}"/>
    <cellStyle name="好_品质一二课整合的表单20090421_品质部表单1" xfId="1" xr:uid="{00000000-0005-0000-0000-000001000000}"/>
    <cellStyle name="好_品质一二课整合的表单20090421_品质部表格记录2" xfId="465" xr:uid="{00000000-0005-0000-0000-0000FF010000}"/>
    <cellStyle name="好_品质一二课整合的表单20090421_品质部表格记录2_7S问题项改善报告" xfId="466" xr:uid="{00000000-0005-0000-0000-000000020000}"/>
    <cellStyle name="好_品质一二课整合的表单20090421_品质部表格记录2_品质部表单1" xfId="26" xr:uid="{00000000-0005-0000-0000-000029000000}"/>
    <cellStyle name="好_品质一二课整合的表单20090421_注塑首件尾件检验报告（修订后）" xfId="468" xr:uid="{00000000-0005-0000-0000-000002020000}"/>
    <cellStyle name="好_品质一二课整合的表单20090421_注塑首件尾件检验报告（修订后）_7S问题项改善报告" xfId="51" xr:uid="{00000000-0005-0000-0000-000055000000}"/>
    <cellStyle name="好_品质一二课整合的表单20090421_注塑首件尾件检验报告（修订后）_品质部表单1" xfId="48" xr:uid="{00000000-0005-0000-0000-00004E000000}"/>
    <cellStyle name="好_品质部表单1" xfId="189" xr:uid="{00000000-0005-0000-0000-0000EB000000}"/>
    <cellStyle name="好_品质部表单2" xfId="362" xr:uid="{00000000-0005-0000-0000-000098010000}"/>
    <cellStyle name="好_品质部表单3（81-149）" xfId="462" xr:uid="{00000000-0005-0000-0000-0000FC010000}"/>
    <cellStyle name="好_品质部表单4（150-）" xfId="463" xr:uid="{00000000-0005-0000-0000-0000FD010000}"/>
    <cellStyle name="好_客户投诉汇总表" xfId="445" xr:uid="{00000000-0005-0000-0000-0000EB010000}"/>
    <cellStyle name="好_承认文" xfId="73" xr:uid="{00000000-0005-0000-0000-000077000000}"/>
    <cellStyle name="好_承认文_7S问题项改善报告" xfId="221" xr:uid="{00000000-0005-0000-0000-00000B010000}"/>
    <cellStyle name="好_承认文_品质部表单1" xfId="54" xr:uid="{00000000-0005-0000-0000-00005A000000}"/>
    <cellStyle name="好_熔融指数测试报告" xfId="149" xr:uid="{00000000-0005-0000-0000-0000C3000000}"/>
    <cellStyle name="好_组装热熔CTQ点检表" xfId="471" xr:uid="{00000000-0005-0000-0000-000005020000}"/>
    <cellStyle name="好_自动线烤炉温度检查表" xfId="470" xr:uid="{00000000-0005-0000-0000-000004020000}"/>
    <cellStyle name="差 2" xfId="276" xr:uid="{00000000-0005-0000-0000-000042010000}"/>
    <cellStyle name="差_0004-0005.SAP付款申请表和采购申请表A 2007-12-21" xfId="56" xr:uid="{00000000-0005-0000-0000-00005D000000}"/>
    <cellStyle name="差_0004-0005.SAP付款申请表和采购申请表A 2007-12-21_7S问题项改善报告" xfId="61" xr:uid="{00000000-0005-0000-0000-000063000000}"/>
    <cellStyle name="差_0004-0005.SAP付款申请表和采购申请表A 2007-12-21_品质一二课整合的表单20090421" xfId="326" xr:uid="{00000000-0005-0000-0000-000074010000}"/>
    <cellStyle name="差_0004-0005.SAP付款申请表和采购申请表A 2007-12-21_品质一二课整合的表单20090421_7S问题项改善报告" xfId="327" xr:uid="{00000000-0005-0000-0000-000075010000}"/>
    <cellStyle name="差_0004-0005.SAP付款申请表和采购申请表A 2007-12-21_品质一二课整合的表单20090421_品质课表格记录2" xfId="287" xr:uid="{00000000-0005-0000-0000-00004D010000}"/>
    <cellStyle name="差_0004-0005.SAP付款申请表和采购申请表A 2007-12-21_品质一二课整合的表单20090421_品质课表格记录2_7S问题项改善报告" xfId="330" xr:uid="{00000000-0005-0000-0000-000078010000}"/>
    <cellStyle name="差_0004-0005.SAP付款申请表和采购申请表A 2007-12-21_品质一二课整合的表单20090421_品质课表格记录2_品质部表单1" xfId="333" xr:uid="{00000000-0005-0000-0000-00007B010000}"/>
    <cellStyle name="差_0004-0005.SAP付款申请表和采购申请表A 2007-12-21_品质一二课整合的表单20090421_品质部表单1" xfId="274" xr:uid="{00000000-0005-0000-0000-000040010000}"/>
    <cellStyle name="差_0004-0005.SAP付款申请表和采购申请表A 2007-12-21_品质一二课整合的表单20090421_品质部表格记录2" xfId="200" xr:uid="{00000000-0005-0000-0000-0000F6000000}"/>
    <cellStyle name="差_0004-0005.SAP付款申请表和采购申请表A 2007-12-21_品质一二课整合的表单20090421_品质部表格记录2_7S问题项改善报告" xfId="329" xr:uid="{00000000-0005-0000-0000-000077010000}"/>
    <cellStyle name="差_0004-0005.SAP付款申请表和采购申请表A 2007-12-21_品质一二课整合的表单20090421_品质部表格记录2_品质部表单1" xfId="25" xr:uid="{00000000-0005-0000-0000-000027000000}"/>
    <cellStyle name="差_0004-0005.SAP付款申请表和采购申请表A 2007-12-21_品质一二课整合的表单20090421_注塑首件尾件检验报告（修订后）" xfId="178" xr:uid="{00000000-0005-0000-0000-0000E0000000}"/>
    <cellStyle name="差_0004-0005.SAP付款申请表和采购申请表A 2007-12-21_品质一二课整合的表单20090421_注塑首件尾件检验报告（修订后）_7S问题项改善报告" xfId="238" xr:uid="{00000000-0005-0000-0000-00001C010000}"/>
    <cellStyle name="差_0004-0005.SAP付款申请表和采购申请表A 2007-12-21_品质一二课整合的表单20090421_注塑首件尾件检验报告（修订后）_品质部表单1" xfId="335" xr:uid="{00000000-0005-0000-0000-00007D010000}"/>
    <cellStyle name="差_0004-0005.SAP付款申请表和采购申请表A 2007-12-21_品质部表单1" xfId="324" xr:uid="{00000000-0005-0000-0000-000072010000}"/>
    <cellStyle name="差_01.品质异常反馈单" xfId="336" xr:uid="{00000000-0005-0000-0000-00007E010000}"/>
    <cellStyle name="差_2016年6月稽核报告（誉嘉）" xfId="338" xr:uid="{00000000-0005-0000-0000-000080010000}"/>
    <cellStyle name="差_2016年度质量目标统计情况" xfId="284" xr:uid="{00000000-0005-0000-0000-00004A010000}"/>
    <cellStyle name="差_3.各车间7S检查总表" xfId="339" xr:uid="{00000000-0005-0000-0000-000081010000}"/>
    <cellStyle name="差_7S问题项改善报告" xfId="306" xr:uid="{00000000-0005-0000-0000-000060010000}"/>
    <cellStyle name="差_A088B-10格吸塑盒（金利昌）" xfId="296" xr:uid="{00000000-0005-0000-0000-000056010000}"/>
    <cellStyle name="差_A088B-10格吸塑盒（金利昌）_7S问题项改善报告" xfId="341" xr:uid="{00000000-0005-0000-0000-000083010000}"/>
    <cellStyle name="差_A088B-10格吸塑盒（金利昌）_品质部表单1" xfId="342" xr:uid="{00000000-0005-0000-0000-000084010000}"/>
    <cellStyle name="差_FAI报告空白格式" xfId="343" xr:uid="{00000000-0005-0000-0000-000085010000}"/>
    <cellStyle name="差_QA-8D报告" xfId="160" xr:uid="{00000000-0005-0000-0000-0000CE000000}"/>
    <cellStyle name="差_丝喷部喷涂工艺记录表" xfId="10" xr:uid="{00000000-0005-0000-0000-00000F000000}"/>
    <cellStyle name="差_会议记录(1)" xfId="346" xr:uid="{00000000-0005-0000-0000-000088010000}"/>
    <cellStyle name="差_供应商来料返工记录表" xfId="344" xr:uid="{00000000-0005-0000-0000-000086010000}"/>
    <cellStyle name="差_副本QA-8D报告(1)" xfId="97" xr:uid="{00000000-0005-0000-0000-00008F000000}"/>
    <cellStyle name="差_品质一二课整合的表单20090421" xfId="288" xr:uid="{00000000-0005-0000-0000-00004E010000}"/>
    <cellStyle name="差_品质一二课整合的表单20090421_7S问题项改善报告" xfId="331" xr:uid="{00000000-0005-0000-0000-000079010000}"/>
    <cellStyle name="差_品质一二课整合的表单20090421_品质课表格记录2" xfId="350" xr:uid="{00000000-0005-0000-0000-00008C010000}"/>
    <cellStyle name="差_品质一二课整合的表单20090421_品质课表格记录2_7S问题项改善报告" xfId="2" xr:uid="{00000000-0005-0000-0000-000002000000}"/>
    <cellStyle name="差_品质一二课整合的表单20090421_品质课表格记录2_品质部表单1" xfId="234" xr:uid="{00000000-0005-0000-0000-000018010000}"/>
    <cellStyle name="差_品质一二课整合的表单20090421_品质部表单1" xfId="334" xr:uid="{00000000-0005-0000-0000-00007C010000}"/>
    <cellStyle name="差_品质一二课整合的表单20090421_品质部表格记录2" xfId="278" xr:uid="{00000000-0005-0000-0000-000044010000}"/>
    <cellStyle name="差_品质一二课整合的表单20090421_品质部表格记录2_7S问题项改善报告" xfId="349" xr:uid="{00000000-0005-0000-0000-00008B010000}"/>
    <cellStyle name="差_品质一二课整合的表单20090421_品质部表格记录2_品质部表单1" xfId="239" xr:uid="{00000000-0005-0000-0000-00001D010000}"/>
    <cellStyle name="差_品质一二课整合的表单20090421_注塑首件尾件检验报告（修订后）" xfId="351" xr:uid="{00000000-0005-0000-0000-00008D010000}"/>
    <cellStyle name="差_品质一二课整合的表单20090421_注塑首件尾件检验报告（修订后）_7S问题项改善报告" xfId="353" xr:uid="{00000000-0005-0000-0000-00008F010000}"/>
    <cellStyle name="差_品质一二课整合的表单20090421_注塑首件尾件检验报告（修订后）_品质部表单1" xfId="354" xr:uid="{00000000-0005-0000-0000-000090010000}"/>
    <cellStyle name="差_品质部表单1" xfId="347" xr:uid="{00000000-0005-0000-0000-000089010000}"/>
    <cellStyle name="差_品质部表单2" xfId="252" xr:uid="{00000000-0005-0000-0000-00002A010000}"/>
    <cellStyle name="差_品质部表单3（81-149）" xfId="348" xr:uid="{00000000-0005-0000-0000-00008A010000}"/>
    <cellStyle name="差_品质部表单4（150-）" xfId="257" xr:uid="{00000000-0005-0000-0000-00002F010000}"/>
    <cellStyle name="差_客户投诉汇总表" xfId="235" xr:uid="{00000000-0005-0000-0000-000019010000}"/>
    <cellStyle name="差_承认文" xfId="258" xr:uid="{00000000-0005-0000-0000-000030010000}"/>
    <cellStyle name="差_承认文_7S问题项改善报告" xfId="231" xr:uid="{00000000-0005-0000-0000-000015010000}"/>
    <cellStyle name="差_承认文_品质部表单1" xfId="253" xr:uid="{00000000-0005-0000-0000-00002B010000}"/>
    <cellStyle name="差_熔融指数测试报告" xfId="295" xr:uid="{00000000-0005-0000-0000-000055010000}"/>
    <cellStyle name="差_组装热熔CTQ点检表" xfId="355" xr:uid="{00000000-0005-0000-0000-000091010000}"/>
    <cellStyle name="差_自动线烤炉温度检查表" xfId="256" xr:uid="{00000000-0005-0000-0000-00002E010000}"/>
    <cellStyle name="常规 10" xfId="79" xr:uid="{00000000-0005-0000-0000-00007D000000}"/>
    <cellStyle name="常规 10 2" xfId="356" xr:uid="{00000000-0005-0000-0000-000092010000}"/>
    <cellStyle name="常规 10 3" xfId="357" xr:uid="{00000000-0005-0000-0000-000093010000}"/>
    <cellStyle name="常规 10 4" xfId="358" xr:uid="{00000000-0005-0000-0000-000094010000}"/>
    <cellStyle name="常规 11" xfId="359" xr:uid="{00000000-0005-0000-0000-000095010000}"/>
    <cellStyle name="常规 11 2" xfId="340" xr:uid="{00000000-0005-0000-0000-000082010000}"/>
    <cellStyle name="常规 11 3" xfId="104" xr:uid="{00000000-0005-0000-0000-000096000000}"/>
    <cellStyle name="常规 11 4" xfId="360" xr:uid="{00000000-0005-0000-0000-000096010000}"/>
    <cellStyle name="常规 11 5" xfId="188" xr:uid="{00000000-0005-0000-0000-0000EA000000}"/>
    <cellStyle name="常规 11 6" xfId="361" xr:uid="{00000000-0005-0000-0000-000097010000}"/>
    <cellStyle name="常规 11 7" xfId="328" xr:uid="{00000000-0005-0000-0000-000076010000}"/>
    <cellStyle name="常规 11 8" xfId="363" xr:uid="{00000000-0005-0000-0000-000099010000}"/>
    <cellStyle name="常规 11 9" xfId="364" xr:uid="{00000000-0005-0000-0000-00009A010000}"/>
    <cellStyle name="常规 12 2" xfId="365" xr:uid="{00000000-0005-0000-0000-00009B010000}"/>
    <cellStyle name="常规 12 3" xfId="367" xr:uid="{00000000-0005-0000-0000-00009D010000}"/>
    <cellStyle name="常规 12 4" xfId="368" xr:uid="{00000000-0005-0000-0000-00009E010000}"/>
    <cellStyle name="常规 12 5" xfId="191" xr:uid="{00000000-0005-0000-0000-0000ED000000}"/>
    <cellStyle name="常规 12 6" xfId="369" xr:uid="{00000000-0005-0000-0000-00009F010000}"/>
    <cellStyle name="常规 12 7" xfId="314" xr:uid="{00000000-0005-0000-0000-000068010000}"/>
    <cellStyle name="常规 12 8" xfId="370" xr:uid="{00000000-0005-0000-0000-0000A0010000}"/>
    <cellStyle name="常规 12 9" xfId="100" xr:uid="{00000000-0005-0000-0000-000092000000}"/>
    <cellStyle name="常规 13 2" xfId="371" xr:uid="{00000000-0005-0000-0000-0000A1010000}"/>
    <cellStyle name="常规 13 3" xfId="372" xr:uid="{00000000-0005-0000-0000-0000A2010000}"/>
    <cellStyle name="常规 13 4" xfId="237" xr:uid="{00000000-0005-0000-0000-00001B010000}"/>
    <cellStyle name="常规 13 5" xfId="36" xr:uid="{00000000-0005-0000-0000-00003C000000}"/>
    <cellStyle name="常规 13 6" xfId="373" xr:uid="{00000000-0005-0000-0000-0000A3010000}"/>
    <cellStyle name="常规 13 7" xfId="161" xr:uid="{00000000-0005-0000-0000-0000CF000000}"/>
    <cellStyle name="常规 13 8" xfId="374" xr:uid="{00000000-0005-0000-0000-0000A4010000}"/>
    <cellStyle name="常规 13 9" xfId="169" xr:uid="{00000000-0005-0000-0000-0000D7000000}"/>
    <cellStyle name="常规 14" xfId="376" xr:uid="{00000000-0005-0000-0000-0000A6010000}"/>
    <cellStyle name="常规 14 2" xfId="337" xr:uid="{00000000-0005-0000-0000-00007F010000}"/>
    <cellStyle name="常规 14 3" xfId="377" xr:uid="{00000000-0005-0000-0000-0000A7010000}"/>
    <cellStyle name="常规 14 4" xfId="378" xr:uid="{00000000-0005-0000-0000-0000A8010000}"/>
    <cellStyle name="常规 14 5" xfId="193" xr:uid="{00000000-0005-0000-0000-0000EF000000}"/>
    <cellStyle name="常规 14 6" xfId="379" xr:uid="{00000000-0005-0000-0000-0000A9010000}"/>
    <cellStyle name="常规 14 7" xfId="380" xr:uid="{00000000-0005-0000-0000-0000AA010000}"/>
    <cellStyle name="常规 14 8" xfId="248" xr:uid="{00000000-0005-0000-0000-000026010000}"/>
    <cellStyle name="常规 14 9" xfId="382" xr:uid="{00000000-0005-0000-0000-0000AC010000}"/>
    <cellStyle name="常规 15" xfId="383" xr:uid="{00000000-0005-0000-0000-0000AD010000}"/>
    <cellStyle name="常规 16" xfId="45" xr:uid="{00000000-0005-0000-0000-00004A000000}"/>
    <cellStyle name="常规 2" xfId="384" xr:uid="{00000000-0005-0000-0000-0000AE010000}"/>
    <cellStyle name="常规 2 10" xfId="385" xr:uid="{00000000-0005-0000-0000-0000AF010000}"/>
    <cellStyle name="常规 2 11" xfId="386" xr:uid="{00000000-0005-0000-0000-0000B0010000}"/>
    <cellStyle name="常规 2 12" xfId="387" xr:uid="{00000000-0005-0000-0000-0000B1010000}"/>
    <cellStyle name="常规 2 13" xfId="388" xr:uid="{00000000-0005-0000-0000-0000B2010000}"/>
    <cellStyle name="常规 2 2" xfId="389" xr:uid="{00000000-0005-0000-0000-0000B3010000}"/>
    <cellStyle name="常规 2 3" xfId="352" xr:uid="{00000000-0005-0000-0000-00008E010000}"/>
    <cellStyle name="常规 2 4" xfId="70" xr:uid="{00000000-0005-0000-0000-000074000000}"/>
    <cellStyle name="常规 2 5" xfId="87" xr:uid="{00000000-0005-0000-0000-000085000000}"/>
    <cellStyle name="常规 2 6" xfId="390" xr:uid="{00000000-0005-0000-0000-0000B4010000}"/>
    <cellStyle name="常规 2 7" xfId="391" xr:uid="{00000000-0005-0000-0000-0000B5010000}"/>
    <cellStyle name="常规 2 8" xfId="393" xr:uid="{00000000-0005-0000-0000-0000B7010000}"/>
    <cellStyle name="常规 2 9" xfId="394" xr:uid="{00000000-0005-0000-0000-0000B8010000}"/>
    <cellStyle name="常规 3" xfId="182" xr:uid="{00000000-0005-0000-0000-0000E4000000}"/>
    <cellStyle name="常规 3 10" xfId="397" xr:uid="{00000000-0005-0000-0000-0000BB010000}"/>
    <cellStyle name="常规 3 11" xfId="399" xr:uid="{00000000-0005-0000-0000-0000BD010000}"/>
    <cellStyle name="常规 3 12" xfId="401" xr:uid="{00000000-0005-0000-0000-0000BF010000}"/>
    <cellStyle name="常规 3 13" xfId="403" xr:uid="{00000000-0005-0000-0000-0000C1010000}"/>
    <cellStyle name="常规 3 2" xfId="404" xr:uid="{00000000-0005-0000-0000-0000C2010000}"/>
    <cellStyle name="常规 3 3" xfId="64" xr:uid="{00000000-0005-0000-0000-000068000000}"/>
    <cellStyle name="常规 3 4" xfId="405" xr:uid="{00000000-0005-0000-0000-0000C3010000}"/>
    <cellStyle name="常规 3 5" xfId="406" xr:uid="{00000000-0005-0000-0000-0000C4010000}"/>
    <cellStyle name="常规 3 6" xfId="126" xr:uid="{00000000-0005-0000-0000-0000AC000000}"/>
    <cellStyle name="常规 3 7" xfId="407" xr:uid="{00000000-0005-0000-0000-0000C5010000}"/>
    <cellStyle name="常规 3 8" xfId="408" xr:uid="{00000000-0005-0000-0000-0000C6010000}"/>
    <cellStyle name="常规 3 9" xfId="409" xr:uid="{00000000-0005-0000-0000-0000C7010000}"/>
    <cellStyle name="常规 4" xfId="411" xr:uid="{00000000-0005-0000-0000-0000C9010000}"/>
    <cellStyle name="常规 4 2" xfId="412" xr:uid="{00000000-0005-0000-0000-0000CA010000}"/>
    <cellStyle name="常规 4 2 2" xfId="413" xr:uid="{00000000-0005-0000-0000-0000CB010000}"/>
    <cellStyle name="常规 4 2 3" xfId="415" xr:uid="{00000000-0005-0000-0000-0000CD010000}"/>
    <cellStyle name="常规 4 2 4" xfId="222" xr:uid="{00000000-0005-0000-0000-00000C010000}"/>
    <cellStyle name="常规 4 3" xfId="417" xr:uid="{00000000-0005-0000-0000-0000CF010000}"/>
    <cellStyle name="常规 4 3 2" xfId="205" xr:uid="{00000000-0005-0000-0000-0000FB000000}"/>
    <cellStyle name="常规 4 3 3" xfId="418" xr:uid="{00000000-0005-0000-0000-0000D0010000}"/>
    <cellStyle name="常规 4 3 4" xfId="420" xr:uid="{00000000-0005-0000-0000-0000D2010000}"/>
    <cellStyle name="常规 4 4" xfId="414" xr:uid="{00000000-0005-0000-0000-0000CC010000}"/>
    <cellStyle name="常规 4 4 2" xfId="422" xr:uid="{00000000-0005-0000-0000-0000D4010000}"/>
    <cellStyle name="常规 4 4 3" xfId="23" xr:uid="{00000000-0005-0000-0000-000025000000}"/>
    <cellStyle name="常规 4 4 4" xfId="395" xr:uid="{00000000-0005-0000-0000-0000B9010000}"/>
    <cellStyle name="常规 4 5" xfId="416" xr:uid="{00000000-0005-0000-0000-0000CE010000}"/>
    <cellStyle name="常规 5" xfId="172" xr:uid="{00000000-0005-0000-0000-0000DA000000}"/>
    <cellStyle name="常规 5 10" xfId="424" xr:uid="{00000000-0005-0000-0000-0000D6010000}"/>
    <cellStyle name="常规 5 11" xfId="425" xr:uid="{00000000-0005-0000-0000-0000D7010000}"/>
    <cellStyle name="常规 5 12" xfId="426" xr:uid="{00000000-0005-0000-0000-0000D8010000}"/>
    <cellStyle name="常规 5 2" xfId="27" xr:uid="{00000000-0005-0000-0000-00002A000000}"/>
    <cellStyle name="常规 5 3" xfId="427" xr:uid="{00000000-0005-0000-0000-0000D9010000}"/>
    <cellStyle name="常规 5 4" xfId="206" xr:uid="{00000000-0005-0000-0000-0000FC000000}"/>
    <cellStyle name="常规 5 5" xfId="419" xr:uid="{00000000-0005-0000-0000-0000D1010000}"/>
    <cellStyle name="常规 5 6" xfId="421" xr:uid="{00000000-0005-0000-0000-0000D3010000}"/>
    <cellStyle name="常规 5 7" xfId="209" xr:uid="{00000000-0005-0000-0000-0000FF000000}"/>
    <cellStyle name="常规 5 8" xfId="428" xr:uid="{00000000-0005-0000-0000-0000DA010000}"/>
    <cellStyle name="常规 5 9" xfId="429" xr:uid="{00000000-0005-0000-0000-0000DB010000}"/>
    <cellStyle name="常规 6" xfId="18" xr:uid="{00000000-0005-0000-0000-00001D000000}"/>
    <cellStyle name="常规 6 10" xfId="181" xr:uid="{00000000-0005-0000-0000-0000E3000000}"/>
    <cellStyle name="常规 6 11" xfId="410" xr:uid="{00000000-0005-0000-0000-0000C8010000}"/>
    <cellStyle name="常规 6 12" xfId="171" xr:uid="{00000000-0005-0000-0000-0000D9000000}"/>
    <cellStyle name="常规 6 2" xfId="113" xr:uid="{00000000-0005-0000-0000-00009F000000}"/>
    <cellStyle name="常规 6 3" xfId="430" xr:uid="{00000000-0005-0000-0000-0000DC010000}"/>
    <cellStyle name="常规 6 4" xfId="423" xr:uid="{00000000-0005-0000-0000-0000D5010000}"/>
    <cellStyle name="常规 6 5" xfId="24" xr:uid="{00000000-0005-0000-0000-000026000000}"/>
    <cellStyle name="常规 6 6" xfId="396" xr:uid="{00000000-0005-0000-0000-0000BA010000}"/>
    <cellStyle name="常规 6 7" xfId="398" xr:uid="{00000000-0005-0000-0000-0000BC010000}"/>
    <cellStyle name="常规 6 8" xfId="400" xr:uid="{00000000-0005-0000-0000-0000BE010000}"/>
    <cellStyle name="常规 6 9" xfId="402" xr:uid="{00000000-0005-0000-0000-0000C0010000}"/>
    <cellStyle name="常规 7" xfId="431" xr:uid="{00000000-0005-0000-0000-0000DD010000}"/>
    <cellStyle name="常规 7 10" xfId="217" xr:uid="{00000000-0005-0000-0000-000007010000}"/>
    <cellStyle name="常规 7 11" xfId="332" xr:uid="{00000000-0005-0000-0000-00007A010000}"/>
    <cellStyle name="常规 7 12" xfId="93" xr:uid="{00000000-0005-0000-0000-00008B000000}"/>
    <cellStyle name="常规 7 2" xfId="432" xr:uid="{00000000-0005-0000-0000-0000DE010000}"/>
    <cellStyle name="常规 7 3" xfId="13" xr:uid="{00000000-0005-0000-0000-000014000000}"/>
    <cellStyle name="常规 7 4" xfId="433" xr:uid="{00000000-0005-0000-0000-0000DF010000}"/>
    <cellStyle name="常规 7 5" xfId="434" xr:uid="{00000000-0005-0000-0000-0000E0010000}"/>
    <cellStyle name="常规 7 6" xfId="435" xr:uid="{00000000-0005-0000-0000-0000E1010000}"/>
    <cellStyle name="常规 7 7" xfId="436" xr:uid="{00000000-0005-0000-0000-0000E2010000}"/>
    <cellStyle name="常规 7 8" xfId="437" xr:uid="{00000000-0005-0000-0000-0000E3010000}"/>
    <cellStyle name="常规 7 9" xfId="438" xr:uid="{00000000-0005-0000-0000-0000E4010000}"/>
    <cellStyle name="常规 8" xfId="439" xr:uid="{00000000-0005-0000-0000-0000E5010000}"/>
    <cellStyle name="常规 8 10" xfId="302" xr:uid="{00000000-0005-0000-0000-00005C010000}"/>
    <cellStyle name="常规 8 11" xfId="440" xr:uid="{00000000-0005-0000-0000-0000E6010000}"/>
    <cellStyle name="常规 8 12" xfId="106" xr:uid="{00000000-0005-0000-0000-000098000000}"/>
    <cellStyle name="常规 8 2" xfId="49" xr:uid="{00000000-0005-0000-0000-00004F000000}"/>
    <cellStyle name="常规 8 3" xfId="39" xr:uid="{00000000-0005-0000-0000-00003F000000}"/>
    <cellStyle name="常规 8 4" xfId="345" xr:uid="{00000000-0005-0000-0000-000087010000}"/>
    <cellStyle name="常规 8 5" xfId="441" xr:uid="{00000000-0005-0000-0000-0000E7010000}"/>
    <cellStyle name="常规 8 6" xfId="442" xr:uid="{00000000-0005-0000-0000-0000E8010000}"/>
    <cellStyle name="常规 8 7" xfId="443" xr:uid="{00000000-0005-0000-0000-0000E9010000}"/>
    <cellStyle name="常规 8 8" xfId="241" xr:uid="{00000000-0005-0000-0000-00001F010000}"/>
    <cellStyle name="常规 8 9" xfId="444" xr:uid="{00000000-0005-0000-0000-0000EA010000}"/>
    <cellStyle name="常规 9" xfId="446" xr:uid="{00000000-0005-0000-0000-0000EC010000}"/>
    <cellStyle name="常规 9 2" xfId="76" xr:uid="{00000000-0005-0000-0000-00007A000000}"/>
    <cellStyle name="强调文字颜色 1 2" xfId="485" xr:uid="{00000000-0005-0000-0000-000013020000}"/>
    <cellStyle name="强调文字颜色 2 2" xfId="486" xr:uid="{00000000-0005-0000-0000-000014020000}"/>
    <cellStyle name="强调文字颜色 3 2" xfId="487" xr:uid="{00000000-0005-0000-0000-000015020000}"/>
    <cellStyle name="强调文字颜色 4 2" xfId="488" xr:uid="{00000000-0005-0000-0000-000016020000}"/>
    <cellStyle name="强调文字颜色 5 2" xfId="489" xr:uid="{00000000-0005-0000-0000-000017020000}"/>
    <cellStyle name="强调文字颜色 6 2" xfId="490" xr:uid="{00000000-0005-0000-0000-000018020000}"/>
    <cellStyle name="标题 1 2" xfId="321" xr:uid="{00000000-0005-0000-0000-00006F010000}"/>
    <cellStyle name="标题 2 2" xfId="229" xr:uid="{00000000-0005-0000-0000-000013010000}"/>
    <cellStyle name="标题 3 2" xfId="322" xr:uid="{00000000-0005-0000-0000-000070010000}"/>
    <cellStyle name="标题 4 2" xfId="164" xr:uid="{00000000-0005-0000-0000-0000D2000000}"/>
    <cellStyle name="标题 5" xfId="323" xr:uid="{00000000-0005-0000-0000-000071010000}"/>
    <cellStyle name="样式 1" xfId="495" xr:uid="{00000000-0005-0000-0000-00001D020000}"/>
    <cellStyle name="桁区切り [0.00]_kinslayer" xfId="472" xr:uid="{00000000-0005-0000-0000-000006020000}"/>
    <cellStyle name="桁区切り_kinslayer" xfId="473" xr:uid="{00000000-0005-0000-0000-000007020000}"/>
    <cellStyle name="检查单元格 2" xfId="479" xr:uid="{00000000-0005-0000-0000-00000D020000}"/>
    <cellStyle name="標準_069-0711-D (3)" xfId="304" xr:uid="{00000000-0005-0000-0000-00005E010000}"/>
    <cellStyle name="汇总 2" xfId="474" xr:uid="{00000000-0005-0000-0000-000008020000}"/>
    <cellStyle name="注释 2" xfId="114" xr:uid="{00000000-0005-0000-0000-0000A0000000}"/>
    <cellStyle name="百分比 2" xfId="279" xr:uid="{00000000-0005-0000-0000-000045010000}"/>
    <cellStyle name="百分比 2 2" xfId="225" xr:uid="{00000000-0005-0000-0000-00000F010000}"/>
    <cellStyle name="百分比 2 3" xfId="318" xr:uid="{00000000-0005-0000-0000-00006C010000}"/>
    <cellStyle name="百分比 2 4" xfId="95" xr:uid="{00000000-0005-0000-0000-00008D000000}"/>
    <cellStyle name="百分比 2 5" xfId="319" xr:uid="{00000000-0005-0000-0000-00006D010000}"/>
    <cellStyle name="百分比 2 6" xfId="320" xr:uid="{00000000-0005-0000-0000-00006E010000}"/>
    <cellStyle name="百分比 3" xfId="281" xr:uid="{00000000-0005-0000-0000-000047010000}"/>
    <cellStyle name="解释性文本 2" xfId="480" xr:uid="{00000000-0005-0000-0000-00000E020000}"/>
    <cellStyle name="警告文本 2" xfId="481" xr:uid="{00000000-0005-0000-0000-00000F020000}"/>
    <cellStyle name="计算 2" xfId="478" xr:uid="{00000000-0005-0000-0000-00000C020000}"/>
    <cellStyle name="貨幣 [0]_981117b" xfId="475" xr:uid="{00000000-0005-0000-0000-000009020000}"/>
    <cellStyle name="貨幣_981117b" xfId="477" xr:uid="{00000000-0005-0000-0000-00000B020000}"/>
    <cellStyle name="貨幣[0]_Sheet1" xfId="476" xr:uid="{00000000-0005-0000-0000-00000A020000}"/>
    <cellStyle name="货币[0] 2" xfId="33" xr:uid="{00000000-0005-0000-0000-000034000000}"/>
    <cellStyle name="输入 2" xfId="392" xr:uid="{00000000-0005-0000-0000-0000B6010000}"/>
    <cellStyle name="输出 2" xfId="492" xr:uid="{00000000-0005-0000-0000-00001A020000}"/>
    <cellStyle name="适中 2" xfId="491" xr:uid="{00000000-0005-0000-0000-000019020000}"/>
    <cellStyle name="通貨 [0.00]_kinslayer" xfId="493" xr:uid="{00000000-0005-0000-0000-00001B020000}"/>
    <cellStyle name="通貨_kinslayer" xfId="494" xr:uid="{00000000-0005-0000-0000-00001C020000}"/>
    <cellStyle name="链接单元格 2" xfId="482" xr:uid="{00000000-0005-0000-0000-000010020000}"/>
  </cellStyles>
  <dxfs count="9">
    <dxf>
      <fill>
        <patternFill patternType="solid">
          <bgColor indexed="13"/>
        </patternFill>
      </fill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lor indexed="48"/>
      </font>
    </dxf>
    <dxf>
      <font>
        <color indexed="10"/>
      </font>
    </dxf>
    <dxf>
      <font>
        <color indexed="48"/>
      </font>
    </dxf>
    <dxf>
      <font>
        <color indexed="10"/>
      </font>
    </dxf>
    <dxf>
      <font>
        <color indexed="48"/>
      </font>
    </dxf>
    <dxf>
      <font>
        <color indexed="10"/>
      </font>
    </dxf>
    <dxf>
      <font>
        <color indexed="48"/>
      </font>
    </dxf>
    <dxf>
      <font>
        <color indexed="10"/>
      </font>
    </dxf>
  </dxfs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22</xdr:row>
      <xdr:rowOff>19050</xdr:rowOff>
    </xdr:from>
    <xdr:to>
      <xdr:col>11</xdr:col>
      <xdr:colOff>257175</xdr:colOff>
      <xdr:row>55</xdr:row>
      <xdr:rowOff>123825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4608195"/>
          <a:ext cx="8629650" cy="60483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02"/>
  <sheetViews>
    <sheetView tabSelected="1" topLeftCell="A7" workbookViewId="0">
      <selection activeCell="J16" sqref="J16"/>
    </sheetView>
  </sheetViews>
  <sheetFormatPr baseColWidth="10" defaultColWidth="8.6640625" defaultRowHeight="15"/>
  <cols>
    <col min="1" max="1" width="5.5" style="3" customWidth="1"/>
    <col min="2" max="2" width="9.33203125" style="3" customWidth="1"/>
    <col min="3" max="3" width="20.33203125" style="4" customWidth="1"/>
    <col min="4" max="6" width="6.5" style="3" customWidth="1"/>
    <col min="7" max="7" width="8.6640625" style="3" customWidth="1"/>
    <col min="8" max="9" width="15.6640625" style="5" customWidth="1"/>
    <col min="10" max="10" width="15.1640625" style="5" customWidth="1"/>
    <col min="11" max="13" width="8.33203125" style="3" customWidth="1"/>
    <col min="14" max="14" width="8.6640625" style="3" customWidth="1"/>
    <col min="15" max="15" width="8" style="3" customWidth="1"/>
    <col min="16" max="16" width="7" style="3" customWidth="1"/>
    <col min="17" max="19" width="5.83203125" style="3" customWidth="1"/>
    <col min="20" max="20" width="38.83203125" style="6" customWidth="1"/>
    <col min="21" max="21" width="13.5" style="3" customWidth="1"/>
    <col min="22" max="16384" width="8.6640625" style="3"/>
  </cols>
  <sheetData>
    <row r="1" spans="1:21" ht="18">
      <c r="A1" s="7" t="s">
        <v>0</v>
      </c>
      <c r="C1" s="8"/>
      <c r="D1" s="2"/>
      <c r="E1" s="2"/>
      <c r="F1" s="2"/>
      <c r="G1" s="2"/>
      <c r="H1" s="9"/>
      <c r="I1" s="9"/>
      <c r="J1" s="9"/>
      <c r="K1" s="2"/>
      <c r="L1" s="2"/>
      <c r="M1" s="2"/>
      <c r="N1" s="2"/>
      <c r="O1" s="43"/>
      <c r="P1" s="43"/>
      <c r="Q1" s="2"/>
      <c r="R1" s="2"/>
      <c r="S1" s="2"/>
      <c r="T1" s="63"/>
      <c r="U1" s="2"/>
    </row>
    <row r="2" spans="1:21" s="1" customFormat="1" ht="13">
      <c r="A2" s="10"/>
      <c r="B2" s="11" t="s">
        <v>1</v>
      </c>
      <c r="C2" s="86"/>
      <c r="D2" s="86"/>
      <c r="E2" s="13"/>
      <c r="F2" s="13" t="s">
        <v>2</v>
      </c>
      <c r="G2" s="87" t="s">
        <v>3</v>
      </c>
      <c r="H2" s="87"/>
      <c r="I2" s="44"/>
      <c r="J2" s="45" t="s">
        <v>4</v>
      </c>
      <c r="K2" s="46" t="s">
        <v>5</v>
      </c>
      <c r="L2" s="46"/>
      <c r="M2" s="45"/>
      <c r="N2" s="45" t="s">
        <v>6</v>
      </c>
      <c r="O2" s="46" t="s">
        <v>7</v>
      </c>
      <c r="P2" s="46"/>
      <c r="Q2" s="44"/>
      <c r="R2" s="11" t="s">
        <v>8</v>
      </c>
      <c r="S2" s="46" t="s">
        <v>9</v>
      </c>
      <c r="T2" s="46"/>
      <c r="U2" s="64" t="s">
        <v>10</v>
      </c>
    </row>
    <row r="3" spans="1:21" s="1" customFormat="1" ht="13">
      <c r="A3" s="14"/>
      <c r="B3" s="15" t="s">
        <v>11</v>
      </c>
      <c r="C3" s="86" t="s">
        <v>58</v>
      </c>
      <c r="D3" s="86"/>
      <c r="E3" s="16"/>
      <c r="F3" s="16" t="s">
        <v>12</v>
      </c>
      <c r="G3" s="88" t="s">
        <v>3</v>
      </c>
      <c r="H3" s="88"/>
      <c r="I3" s="47"/>
      <c r="J3" s="48" t="s">
        <v>13</v>
      </c>
      <c r="K3" s="49" t="s">
        <v>14</v>
      </c>
      <c r="L3" s="49"/>
      <c r="M3" s="48"/>
      <c r="N3" s="48" t="s">
        <v>15</v>
      </c>
      <c r="O3" s="46" t="s">
        <v>16</v>
      </c>
      <c r="P3" s="49"/>
      <c r="Q3" s="47"/>
      <c r="R3" s="15" t="s">
        <v>17</v>
      </c>
      <c r="S3" s="46"/>
      <c r="T3" s="46"/>
      <c r="U3" s="17"/>
    </row>
    <row r="4" spans="1:21" s="1" customFormat="1" ht="13">
      <c r="A4" s="18"/>
      <c r="B4" s="19" t="s">
        <v>18</v>
      </c>
      <c r="C4" s="89" t="s">
        <v>19</v>
      </c>
      <c r="D4" s="86"/>
      <c r="E4" s="20"/>
      <c r="F4" s="20" t="s">
        <v>20</v>
      </c>
      <c r="G4" s="86" t="s">
        <v>21</v>
      </c>
      <c r="H4" s="86"/>
      <c r="I4" s="50"/>
      <c r="J4" s="51" t="s">
        <v>22</v>
      </c>
      <c r="K4" s="52" t="s">
        <v>23</v>
      </c>
      <c r="L4" s="53"/>
      <c r="M4" s="51"/>
      <c r="N4" s="51" t="s">
        <v>22</v>
      </c>
      <c r="O4" s="52" t="s">
        <v>24</v>
      </c>
      <c r="P4" s="53"/>
      <c r="Q4" s="50"/>
      <c r="R4" s="65"/>
      <c r="S4" s="53"/>
      <c r="T4" s="66"/>
      <c r="U4" s="12"/>
    </row>
    <row r="5" spans="1:21" s="2" customFormat="1" ht="19.5" customHeight="1">
      <c r="A5" s="90"/>
      <c r="B5" s="91"/>
      <c r="C5" s="91"/>
      <c r="D5" s="21"/>
      <c r="E5" s="22"/>
      <c r="F5" s="22"/>
      <c r="G5" s="22"/>
      <c r="H5" s="23"/>
      <c r="I5" s="23"/>
      <c r="J5" s="23"/>
      <c r="K5" s="54"/>
      <c r="L5" s="54"/>
      <c r="M5" s="54"/>
      <c r="N5" s="55"/>
      <c r="O5" s="56"/>
      <c r="P5" s="21"/>
      <c r="Q5" s="21"/>
      <c r="R5" s="21"/>
      <c r="S5" s="67"/>
      <c r="T5" s="68"/>
      <c r="U5" s="69"/>
    </row>
    <row r="6" spans="1:21" s="2" customFormat="1" ht="14" customHeight="1">
      <c r="A6" s="92" t="s">
        <v>25</v>
      </c>
      <c r="B6" s="92"/>
      <c r="C6" s="92"/>
      <c r="D6" s="92"/>
      <c r="E6" s="92"/>
      <c r="F6" s="92"/>
      <c r="G6" s="92"/>
      <c r="H6" s="92" t="s">
        <v>26</v>
      </c>
      <c r="I6" s="92"/>
      <c r="J6" s="93"/>
      <c r="K6" s="92" t="s">
        <v>27</v>
      </c>
      <c r="L6" s="92"/>
      <c r="M6" s="92"/>
      <c r="N6" s="92"/>
      <c r="O6" s="92"/>
      <c r="P6" s="92"/>
      <c r="Q6" s="92"/>
      <c r="R6" s="92"/>
      <c r="S6" s="92"/>
      <c r="T6" s="70" t="s">
        <v>28</v>
      </c>
      <c r="U6" s="71"/>
    </row>
    <row r="7" spans="1:21" s="2" customFormat="1" ht="15" customHeight="1">
      <c r="A7" s="25"/>
      <c r="B7" s="25"/>
      <c r="C7" s="26"/>
      <c r="D7" s="25"/>
      <c r="E7" s="25"/>
      <c r="F7" s="25"/>
      <c r="G7" s="27" t="s">
        <v>29</v>
      </c>
      <c r="H7" s="94" t="s">
        <v>30</v>
      </c>
      <c r="I7" s="95"/>
      <c r="J7" s="95"/>
      <c r="K7" s="94" t="s">
        <v>31</v>
      </c>
      <c r="L7" s="95"/>
      <c r="M7" s="95"/>
      <c r="N7" s="57"/>
      <c r="O7" s="58" t="s">
        <v>32</v>
      </c>
      <c r="P7" s="57"/>
      <c r="Q7" s="58" t="s">
        <v>33</v>
      </c>
      <c r="R7" s="57"/>
      <c r="S7" s="57"/>
      <c r="T7" s="72" t="s">
        <v>34</v>
      </c>
      <c r="U7" s="73" t="s">
        <v>35</v>
      </c>
    </row>
    <row r="8" spans="1:21" ht="17.25" customHeight="1">
      <c r="A8" s="24" t="s">
        <v>36</v>
      </c>
      <c r="B8" s="24" t="s">
        <v>37</v>
      </c>
      <c r="C8" s="28" t="s">
        <v>38</v>
      </c>
      <c r="D8" s="24" t="s">
        <v>39</v>
      </c>
      <c r="E8" s="85" t="s">
        <v>40</v>
      </c>
      <c r="F8" s="85" t="s">
        <v>41</v>
      </c>
      <c r="G8" s="24" t="s">
        <v>42</v>
      </c>
      <c r="H8" s="29">
        <v>1</v>
      </c>
      <c r="I8" s="29">
        <v>2</v>
      </c>
      <c r="J8" s="29">
        <v>3</v>
      </c>
      <c r="K8" s="59">
        <v>1</v>
      </c>
      <c r="L8" s="59">
        <v>2</v>
      </c>
      <c r="M8" s="59">
        <v>3</v>
      </c>
      <c r="N8" s="58" t="s">
        <v>43</v>
      </c>
      <c r="O8" s="24" t="s">
        <v>44</v>
      </c>
      <c r="P8" s="24" t="s">
        <v>45</v>
      </c>
      <c r="Q8" s="24" t="s">
        <v>46</v>
      </c>
      <c r="R8" s="24" t="s">
        <v>47</v>
      </c>
      <c r="S8" s="24" t="s">
        <v>48</v>
      </c>
      <c r="T8" s="74" t="s">
        <v>49</v>
      </c>
      <c r="U8" s="75" t="s">
        <v>50</v>
      </c>
    </row>
    <row r="9" spans="1:21" ht="17.25" customHeight="1">
      <c r="A9" s="30">
        <v>1</v>
      </c>
      <c r="B9" s="31">
        <v>1</v>
      </c>
      <c r="C9" s="32"/>
      <c r="D9" s="33">
        <v>43.37</v>
      </c>
      <c r="E9" s="33"/>
      <c r="F9" s="34"/>
      <c r="G9" s="35" t="s">
        <v>51</v>
      </c>
      <c r="H9" s="36">
        <v>44.795000000000002</v>
      </c>
      <c r="I9" s="36">
        <v>45.582999999999998</v>
      </c>
      <c r="J9" s="36">
        <v>45.515000000000001</v>
      </c>
      <c r="K9" s="60">
        <f t="shared" ref="K9:M11" si="0">IF(ISBLANK($D9),"",IF(ISERR(H9/H9)=TRUE,"BAD INSP",H9-$D9))</f>
        <v>1.4250000000000043</v>
      </c>
      <c r="L9" s="60">
        <f t="shared" si="0"/>
        <v>2.213000000000001</v>
      </c>
      <c r="M9" s="60">
        <f t="shared" si="0"/>
        <v>2.1450000000000031</v>
      </c>
      <c r="N9" s="60">
        <f>IF(ISERR(H9/H9)=TRUE," ",AVERAGE(H9:J9))</f>
        <v>45.297666666666665</v>
      </c>
      <c r="O9" s="61" t="str">
        <f>IF(ISBLANK($D9),"",IF(ISNUMBER(E9)=FALSE,"BAD TOL",IF(E9=0,"N/A",IF(ISERR(H9/H9)=TRUE,"BAD INSP",IF(AND(ISNUMBER($H9),ISNUMBER($I9),ISNUMBER($J9))=FALSE,"BAD INSP",IF(MAX($H9:$J9)&lt;$D9,0,(MAX($H9:$J9)-$D9)/$E9))))))</f>
        <v>BAD TOL</v>
      </c>
      <c r="P9" s="61" t="str">
        <f>IF(ISBLANK($D9),"",IF(ISNUMBER(F9)=FALSE,"BAD TOL",IF(F9=0,"N/A",IF(ISERR(H9/H9)=TRUE,"BAD INSP",IF(AND(ISNUMBER($H9),ISNUMBER($I9),ISNUMBER($J9))=FALSE,"BAD INSP",IF(MIN(H9:J9)&gt;$D9,0,($D9-MIN(H9:J9))/F9))))))</f>
        <v>BAD TOL</v>
      </c>
      <c r="Q9" s="76" t="str">
        <f>IF(ISBLANK($D9),"",IF(ISNUMBER($O9)=TRUE,IF($O9&gt;0.651,IF($O9&gt;1.001,"Reject","Alert")," "),IF(AND(E9=0,ISNUMBER(E9)),IF(MAX(H9:J9)&gt;(D9+E9),"Reject",IF(MAX(H9:J9)=(D9+E9),"Alert","")),"Reject")))</f>
        <v>Reject</v>
      </c>
      <c r="R9" s="76" t="str">
        <f>IF(ISBLANK($D9),"",IF(ISNUMBER($P9)=TRUE,IF($P9&gt;0.651,IF($P9&gt;1.001,"Reject","Alert")," "),IF(AND(F9=0,ISNUMBER(F9)),IF(MIN(H9:J9)&lt;(D9-F9),"Reject",IF(MIN(H9:J9)=(D9-F9),"Alert","")),"Reject")))</f>
        <v>Reject</v>
      </c>
      <c r="S9" s="76" t="str">
        <f>IF(OR(Q9="Reject",R9="Reject"),"Reject",IF(OR(Q9="Alert",R9="Alert"),"Alert",""))</f>
        <v>Reject</v>
      </c>
      <c r="T9" s="77"/>
      <c r="U9" s="78"/>
    </row>
    <row r="10" spans="1:21" ht="17.25" customHeight="1">
      <c r="A10" s="30">
        <v>2</v>
      </c>
      <c r="B10" s="31">
        <v>2</v>
      </c>
      <c r="C10" s="32"/>
      <c r="D10" s="33">
        <v>5.28</v>
      </c>
      <c r="E10" s="33">
        <v>0.05</v>
      </c>
      <c r="F10" s="34">
        <v>0.05</v>
      </c>
      <c r="G10" s="35" t="s">
        <v>52</v>
      </c>
      <c r="H10" s="36">
        <v>5.3479999999999999</v>
      </c>
      <c r="I10" s="36">
        <v>5.2729999999999997</v>
      </c>
      <c r="J10" s="36">
        <v>5.4210000000000003</v>
      </c>
      <c r="K10" s="60">
        <f>IF(ISBLANK($D10),"",IF(ISERR(H10/H10)=TRUE,"BAD INSP",H10-$D10))</f>
        <v>6.7999999999999616E-2</v>
      </c>
      <c r="L10" s="60">
        <f>IF(ISBLANK($D10),"",IF(ISERR(I10/I10)=TRUE,"BAD INSP",I10-$D10))</f>
        <v>-7.0000000000005613E-3</v>
      </c>
      <c r="M10" s="60">
        <f>IF(ISBLANK($D10),"",IF(ISERR(J10/J10)=TRUE,"BAD INSP",J10-$D10))</f>
        <v>0.14100000000000001</v>
      </c>
      <c r="N10" s="60">
        <f>IF(ISERR(H10/H10)=TRUE," ",AVERAGE(H10:J10))</f>
        <v>5.3473333333333324</v>
      </c>
      <c r="O10" s="61">
        <f>IF(ISBLANK($D10),"",IF(ISNUMBER(E10)=FALSE,"BAD TOL",IF(E10=0,"N/A",IF(ISERR(H10/H10)=TRUE,"BAD INSP",IF(AND(ISNUMBER($H10),ISNUMBER($I10),ISNUMBER($J10))=FALSE,"BAD INSP",IF(MAX($H10:$J10)&lt;$D10,0,(MAX($H10:$J10)-$D10)/$E10))))))</f>
        <v>2.8200000000000003</v>
      </c>
      <c r="P10" s="61">
        <f>IF(ISBLANK($D10),"",IF(ISNUMBER(F10)=FALSE,"BAD TOL",IF(F10=0,"N/A",IF(ISERR(H10/H10)=TRUE,"BAD INSP",IF(AND(ISNUMBER($H10),ISNUMBER($I10),ISNUMBER($J10))=FALSE,"BAD INSP",IF(MIN(H10:J10)&gt;$D10,0,($D10-MIN(H10:J10))/F10))))))</f>
        <v>0.14000000000001123</v>
      </c>
      <c r="Q10" s="76" t="str">
        <f>IF(ISBLANK($D10),"",IF(ISNUMBER($O10)=TRUE,IF($O10&gt;0.651,IF($O10&gt;1.001,"Reject","Alert")," "),IF(AND(E10=0,ISNUMBER(E10)),IF(MAX(H10:J10)&gt;(D10+E10),"Reject",IF(MAX(H10:J10)=(D10+E10),"Alert","")),"Reject")))</f>
        <v>Reject</v>
      </c>
      <c r="R10" s="76" t="str">
        <f>IF(ISBLANK($D10),"",IF(ISNUMBER($P10)=TRUE,IF($P10&gt;0.651,IF($P10&gt;1.001,"Reject","Alert")," "),IF(AND(F10=0,ISNUMBER(F10)),IF(MIN(H10:J10)&lt;(D10-F10),"Reject",IF(MIN(H10:J10)=(D10-F10),"Alert","")),"Reject")))</f>
        <v xml:space="preserve"> </v>
      </c>
      <c r="S10" s="76" t="str">
        <f>IF(OR(Q10="Reject",R10="Reject"),"Reject",IF(OR(Q10="Alert",R10="Alert"),"Alert",""))</f>
        <v>Reject</v>
      </c>
      <c r="T10" s="77"/>
      <c r="U10" s="78"/>
    </row>
    <row r="11" spans="1:21" ht="17.25" customHeight="1">
      <c r="A11" s="30">
        <v>3</v>
      </c>
      <c r="B11" s="31">
        <v>3</v>
      </c>
      <c r="C11" s="32"/>
      <c r="D11" s="33">
        <v>50</v>
      </c>
      <c r="E11" s="33">
        <v>0.05</v>
      </c>
      <c r="F11" s="34">
        <v>0.05</v>
      </c>
      <c r="G11" s="35" t="s">
        <v>52</v>
      </c>
      <c r="H11" s="36">
        <v>49.875999999999998</v>
      </c>
      <c r="I11" s="36">
        <v>50.043999999999997</v>
      </c>
      <c r="J11" s="36">
        <v>50.067999999999998</v>
      </c>
      <c r="K11" s="60">
        <f t="shared" si="0"/>
        <v>-0.12400000000000233</v>
      </c>
      <c r="L11" s="60">
        <f t="shared" si="0"/>
        <v>4.399999999999693E-2</v>
      </c>
      <c r="M11" s="60">
        <f t="shared" si="0"/>
        <v>6.799999999999784E-2</v>
      </c>
      <c r="N11" s="60">
        <f>IF(ISERR(H11/H11)=TRUE," ",AVERAGE(H11:J11))</f>
        <v>49.996000000000002</v>
      </c>
      <c r="O11" s="61">
        <f>IF(ISBLANK($D11),"",IF(ISNUMBER(E11)=FALSE,"BAD TOL",IF(E11=0,"N/A",IF(ISERR(H11/H11)=TRUE,"BAD INSP",IF(AND(ISNUMBER($H11),ISNUMBER($I11),ISNUMBER($J11))=FALSE,"BAD INSP",IF(MAX($H11:$J11)&lt;$D11,0,(MAX($H11:$J11)-$D11)/$E11))))))</f>
        <v>1.3599999999999568</v>
      </c>
      <c r="P11" s="61">
        <f>IF(ISBLANK($D11),"",IF(ISNUMBER(F11)=FALSE,"BAD TOL",IF(F11=0,"N/A",IF(ISERR(H11/H11)=TRUE,"BAD INSP",IF(AND(ISNUMBER($H11),ISNUMBER($I11),ISNUMBER($J11))=FALSE,"BAD INSP",IF(MIN(H11:J11)&gt;$D11,0,($D11-MIN(H11:J11))/F11))))))</f>
        <v>2.4800000000000466</v>
      </c>
      <c r="Q11" s="76" t="str">
        <f>IF(ISBLANK($D11),"",IF(ISNUMBER($O11)=TRUE,IF($O11&gt;0.651,IF($O11&gt;1.001,"Reject","Alert")," "),IF(AND(E11=0,ISNUMBER(E11)),IF(MAX(H11:J11)&gt;(D11+E11),"Reject",IF(MAX(H11:J11)=(D11+E11),"Alert","")),"Reject")))</f>
        <v>Reject</v>
      </c>
      <c r="R11" s="76" t="str">
        <f>IF(ISBLANK($D11),"",IF(ISNUMBER($P11)=TRUE,IF($P11&gt;0.651,IF($P11&gt;1.001,"Reject","Alert")," "),IF(AND(F11=0,ISNUMBER(F11)),IF(MIN(H11:J11)&lt;(D11-F11),"Reject",IF(MIN(H11:J11)=(D11-F11),"Alert","")),"Reject")))</f>
        <v>Reject</v>
      </c>
      <c r="S11" s="76" t="str">
        <f>IF(OR(Q11="Reject",R11="Reject"),"Reject",IF(OR(Q11="Alert",R11="Alert"),"Alert",""))</f>
        <v>Reject</v>
      </c>
      <c r="T11" s="79"/>
      <c r="U11" s="78"/>
    </row>
    <row r="12" spans="1:21" ht="17.25" customHeight="1">
      <c r="A12" s="30">
        <v>4</v>
      </c>
      <c r="B12" s="37">
        <v>4</v>
      </c>
      <c r="C12" s="32"/>
      <c r="D12" s="33">
        <v>42</v>
      </c>
      <c r="E12" s="33">
        <v>0.05</v>
      </c>
      <c r="F12" s="34">
        <v>0.05</v>
      </c>
      <c r="G12" s="35" t="s">
        <v>52</v>
      </c>
      <c r="H12" s="36">
        <v>41.927999999999997</v>
      </c>
      <c r="I12" s="36">
        <v>41.976999999999997</v>
      </c>
      <c r="J12" s="36">
        <v>41.98</v>
      </c>
      <c r="K12" s="60">
        <f t="shared" ref="K12:M17" si="1">IF(ISBLANK($D12),"",IF(ISERR(H12/H12)=TRUE,"BAD INSP",H12-$D12))</f>
        <v>-7.2000000000002728E-2</v>
      </c>
      <c r="L12" s="60">
        <f t="shared" si="1"/>
        <v>-2.300000000000324E-2</v>
      </c>
      <c r="M12" s="60">
        <f t="shared" si="1"/>
        <v>-2.0000000000003126E-2</v>
      </c>
      <c r="N12" s="60">
        <f t="shared" ref="N12:N18" si="2">IF(ISERR(H12/H12)=TRUE," ",AVERAGE(H12:J12))</f>
        <v>41.961666666666666</v>
      </c>
      <c r="O12" s="61">
        <f t="shared" ref="O12:O18" si="3">IF(ISBLANK($D12),"",IF(ISNUMBER(E12)=FALSE,"BAD TOL",IF(E12=0,"N/A",IF(ISERR(H12/H12)=TRUE,"BAD INSP",IF(AND(ISNUMBER($H12),ISNUMBER($I12),ISNUMBER($J12))=FALSE,"BAD INSP",IF(MAX($H12:$J12)&lt;$D12,0,(MAX($H12:$J12)-$D12)/$E12))))))</f>
        <v>0</v>
      </c>
      <c r="P12" s="61">
        <f t="shared" ref="P12:P18" si="4">IF(ISBLANK($D12),"",IF(ISNUMBER(F12)=FALSE,"BAD TOL",IF(F12=0,"N/A",IF(ISERR(H12/H12)=TRUE,"BAD INSP",IF(AND(ISNUMBER($H12),ISNUMBER($I12),ISNUMBER($J12))=FALSE,"BAD INSP",IF(MIN(H12:J12)&gt;$D12,0,($D12-MIN(H12:J12))/F12))))))</f>
        <v>1.4400000000000546</v>
      </c>
      <c r="Q12" s="76" t="str">
        <f t="shared" ref="Q12:Q18" si="5">IF(ISBLANK($D12),"",IF(ISNUMBER($O12)=TRUE,IF($O12&gt;0.651,IF($O12&gt;1.001,"Reject","Alert")," "),IF(AND(E12=0,ISNUMBER(E12)),IF(MAX(H12:J12)&gt;(D12+E12),"Reject",IF(MAX(H12:J12)=(D12+E12),"Alert","")),"Reject")))</f>
        <v xml:space="preserve"> </v>
      </c>
      <c r="R12" s="76" t="str">
        <f t="shared" ref="R12:R18" si="6">IF(ISBLANK($D12),"",IF(ISNUMBER($P12)=TRUE,IF($P12&gt;0.651,IF($P12&gt;1.001,"Reject","Alert")," "),IF(AND(F12=0,ISNUMBER(F12)),IF(MIN(H12:J12)&lt;(D12-F12),"Reject",IF(MIN(H12:J12)=(D12-F12),"Alert","")),"Reject")))</f>
        <v>Reject</v>
      </c>
      <c r="S12" s="76" t="str">
        <f t="shared" ref="S12:S18" si="7">IF(OR(Q12="Reject",R12="Reject"),"Reject",IF(OR(Q12="Alert",R12="Alert"),"Alert",""))</f>
        <v>Reject</v>
      </c>
      <c r="T12" s="79"/>
      <c r="U12" s="78"/>
    </row>
    <row r="13" spans="1:21" ht="17.25" customHeight="1">
      <c r="A13" s="30">
        <v>5</v>
      </c>
      <c r="B13" s="31">
        <v>5</v>
      </c>
      <c r="C13" s="32"/>
      <c r="D13" s="33">
        <v>25</v>
      </c>
      <c r="E13" s="33">
        <v>0.05</v>
      </c>
      <c r="F13" s="34">
        <v>0.05</v>
      </c>
      <c r="G13" s="35" t="s">
        <v>52</v>
      </c>
      <c r="H13" s="36">
        <v>24.951000000000001</v>
      </c>
      <c r="I13" s="36">
        <v>25.02</v>
      </c>
      <c r="J13" s="36">
        <v>24.960999999999999</v>
      </c>
      <c r="K13" s="60">
        <f>IF(ISBLANK($D13),"",IF(ISERR(H13/H13)=TRUE,"BAD INSP",H13-$D13))</f>
        <v>-4.8999999999999488E-2</v>
      </c>
      <c r="L13" s="60">
        <f>IF(ISBLANK($D13),"",IF(ISERR(I13/I13)=TRUE,"BAD INSP",I13-$D13))</f>
        <v>1.9999999999999574E-2</v>
      </c>
      <c r="M13" s="60">
        <f>IF(ISBLANK($D13),"",IF(ISERR(J13/J13)=TRUE,"BAD INSP",J13-$D13))</f>
        <v>-3.9000000000001478E-2</v>
      </c>
      <c r="N13" s="62">
        <f t="shared" si="2"/>
        <v>24.977333333333334</v>
      </c>
      <c r="O13" s="61">
        <f t="shared" si="3"/>
        <v>0.39999999999999147</v>
      </c>
      <c r="P13" s="61">
        <f t="shared" si="4"/>
        <v>0.97999999999998977</v>
      </c>
      <c r="Q13" s="76" t="str">
        <f t="shared" si="5"/>
        <v xml:space="preserve"> </v>
      </c>
      <c r="R13" s="76" t="str">
        <f t="shared" si="6"/>
        <v>Alert</v>
      </c>
      <c r="S13" s="76" t="str">
        <f t="shared" si="7"/>
        <v>Alert</v>
      </c>
      <c r="T13" s="80"/>
      <c r="U13" s="78"/>
    </row>
    <row r="14" spans="1:21" ht="17.25" customHeight="1">
      <c r="A14" s="30">
        <v>6</v>
      </c>
      <c r="B14" s="31">
        <v>6</v>
      </c>
      <c r="C14" s="32"/>
      <c r="D14" s="33">
        <v>8</v>
      </c>
      <c r="E14" s="33">
        <v>0.05</v>
      </c>
      <c r="F14" s="34">
        <v>0.05</v>
      </c>
      <c r="G14" s="35" t="s">
        <v>52</v>
      </c>
      <c r="H14" s="36">
        <v>8.0090000000000003</v>
      </c>
      <c r="I14" s="36">
        <v>8.0410000000000004</v>
      </c>
      <c r="J14" s="36">
        <v>8.0489999999999995</v>
      </c>
      <c r="K14" s="60">
        <f t="shared" si="1"/>
        <v>9.0000000000003411E-3</v>
      </c>
      <c r="L14" s="60">
        <f t="shared" si="1"/>
        <v>4.1000000000000369E-2</v>
      </c>
      <c r="M14" s="60">
        <f t="shared" si="1"/>
        <v>4.8999999999999488E-2</v>
      </c>
      <c r="N14" s="62">
        <f t="shared" si="2"/>
        <v>8.0329999999999995</v>
      </c>
      <c r="O14" s="61">
        <f t="shared" si="3"/>
        <v>0.97999999999998977</v>
      </c>
      <c r="P14" s="61">
        <f t="shared" si="4"/>
        <v>0</v>
      </c>
      <c r="Q14" s="76" t="str">
        <f t="shared" si="5"/>
        <v>Alert</v>
      </c>
      <c r="R14" s="76" t="str">
        <f t="shared" si="6"/>
        <v xml:space="preserve"> </v>
      </c>
      <c r="S14" s="76" t="str">
        <f t="shared" si="7"/>
        <v>Alert</v>
      </c>
      <c r="T14" s="77"/>
      <c r="U14" s="78"/>
    </row>
    <row r="15" spans="1:21" ht="17.25" customHeight="1">
      <c r="A15" s="30">
        <v>7</v>
      </c>
      <c r="B15" s="38" t="s">
        <v>53</v>
      </c>
      <c r="C15" s="32"/>
      <c r="D15" s="33">
        <v>2.14</v>
      </c>
      <c r="E15" s="33">
        <v>0.03</v>
      </c>
      <c r="F15" s="34">
        <v>0.03</v>
      </c>
      <c r="G15" s="35" t="s">
        <v>52</v>
      </c>
      <c r="H15" s="36">
        <v>2.0960000000000001</v>
      </c>
      <c r="I15" s="36">
        <v>2.1440000000000001</v>
      </c>
      <c r="J15" s="36">
        <v>2.1309999999999998</v>
      </c>
      <c r="K15" s="60">
        <f t="shared" si="1"/>
        <v>-4.4000000000000039E-2</v>
      </c>
      <c r="L15" s="60">
        <f t="shared" si="1"/>
        <v>4.0000000000000036E-3</v>
      </c>
      <c r="M15" s="60">
        <f t="shared" si="1"/>
        <v>-9.0000000000003411E-3</v>
      </c>
      <c r="N15" s="62">
        <f t="shared" si="2"/>
        <v>2.1236666666666668</v>
      </c>
      <c r="O15" s="61">
        <f t="shared" si="3"/>
        <v>0.13333333333333347</v>
      </c>
      <c r="P15" s="61">
        <f t="shared" si="4"/>
        <v>1.4666666666666681</v>
      </c>
      <c r="Q15" s="76" t="str">
        <f t="shared" si="5"/>
        <v xml:space="preserve"> </v>
      </c>
      <c r="R15" s="76" t="str">
        <f t="shared" si="6"/>
        <v>Reject</v>
      </c>
      <c r="S15" s="76" t="str">
        <f t="shared" si="7"/>
        <v>Reject</v>
      </c>
      <c r="T15" s="79"/>
      <c r="U15" s="78"/>
    </row>
    <row r="16" spans="1:21" ht="17.25" customHeight="1">
      <c r="A16" s="30">
        <v>8</v>
      </c>
      <c r="B16" s="38" t="s">
        <v>54</v>
      </c>
      <c r="C16" s="32"/>
      <c r="D16" s="33">
        <v>2.14</v>
      </c>
      <c r="E16" s="33">
        <v>0.03</v>
      </c>
      <c r="F16" s="34">
        <v>0.03</v>
      </c>
      <c r="G16" s="35" t="s">
        <v>52</v>
      </c>
      <c r="H16" s="36">
        <v>2.1640000000000001</v>
      </c>
      <c r="I16" s="36">
        <v>2.198</v>
      </c>
      <c r="J16" s="36">
        <v>2.1560000000000001</v>
      </c>
      <c r="K16" s="60">
        <f t="shared" si="1"/>
        <v>2.4000000000000021E-2</v>
      </c>
      <c r="L16" s="60">
        <f t="shared" si="1"/>
        <v>5.7999999999999829E-2</v>
      </c>
      <c r="M16" s="60">
        <f t="shared" si="1"/>
        <v>1.6000000000000014E-2</v>
      </c>
      <c r="N16" s="62">
        <f t="shared" si="2"/>
        <v>2.1726666666666667</v>
      </c>
      <c r="O16" s="61">
        <f t="shared" si="3"/>
        <v>1.9333333333333278</v>
      </c>
      <c r="P16" s="61">
        <f t="shared" si="4"/>
        <v>0</v>
      </c>
      <c r="Q16" s="76" t="str">
        <f t="shared" si="5"/>
        <v>Reject</v>
      </c>
      <c r="R16" s="76" t="str">
        <f t="shared" si="6"/>
        <v xml:space="preserve"> </v>
      </c>
      <c r="S16" s="76" t="str">
        <f t="shared" si="7"/>
        <v>Reject</v>
      </c>
      <c r="T16" s="79"/>
      <c r="U16" s="78"/>
    </row>
    <row r="17" spans="1:21" ht="17.25" customHeight="1">
      <c r="A17" s="30">
        <v>9</v>
      </c>
      <c r="B17" s="38" t="s">
        <v>55</v>
      </c>
      <c r="C17" s="32"/>
      <c r="D17" s="33">
        <v>2.14</v>
      </c>
      <c r="E17" s="33">
        <v>0.03</v>
      </c>
      <c r="F17" s="34">
        <v>0.03</v>
      </c>
      <c r="G17" s="35" t="s">
        <v>52</v>
      </c>
      <c r="H17" s="36">
        <v>2.117</v>
      </c>
      <c r="I17" s="36">
        <v>2.1179999999999999</v>
      </c>
      <c r="J17" s="36">
        <v>2.1120000000000001</v>
      </c>
      <c r="K17" s="60">
        <f t="shared" si="1"/>
        <v>-2.3000000000000131E-2</v>
      </c>
      <c r="L17" s="60">
        <f t="shared" si="1"/>
        <v>-2.2000000000000242E-2</v>
      </c>
      <c r="M17" s="60">
        <f t="shared" si="1"/>
        <v>-2.8000000000000025E-2</v>
      </c>
      <c r="N17" s="60">
        <f t="shared" si="2"/>
        <v>2.1156666666666664</v>
      </c>
      <c r="O17" s="61">
        <f t="shared" si="3"/>
        <v>0</v>
      </c>
      <c r="P17" s="61">
        <f t="shared" si="4"/>
        <v>0.93333333333333424</v>
      </c>
      <c r="Q17" s="76" t="str">
        <f t="shared" si="5"/>
        <v xml:space="preserve"> </v>
      </c>
      <c r="R17" s="76" t="str">
        <f t="shared" si="6"/>
        <v>Alert</v>
      </c>
      <c r="S17" s="76" t="str">
        <f t="shared" si="7"/>
        <v>Alert</v>
      </c>
      <c r="T17" s="80"/>
      <c r="U17" s="78"/>
    </row>
    <row r="18" spans="1:21" ht="17.25" customHeight="1">
      <c r="A18" s="30">
        <v>10</v>
      </c>
      <c r="B18" s="38" t="s">
        <v>56</v>
      </c>
      <c r="C18" s="32"/>
      <c r="D18" s="33">
        <v>0.96</v>
      </c>
      <c r="E18" s="33">
        <v>0.03</v>
      </c>
      <c r="F18" s="34">
        <v>0.03</v>
      </c>
      <c r="G18" s="35" t="s">
        <v>52</v>
      </c>
      <c r="H18" s="36">
        <v>0.94</v>
      </c>
      <c r="I18" s="36">
        <v>0.94</v>
      </c>
      <c r="J18" s="36">
        <v>0.94</v>
      </c>
      <c r="K18" s="60">
        <f>IF(ISBLANK($D18),"",IF(ISERR(H18/H18)=TRUE,"BAD INSP",H18-$D18))</f>
        <v>-2.0000000000000018E-2</v>
      </c>
      <c r="L18" s="60">
        <f>IF(ISBLANK($D18),"",IF(ISERR(I18/I18)=TRUE,"BAD INSP",I18-$D18))</f>
        <v>-2.0000000000000018E-2</v>
      </c>
      <c r="M18" s="60">
        <f>IF(ISBLANK($D18),"",IF(ISERR(J18/J18)=TRUE,"BAD INSP",J18-$D18))</f>
        <v>-2.0000000000000018E-2</v>
      </c>
      <c r="N18" s="60">
        <f t="shared" si="2"/>
        <v>0.94</v>
      </c>
      <c r="O18" s="61">
        <f t="shared" si="3"/>
        <v>0</v>
      </c>
      <c r="P18" s="61">
        <f t="shared" si="4"/>
        <v>0.6666666666666673</v>
      </c>
      <c r="Q18" s="76" t="str">
        <f t="shared" si="5"/>
        <v xml:space="preserve"> </v>
      </c>
      <c r="R18" s="76" t="str">
        <f t="shared" si="6"/>
        <v>Alert</v>
      </c>
      <c r="S18" s="76" t="str">
        <f t="shared" si="7"/>
        <v>Alert</v>
      </c>
      <c r="T18" s="81"/>
      <c r="U18" s="78"/>
    </row>
    <row r="19" spans="1:21" ht="17.25" customHeight="1">
      <c r="A19" s="30">
        <v>11</v>
      </c>
      <c r="B19" s="38" t="s">
        <v>57</v>
      </c>
      <c r="C19" s="32"/>
      <c r="D19" s="33">
        <v>0.96</v>
      </c>
      <c r="E19" s="33">
        <v>0.03</v>
      </c>
      <c r="F19" s="34">
        <v>0.03</v>
      </c>
      <c r="G19" s="35" t="s">
        <v>52</v>
      </c>
      <c r="H19" s="36">
        <v>0.93</v>
      </c>
      <c r="I19" s="36">
        <v>0.93</v>
      </c>
      <c r="J19" s="36">
        <v>0.94</v>
      </c>
      <c r="K19" s="60">
        <f t="shared" ref="K19:K29" si="8">IF(ISBLANK($D19),"",IF(ISERR(H19/H19)=TRUE,"BAD INSP",H19-$D19))</f>
        <v>-2.9999999999999916E-2</v>
      </c>
      <c r="L19" s="60">
        <f t="shared" ref="L19:L29" si="9">IF(ISBLANK($D19),"",IF(ISERR(I19/I19)=TRUE,"BAD INSP",I19-$D19))</f>
        <v>-2.9999999999999916E-2</v>
      </c>
      <c r="M19" s="60">
        <f t="shared" ref="M19:M29" si="10">IF(ISBLANK($D19),"",IF(ISERR(J19/J19)=TRUE,"BAD INSP",J19-$D19))</f>
        <v>-2.0000000000000018E-2</v>
      </c>
      <c r="N19" s="60">
        <f t="shared" ref="N19:N29" si="11">IF(ISERR(H19/H19)=TRUE," ",AVERAGE(H19:J19))</f>
        <v>0.93333333333333324</v>
      </c>
      <c r="O19" s="61">
        <f t="shared" ref="O19:O29" si="12">IF(ISBLANK($D19),"",IF(ISNUMBER(E19)=FALSE,"BAD TOL",IF(E19=0,"N/A",IF(ISERR(H19/H19)=TRUE,"BAD INSP",IF(AND(ISNUMBER($H19),ISNUMBER($I19),ISNUMBER($J19))=FALSE,"BAD INSP",IF(MAX($H19:$J19)&lt;$D19,0,(MAX($H19:$J19)-$D19)/$E19))))))</f>
        <v>0</v>
      </c>
      <c r="P19" s="61">
        <f t="shared" ref="P19:P29" si="13">IF(ISBLANK($D19),"",IF(ISNUMBER(F19)=FALSE,"BAD TOL",IF(F19=0,"N/A",IF(ISERR(H19/H19)=TRUE,"BAD INSP",IF(AND(ISNUMBER($H19),ISNUMBER($I19),ISNUMBER($J19))=FALSE,"BAD INSP",IF(MIN(H19:J19)&gt;$D19,0,($D19-MIN(H19:J19))/F19))))))</f>
        <v>0.99999999999999722</v>
      </c>
      <c r="Q19" s="76" t="str">
        <f t="shared" ref="Q19:Q29" si="14">IF(ISBLANK($D19),"",IF(ISNUMBER($O19)=TRUE,IF($O19&gt;0.651,IF($O19&gt;1.001,"Reject","Alert")," "),IF(AND(E19=0,ISNUMBER(E19)),IF(MAX(H19:J19)&gt;(D19+E19),"Reject",IF(MAX(H19:J19)=(D19+E19),"Alert","")),"Reject")))</f>
        <v xml:space="preserve"> </v>
      </c>
      <c r="R19" s="76" t="str">
        <f t="shared" ref="R19:R29" si="15">IF(ISBLANK($D19),"",IF(ISNUMBER($P19)=TRUE,IF($P19&gt;0.651,IF($P19&gt;1.001,"Reject","Alert")," "),IF(AND(F19=0,ISNUMBER(F19)),IF(MIN(H19:J19)&lt;(D19-F19),"Reject",IF(MIN(H19:J19)=(D19-F19),"Alert","")),"Reject")))</f>
        <v>Alert</v>
      </c>
      <c r="S19" s="76" t="str">
        <f t="shared" ref="S19:S29" si="16">IF(OR(Q19="Reject",R19="Reject"),"Reject",IF(OR(Q19="Alert",R19="Alert"),"Alert",""))</f>
        <v>Alert</v>
      </c>
      <c r="T19" s="82"/>
      <c r="U19" s="83"/>
    </row>
    <row r="20" spans="1:21" ht="17.25" customHeight="1">
      <c r="A20" s="30">
        <v>12</v>
      </c>
      <c r="B20" s="37">
        <v>9</v>
      </c>
      <c r="C20" s="32"/>
      <c r="D20" s="39">
        <v>59.31</v>
      </c>
      <c r="E20" s="39">
        <v>0.3</v>
      </c>
      <c r="F20" s="40">
        <v>0.3</v>
      </c>
      <c r="G20" s="35" t="s">
        <v>52</v>
      </c>
      <c r="H20" s="36">
        <v>58.8</v>
      </c>
      <c r="I20" s="36">
        <v>59.526000000000003</v>
      </c>
      <c r="J20" s="36">
        <v>58.917000000000002</v>
      </c>
      <c r="K20" s="60">
        <f t="shared" si="8"/>
        <v>-0.51000000000000512</v>
      </c>
      <c r="L20" s="60">
        <f t="shared" si="9"/>
        <v>0.21600000000000108</v>
      </c>
      <c r="M20" s="60">
        <f t="shared" si="10"/>
        <v>-0.39300000000000068</v>
      </c>
      <c r="N20" s="60">
        <f t="shared" si="11"/>
        <v>59.080999999999996</v>
      </c>
      <c r="O20" s="61">
        <f t="shared" si="12"/>
        <v>0.72000000000000364</v>
      </c>
      <c r="P20" s="61">
        <f t="shared" si="13"/>
        <v>1.7000000000000171</v>
      </c>
      <c r="Q20" s="76" t="str">
        <f t="shared" si="14"/>
        <v>Alert</v>
      </c>
      <c r="R20" s="76" t="str">
        <f t="shared" si="15"/>
        <v>Reject</v>
      </c>
      <c r="S20" s="76" t="str">
        <f t="shared" si="16"/>
        <v>Reject</v>
      </c>
      <c r="T20" s="82"/>
      <c r="U20" s="83"/>
    </row>
    <row r="21" spans="1:21" ht="17.25" customHeight="1">
      <c r="A21" s="30">
        <v>13</v>
      </c>
      <c r="B21" s="31">
        <v>10</v>
      </c>
      <c r="C21" s="41"/>
      <c r="D21" s="39">
        <v>59.31</v>
      </c>
      <c r="E21" s="39">
        <v>0.3</v>
      </c>
      <c r="F21" s="40">
        <v>0.3</v>
      </c>
      <c r="G21" s="35"/>
      <c r="H21" s="36">
        <v>59.363</v>
      </c>
      <c r="I21" s="36">
        <v>59.234000000000002</v>
      </c>
      <c r="J21" s="36">
        <v>59.357999999999997</v>
      </c>
      <c r="K21" s="60">
        <f t="shared" si="8"/>
        <v>5.2999999999997272E-2</v>
      </c>
      <c r="L21" s="60">
        <f t="shared" si="9"/>
        <v>-7.6000000000000512E-2</v>
      </c>
      <c r="M21" s="60">
        <f t="shared" si="10"/>
        <v>4.7999999999994714E-2</v>
      </c>
      <c r="N21" s="60">
        <f t="shared" si="11"/>
        <v>59.318333333333335</v>
      </c>
      <c r="O21" s="61">
        <f t="shared" si="12"/>
        <v>0.17666666666665759</v>
      </c>
      <c r="P21" s="61">
        <f t="shared" si="13"/>
        <v>0.25333333333333508</v>
      </c>
      <c r="Q21" s="76" t="str">
        <f t="shared" si="14"/>
        <v xml:space="preserve"> </v>
      </c>
      <c r="R21" s="76" t="str">
        <f t="shared" si="15"/>
        <v xml:space="preserve"> </v>
      </c>
      <c r="S21" s="76" t="str">
        <f t="shared" si="16"/>
        <v/>
      </c>
      <c r="T21" s="82"/>
      <c r="U21" s="83"/>
    </row>
    <row r="22" spans="1:21" ht="17.25" customHeight="1">
      <c r="A22" s="30">
        <v>14</v>
      </c>
      <c r="B22" s="37"/>
      <c r="C22" s="41"/>
      <c r="D22" s="33"/>
      <c r="E22" s="33"/>
      <c r="F22" s="34"/>
      <c r="G22" s="35"/>
      <c r="H22" s="36"/>
      <c r="I22" s="36"/>
      <c r="J22" s="36"/>
      <c r="K22" s="60" t="str">
        <f t="shared" si="8"/>
        <v/>
      </c>
      <c r="L22" s="60" t="str">
        <f t="shared" si="9"/>
        <v/>
      </c>
      <c r="M22" s="60" t="str">
        <f t="shared" si="10"/>
        <v/>
      </c>
      <c r="N22" s="60" t="str">
        <f t="shared" si="11"/>
        <v xml:space="preserve"> </v>
      </c>
      <c r="O22" s="61" t="str">
        <f t="shared" si="12"/>
        <v/>
      </c>
      <c r="P22" s="61" t="str">
        <f t="shared" si="13"/>
        <v/>
      </c>
      <c r="Q22" s="76" t="str">
        <f t="shared" si="14"/>
        <v/>
      </c>
      <c r="R22" s="76" t="str">
        <f t="shared" si="15"/>
        <v/>
      </c>
      <c r="S22" s="76" t="str">
        <f t="shared" si="16"/>
        <v/>
      </c>
      <c r="T22" s="82"/>
      <c r="U22" s="83"/>
    </row>
    <row r="23" spans="1:21" ht="17.25" customHeight="1">
      <c r="A23" s="30">
        <v>15</v>
      </c>
      <c r="B23" s="37"/>
      <c r="C23" s="41"/>
      <c r="D23" s="33"/>
      <c r="E23" s="33"/>
      <c r="F23" s="34"/>
      <c r="G23" s="35"/>
      <c r="H23" s="36"/>
      <c r="I23" s="36"/>
      <c r="J23" s="36"/>
      <c r="K23" s="60" t="str">
        <f t="shared" si="8"/>
        <v/>
      </c>
      <c r="L23" s="60" t="str">
        <f t="shared" si="9"/>
        <v/>
      </c>
      <c r="M23" s="60" t="str">
        <f t="shared" si="10"/>
        <v/>
      </c>
      <c r="N23" s="60" t="str">
        <f t="shared" si="11"/>
        <v xml:space="preserve"> </v>
      </c>
      <c r="O23" s="61" t="str">
        <f t="shared" si="12"/>
        <v/>
      </c>
      <c r="P23" s="61" t="str">
        <f t="shared" si="13"/>
        <v/>
      </c>
      <c r="Q23" s="76" t="str">
        <f t="shared" si="14"/>
        <v/>
      </c>
      <c r="R23" s="76" t="str">
        <f t="shared" si="15"/>
        <v/>
      </c>
      <c r="S23" s="76" t="str">
        <f t="shared" si="16"/>
        <v/>
      </c>
      <c r="T23" s="82"/>
      <c r="U23" s="83"/>
    </row>
    <row r="24" spans="1:21" ht="17.25" customHeight="1">
      <c r="A24" s="30">
        <v>16</v>
      </c>
      <c r="B24" s="37"/>
      <c r="C24" s="41"/>
      <c r="D24" s="33"/>
      <c r="E24" s="33"/>
      <c r="F24" s="34"/>
      <c r="G24" s="35"/>
      <c r="H24" s="36"/>
      <c r="I24" s="36"/>
      <c r="J24" s="36"/>
      <c r="K24" s="60" t="str">
        <f t="shared" si="8"/>
        <v/>
      </c>
      <c r="L24" s="60" t="str">
        <f t="shared" si="9"/>
        <v/>
      </c>
      <c r="M24" s="60" t="str">
        <f t="shared" si="10"/>
        <v/>
      </c>
      <c r="N24" s="60" t="str">
        <f t="shared" si="11"/>
        <v xml:space="preserve"> </v>
      </c>
      <c r="O24" s="61" t="str">
        <f t="shared" si="12"/>
        <v/>
      </c>
      <c r="P24" s="61" t="str">
        <f t="shared" si="13"/>
        <v/>
      </c>
      <c r="Q24" s="76" t="str">
        <f t="shared" si="14"/>
        <v/>
      </c>
      <c r="R24" s="76" t="str">
        <f t="shared" si="15"/>
        <v/>
      </c>
      <c r="S24" s="76" t="str">
        <f t="shared" si="16"/>
        <v/>
      </c>
      <c r="T24" s="82"/>
      <c r="U24" s="83"/>
    </row>
    <row r="25" spans="1:21" ht="17.25" customHeight="1">
      <c r="A25" s="30">
        <v>17</v>
      </c>
      <c r="B25" s="37"/>
      <c r="C25" s="41"/>
      <c r="D25" s="33"/>
      <c r="E25" s="33"/>
      <c r="F25" s="34"/>
      <c r="G25" s="35"/>
      <c r="H25" s="36"/>
      <c r="I25" s="36"/>
      <c r="J25" s="36"/>
      <c r="K25" s="60" t="str">
        <f t="shared" si="8"/>
        <v/>
      </c>
      <c r="L25" s="60" t="str">
        <f t="shared" si="9"/>
        <v/>
      </c>
      <c r="M25" s="60" t="str">
        <f t="shared" si="10"/>
        <v/>
      </c>
      <c r="N25" s="60" t="str">
        <f t="shared" si="11"/>
        <v xml:space="preserve"> </v>
      </c>
      <c r="O25" s="61" t="str">
        <f t="shared" si="12"/>
        <v/>
      </c>
      <c r="P25" s="61" t="str">
        <f t="shared" si="13"/>
        <v/>
      </c>
      <c r="Q25" s="76" t="str">
        <f t="shared" si="14"/>
        <v/>
      </c>
      <c r="R25" s="76" t="str">
        <f t="shared" si="15"/>
        <v/>
      </c>
      <c r="S25" s="76" t="str">
        <f t="shared" si="16"/>
        <v/>
      </c>
      <c r="T25" s="82"/>
      <c r="U25" s="83"/>
    </row>
    <row r="26" spans="1:21" ht="17.25" customHeight="1">
      <c r="A26" s="30">
        <v>18</v>
      </c>
      <c r="B26" s="37"/>
      <c r="C26" s="41"/>
      <c r="D26" s="33"/>
      <c r="E26" s="33"/>
      <c r="F26" s="34"/>
      <c r="G26" s="35"/>
      <c r="H26" s="36"/>
      <c r="I26" s="36"/>
      <c r="J26" s="36"/>
      <c r="K26" s="60" t="str">
        <f t="shared" si="8"/>
        <v/>
      </c>
      <c r="L26" s="60" t="str">
        <f t="shared" si="9"/>
        <v/>
      </c>
      <c r="M26" s="60" t="str">
        <f t="shared" si="10"/>
        <v/>
      </c>
      <c r="N26" s="60" t="str">
        <f t="shared" si="11"/>
        <v xml:space="preserve"> </v>
      </c>
      <c r="O26" s="61" t="str">
        <f t="shared" si="12"/>
        <v/>
      </c>
      <c r="P26" s="61" t="str">
        <f t="shared" si="13"/>
        <v/>
      </c>
      <c r="Q26" s="76" t="str">
        <f t="shared" si="14"/>
        <v/>
      </c>
      <c r="R26" s="76" t="str">
        <f t="shared" si="15"/>
        <v/>
      </c>
      <c r="S26" s="76" t="str">
        <f t="shared" si="16"/>
        <v/>
      </c>
      <c r="T26" s="82"/>
      <c r="U26" s="83"/>
    </row>
    <row r="27" spans="1:21" ht="17.25" customHeight="1">
      <c r="A27" s="30">
        <v>19</v>
      </c>
      <c r="B27" s="37"/>
      <c r="C27" s="41"/>
      <c r="D27" s="33"/>
      <c r="E27" s="33"/>
      <c r="F27" s="34"/>
      <c r="G27" s="35"/>
      <c r="H27" s="36"/>
      <c r="I27" s="36"/>
      <c r="J27" s="36"/>
      <c r="K27" s="60" t="str">
        <f t="shared" si="8"/>
        <v/>
      </c>
      <c r="L27" s="60" t="str">
        <f t="shared" si="9"/>
        <v/>
      </c>
      <c r="M27" s="60" t="str">
        <f t="shared" si="10"/>
        <v/>
      </c>
      <c r="N27" s="60" t="str">
        <f t="shared" si="11"/>
        <v xml:space="preserve"> </v>
      </c>
      <c r="O27" s="61" t="str">
        <f t="shared" si="12"/>
        <v/>
      </c>
      <c r="P27" s="61" t="str">
        <f t="shared" si="13"/>
        <v/>
      </c>
      <c r="Q27" s="76" t="str">
        <f t="shared" si="14"/>
        <v/>
      </c>
      <c r="R27" s="76" t="str">
        <f t="shared" si="15"/>
        <v/>
      </c>
      <c r="S27" s="76" t="str">
        <f t="shared" si="16"/>
        <v/>
      </c>
      <c r="T27" s="82"/>
      <c r="U27" s="83"/>
    </row>
    <row r="28" spans="1:21" ht="17.25" customHeight="1">
      <c r="A28" s="30">
        <v>20</v>
      </c>
      <c r="B28" s="37"/>
      <c r="C28" s="41"/>
      <c r="D28" s="33"/>
      <c r="E28" s="33"/>
      <c r="F28" s="34"/>
      <c r="G28" s="35"/>
      <c r="H28" s="36"/>
      <c r="I28" s="36"/>
      <c r="J28" s="36"/>
      <c r="K28" s="60" t="str">
        <f t="shared" si="8"/>
        <v/>
      </c>
      <c r="L28" s="60" t="str">
        <f t="shared" si="9"/>
        <v/>
      </c>
      <c r="M28" s="60" t="str">
        <f t="shared" si="10"/>
        <v/>
      </c>
      <c r="N28" s="60" t="str">
        <f t="shared" si="11"/>
        <v xml:space="preserve"> </v>
      </c>
      <c r="O28" s="61" t="str">
        <f t="shared" si="12"/>
        <v/>
      </c>
      <c r="P28" s="61" t="str">
        <f t="shared" si="13"/>
        <v/>
      </c>
      <c r="Q28" s="76" t="str">
        <f t="shared" si="14"/>
        <v/>
      </c>
      <c r="R28" s="76" t="str">
        <f t="shared" si="15"/>
        <v/>
      </c>
      <c r="S28" s="76" t="str">
        <f t="shared" si="16"/>
        <v/>
      </c>
      <c r="T28" s="82"/>
      <c r="U28" s="83"/>
    </row>
    <row r="29" spans="1:21">
      <c r="A29" s="30">
        <v>21</v>
      </c>
      <c r="B29" s="5"/>
      <c r="D29" s="33"/>
      <c r="E29" s="33"/>
      <c r="F29" s="34"/>
      <c r="G29" s="35"/>
      <c r="H29" s="36"/>
      <c r="I29" s="36"/>
      <c r="J29" s="36"/>
      <c r="K29" s="60" t="str">
        <f t="shared" si="8"/>
        <v/>
      </c>
      <c r="L29" s="60" t="str">
        <f t="shared" si="9"/>
        <v/>
      </c>
      <c r="M29" s="60" t="str">
        <f t="shared" si="10"/>
        <v/>
      </c>
      <c r="N29" s="60" t="str">
        <f t="shared" si="11"/>
        <v xml:space="preserve"> </v>
      </c>
      <c r="O29" s="61" t="str">
        <f t="shared" si="12"/>
        <v/>
      </c>
      <c r="P29" s="61" t="str">
        <f t="shared" si="13"/>
        <v/>
      </c>
      <c r="Q29" s="76" t="str">
        <f t="shared" si="14"/>
        <v/>
      </c>
      <c r="R29" s="76" t="str">
        <f t="shared" si="15"/>
        <v/>
      </c>
      <c r="S29" s="76" t="str">
        <f t="shared" si="16"/>
        <v/>
      </c>
      <c r="T29" s="84"/>
    </row>
    <row r="30" spans="1:21">
      <c r="T30" s="84"/>
    </row>
    <row r="31" spans="1:21">
      <c r="T31" s="84"/>
    </row>
    <row r="32" spans="1:21">
      <c r="T32" s="84"/>
    </row>
    <row r="33" spans="3:20">
      <c r="T33" s="84"/>
    </row>
    <row r="34" spans="3:20">
      <c r="T34" s="84"/>
    </row>
    <row r="35" spans="3:20">
      <c r="T35" s="84"/>
    </row>
    <row r="36" spans="3:20">
      <c r="T36" s="84"/>
    </row>
    <row r="37" spans="3:20">
      <c r="T37" s="84"/>
    </row>
    <row r="38" spans="3:20">
      <c r="T38" s="84"/>
    </row>
    <row r="39" spans="3:20">
      <c r="T39" s="84"/>
    </row>
    <row r="40" spans="3:20">
      <c r="C40" s="3"/>
      <c r="H40" s="3"/>
      <c r="I40" s="3"/>
      <c r="J40" s="3"/>
      <c r="T40" s="84"/>
    </row>
    <row r="41" spans="3:20">
      <c r="C41" s="3"/>
      <c r="H41" s="3"/>
      <c r="I41" s="3"/>
      <c r="J41" s="3"/>
      <c r="T41" s="84"/>
    </row>
    <row r="42" spans="3:20">
      <c r="C42" s="3"/>
      <c r="H42" s="3"/>
      <c r="I42" s="3"/>
      <c r="J42" s="3"/>
      <c r="T42" s="84"/>
    </row>
    <row r="43" spans="3:20">
      <c r="C43" s="3"/>
      <c r="H43" s="3"/>
      <c r="I43" s="3"/>
      <c r="J43" s="3"/>
      <c r="T43" s="84"/>
    </row>
    <row r="44" spans="3:20">
      <c r="C44" s="3"/>
      <c r="H44" s="3"/>
      <c r="I44" s="3"/>
      <c r="J44" s="3"/>
      <c r="T44" s="84"/>
    </row>
    <row r="45" spans="3:20">
      <c r="C45" s="3"/>
      <c r="H45" s="3"/>
      <c r="I45" s="3"/>
      <c r="J45" s="3"/>
      <c r="T45" s="84"/>
    </row>
    <row r="46" spans="3:20">
      <c r="C46" s="3"/>
      <c r="H46" s="3"/>
      <c r="I46" s="3"/>
      <c r="J46" s="3"/>
      <c r="T46" s="84"/>
    </row>
    <row r="47" spans="3:20">
      <c r="C47" s="3"/>
      <c r="H47" s="3"/>
      <c r="I47" s="3"/>
      <c r="J47" s="3"/>
      <c r="T47" s="84"/>
    </row>
    <row r="48" spans="3:20">
      <c r="C48" s="3"/>
      <c r="H48" s="3"/>
      <c r="I48" s="3"/>
      <c r="J48" s="3"/>
      <c r="T48" s="84"/>
    </row>
    <row r="49" spans="3:20">
      <c r="C49" s="3"/>
      <c r="H49" s="3"/>
      <c r="I49" s="3"/>
      <c r="J49" s="3"/>
      <c r="T49" s="84"/>
    </row>
    <row r="50" spans="3:20">
      <c r="C50" s="3"/>
      <c r="H50" s="3"/>
      <c r="I50" s="3"/>
      <c r="J50" s="3"/>
      <c r="T50" s="84"/>
    </row>
    <row r="51" spans="3:20">
      <c r="C51" s="3"/>
      <c r="H51" s="3"/>
      <c r="I51" s="3"/>
      <c r="J51" s="3"/>
      <c r="T51" s="84"/>
    </row>
    <row r="52" spans="3:20">
      <c r="C52" s="3"/>
      <c r="H52" s="3"/>
      <c r="I52" s="3"/>
      <c r="J52" s="3"/>
      <c r="T52" s="84"/>
    </row>
    <row r="53" spans="3:20">
      <c r="C53" s="3"/>
      <c r="H53" s="3"/>
      <c r="I53" s="3"/>
      <c r="J53" s="3"/>
      <c r="T53" s="84"/>
    </row>
    <row r="54" spans="3:20">
      <c r="C54" s="3"/>
      <c r="H54" s="3"/>
      <c r="I54" s="3"/>
      <c r="J54" s="3"/>
      <c r="T54" s="84"/>
    </row>
    <row r="55" spans="3:20">
      <c r="C55" s="3"/>
      <c r="H55" s="3"/>
      <c r="I55" s="3"/>
      <c r="J55" s="3"/>
      <c r="T55" s="84"/>
    </row>
    <row r="56" spans="3:20" ht="19">
      <c r="C56" s="42"/>
      <c r="H56" s="3"/>
      <c r="I56" s="3"/>
      <c r="J56" s="3"/>
      <c r="T56" s="84"/>
    </row>
    <row r="57" spans="3:20">
      <c r="T57" s="84"/>
    </row>
    <row r="58" spans="3:20">
      <c r="T58" s="84"/>
    </row>
    <row r="59" spans="3:20">
      <c r="T59" s="84"/>
    </row>
    <row r="60" spans="3:20">
      <c r="T60" s="84"/>
    </row>
    <row r="61" spans="3:20">
      <c r="T61" s="84"/>
    </row>
    <row r="62" spans="3:20">
      <c r="T62" s="84"/>
    </row>
    <row r="63" spans="3:20">
      <c r="T63" s="84"/>
    </row>
    <row r="64" spans="3:20">
      <c r="T64" s="84"/>
    </row>
    <row r="65" spans="3:20">
      <c r="T65" s="84"/>
    </row>
    <row r="66" spans="3:20">
      <c r="T66" s="84"/>
    </row>
    <row r="67" spans="3:20">
      <c r="T67" s="84"/>
    </row>
    <row r="68" spans="3:20">
      <c r="T68" s="84"/>
    </row>
    <row r="69" spans="3:20">
      <c r="T69" s="84"/>
    </row>
    <row r="70" spans="3:20">
      <c r="T70" s="84"/>
    </row>
    <row r="71" spans="3:20">
      <c r="T71" s="84"/>
    </row>
    <row r="72" spans="3:20">
      <c r="C72" s="3"/>
      <c r="H72" s="3"/>
      <c r="I72" s="3"/>
      <c r="J72" s="3"/>
      <c r="T72" s="84"/>
    </row>
    <row r="73" spans="3:20">
      <c r="C73" s="3"/>
      <c r="H73" s="3"/>
      <c r="I73" s="3"/>
      <c r="J73" s="3"/>
      <c r="T73" s="84"/>
    </row>
    <row r="74" spans="3:20">
      <c r="C74" s="3"/>
      <c r="H74" s="3"/>
      <c r="I74" s="3"/>
      <c r="J74" s="3"/>
      <c r="T74" s="84"/>
    </row>
    <row r="75" spans="3:20">
      <c r="C75" s="3"/>
      <c r="H75" s="3"/>
      <c r="I75" s="3"/>
      <c r="J75" s="3"/>
      <c r="T75" s="84"/>
    </row>
    <row r="76" spans="3:20">
      <c r="C76" s="3"/>
      <c r="H76" s="3"/>
      <c r="I76" s="3"/>
      <c r="J76" s="3"/>
      <c r="T76" s="84"/>
    </row>
    <row r="77" spans="3:20">
      <c r="C77" s="3"/>
      <c r="H77" s="3"/>
      <c r="I77" s="3"/>
      <c r="J77" s="3"/>
      <c r="T77" s="84"/>
    </row>
    <row r="78" spans="3:20">
      <c r="C78" s="3"/>
      <c r="H78" s="3"/>
      <c r="I78" s="3"/>
      <c r="J78" s="3"/>
      <c r="T78" s="84"/>
    </row>
    <row r="79" spans="3:20">
      <c r="C79" s="3"/>
      <c r="H79" s="3"/>
      <c r="I79" s="3"/>
      <c r="J79" s="3"/>
      <c r="T79" s="84"/>
    </row>
    <row r="80" spans="3:20">
      <c r="C80" s="3"/>
      <c r="H80" s="3"/>
      <c r="I80" s="3"/>
      <c r="J80" s="3"/>
      <c r="T80" s="84"/>
    </row>
    <row r="81" spans="3:20">
      <c r="C81" s="3"/>
      <c r="H81" s="3"/>
      <c r="I81" s="3"/>
      <c r="J81" s="3"/>
      <c r="T81" s="84"/>
    </row>
    <row r="82" spans="3:20">
      <c r="C82" s="3"/>
      <c r="H82" s="3"/>
      <c r="I82" s="3"/>
      <c r="J82" s="3"/>
      <c r="T82" s="84"/>
    </row>
    <row r="83" spans="3:20">
      <c r="C83" s="3"/>
      <c r="H83" s="3"/>
      <c r="I83" s="3"/>
      <c r="J83" s="3"/>
      <c r="T83" s="84"/>
    </row>
    <row r="84" spans="3:20">
      <c r="C84" s="3"/>
      <c r="H84" s="3"/>
      <c r="I84" s="3"/>
      <c r="J84" s="3"/>
      <c r="T84" s="84"/>
    </row>
    <row r="85" spans="3:20">
      <c r="C85" s="3"/>
      <c r="H85" s="3"/>
      <c r="I85" s="3"/>
      <c r="J85" s="3"/>
      <c r="T85" s="84"/>
    </row>
    <row r="86" spans="3:20">
      <c r="C86" s="3"/>
      <c r="H86" s="3"/>
      <c r="I86" s="3"/>
      <c r="J86" s="3"/>
      <c r="T86" s="84"/>
    </row>
    <row r="87" spans="3:20">
      <c r="C87" s="3"/>
      <c r="H87" s="3"/>
      <c r="I87" s="3"/>
      <c r="J87" s="3"/>
      <c r="T87" s="84"/>
    </row>
    <row r="88" spans="3:20">
      <c r="C88" s="3"/>
      <c r="H88" s="3"/>
      <c r="I88" s="3"/>
      <c r="J88" s="3"/>
      <c r="T88" s="84"/>
    </row>
    <row r="89" spans="3:20">
      <c r="C89" s="3"/>
      <c r="H89" s="3"/>
      <c r="I89" s="3"/>
      <c r="J89" s="3"/>
      <c r="T89" s="84"/>
    </row>
    <row r="90" spans="3:20">
      <c r="C90" s="3"/>
      <c r="H90" s="3"/>
      <c r="I90" s="3"/>
      <c r="J90" s="3"/>
      <c r="T90" s="84"/>
    </row>
    <row r="91" spans="3:20">
      <c r="C91" s="3"/>
      <c r="H91" s="3"/>
      <c r="I91" s="3"/>
      <c r="J91" s="3"/>
      <c r="T91" s="84"/>
    </row>
    <row r="92" spans="3:20">
      <c r="C92" s="3"/>
      <c r="H92" s="3"/>
      <c r="I92" s="3"/>
      <c r="J92" s="3"/>
      <c r="T92" s="84"/>
    </row>
    <row r="93" spans="3:20">
      <c r="C93" s="3"/>
      <c r="H93" s="3"/>
      <c r="I93" s="3"/>
      <c r="J93" s="3"/>
      <c r="T93" s="84"/>
    </row>
    <row r="94" spans="3:20">
      <c r="C94" s="3"/>
      <c r="H94" s="3"/>
      <c r="I94" s="3"/>
      <c r="J94" s="3"/>
      <c r="T94" s="84"/>
    </row>
    <row r="95" spans="3:20">
      <c r="C95" s="3"/>
      <c r="H95" s="3"/>
      <c r="I95" s="3"/>
      <c r="J95" s="3"/>
      <c r="T95" s="84"/>
    </row>
    <row r="96" spans="3:20">
      <c r="C96" s="3"/>
      <c r="H96" s="3"/>
      <c r="I96" s="3"/>
      <c r="J96" s="3"/>
      <c r="T96" s="84"/>
    </row>
    <row r="97" spans="3:20">
      <c r="C97" s="3"/>
      <c r="H97" s="3"/>
      <c r="I97" s="3"/>
      <c r="J97" s="3"/>
      <c r="T97" s="84"/>
    </row>
    <row r="98" spans="3:20">
      <c r="C98" s="3"/>
      <c r="H98" s="3"/>
      <c r="I98" s="3"/>
      <c r="J98" s="3"/>
      <c r="T98" s="84"/>
    </row>
    <row r="99" spans="3:20">
      <c r="C99" s="3"/>
      <c r="H99" s="3"/>
      <c r="I99" s="3"/>
      <c r="J99" s="3"/>
      <c r="T99" s="84"/>
    </row>
    <row r="100" spans="3:20">
      <c r="C100" s="3"/>
      <c r="H100" s="3"/>
      <c r="I100" s="3"/>
      <c r="J100" s="3"/>
      <c r="T100" s="84"/>
    </row>
    <row r="101" spans="3:20">
      <c r="C101" s="3"/>
      <c r="H101" s="3"/>
      <c r="I101" s="3"/>
      <c r="J101" s="3"/>
      <c r="T101" s="84"/>
    </row>
    <row r="102" spans="3:20">
      <c r="C102" s="3"/>
      <c r="H102" s="3"/>
      <c r="I102" s="3"/>
      <c r="J102" s="3"/>
      <c r="T102" s="84"/>
    </row>
  </sheetData>
  <mergeCells count="12">
    <mergeCell ref="A5:C5"/>
    <mergeCell ref="A6:G6"/>
    <mergeCell ref="H6:J6"/>
    <mergeCell ref="K6:S6"/>
    <mergeCell ref="H7:J7"/>
    <mergeCell ref="K7:M7"/>
    <mergeCell ref="C2:D2"/>
    <mergeCell ref="G2:H2"/>
    <mergeCell ref="C3:D3"/>
    <mergeCell ref="G3:H3"/>
    <mergeCell ref="C4:D4"/>
    <mergeCell ref="G4:H4"/>
  </mergeCells>
  <phoneticPr fontId="63" type="noConversion"/>
  <conditionalFormatting sqref="K10:M10">
    <cfRule type="cellIs" dxfId="8" priority="7" stopIfTrue="1" operator="greaterThan">
      <formula>$E10</formula>
    </cfRule>
    <cfRule type="cellIs" dxfId="7" priority="8" stopIfTrue="1" operator="lessThan">
      <formula>-$F10</formula>
    </cfRule>
  </conditionalFormatting>
  <conditionalFormatting sqref="K11:M11">
    <cfRule type="cellIs" dxfId="6" priority="27" stopIfTrue="1" operator="greaterThan">
      <formula>$E11</formula>
    </cfRule>
    <cfRule type="cellIs" dxfId="5" priority="28" stopIfTrue="1" operator="lessThan">
      <formula>-$F11</formula>
    </cfRule>
  </conditionalFormatting>
  <conditionalFormatting sqref="K13:M13">
    <cfRule type="cellIs" dxfId="4" priority="24" stopIfTrue="1" operator="greaterThan">
      <formula>$E13</formula>
    </cfRule>
    <cfRule type="cellIs" dxfId="3" priority="25" stopIfTrue="1" operator="lessThan">
      <formula>-$F13</formula>
    </cfRule>
  </conditionalFormatting>
  <conditionalFormatting sqref="K9:M9 K12:M12 K14:M29">
    <cfRule type="cellIs" dxfId="2" priority="35" stopIfTrue="1" operator="greaterThan">
      <formula>$E9</formula>
    </cfRule>
    <cfRule type="cellIs" dxfId="1" priority="36" stopIfTrue="1" operator="lessThan">
      <formula>-$F9</formula>
    </cfRule>
  </conditionalFormatting>
  <conditionalFormatting sqref="Q9:S29">
    <cfRule type="cellIs" dxfId="0" priority="37" stopIfTrue="1" operator="equal">
      <formula>"reject"</formula>
    </cfRule>
  </conditionalFormatting>
  <pageMargins left="0.70866141732283505" right="0.70866141732283505" top="0.74803149606299202" bottom="0.74803149606299202" header="0.31496062992126" footer="0.31496062992126"/>
  <pageSetup paperSize="9" scale="52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Head band</vt:lpstr>
      <vt:lpstr>'Head band'!Print_Area</vt:lpstr>
    </vt:vector>
  </TitlesOfParts>
  <Company>Apple,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 Kim</dc:creator>
  <cp:lastModifiedBy>Microsoft Office User</cp:lastModifiedBy>
  <cp:lastPrinted>2017-05-22T01:45:00Z</cp:lastPrinted>
  <dcterms:created xsi:type="dcterms:W3CDTF">2008-05-31T01:27:00Z</dcterms:created>
  <dcterms:modified xsi:type="dcterms:W3CDTF">2019-07-23T03:17:33Z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2052-11.1.0.8806</vt:lpwstr>
  </property>
</Properties>
</file>