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2" codeName="{51196F13-6AD0-C1B8-E2B4-A1F9AE17003E}"/>
  <workbookPr date1904="1" showInkAnnotation="0" codeName="ThisWorkbook" autoCompressPictures="0"/>
  <xr:revisionPtr revIDLastSave="0" documentId="8_{2E44AB2E-AFA2-FA4B-96B5-4A5C09EA6AB1}" xr6:coauthVersionLast="43" xr6:coauthVersionMax="43" xr10:uidLastSave="{00000000-0000-0000-0000-000000000000}"/>
  <bookViews>
    <workbookView xWindow="1100" yWindow="2000" windowWidth="21600" windowHeight="11380" tabRatio="803" xr2:uid="{00000000-000D-0000-FFFF-FFFF00000000}"/>
  </bookViews>
  <sheets>
    <sheet name="Head band" sheetId="61" r:id="rId1"/>
  </sheets>
  <definedNames>
    <definedName name="DISTINTERVAL" localSheetId="0">OFFSET(#REF!,1,0,#REF!,1)</definedName>
    <definedName name="DISTINTERVAL">OFFSET(#REF!,1,0,#REF!,1)</definedName>
    <definedName name="DISTINTERVAL1" localSheetId="0">OFFSET(#REF!,1,0,#REF!,1)</definedName>
    <definedName name="DISTINTERVAL1">OFFSET(#REF!,1,0,#REF!,1)</definedName>
    <definedName name="GroupInterval" localSheetId="0">OFFSET(#REF!,1,0,#REF!,1)</definedName>
    <definedName name="GroupInterval">OFFSET(#REF!,1,0,#REF!,1)</definedName>
    <definedName name="GroupInterval1" localSheetId="0">OFFSET(#REF!,1,0,#REF!,1)</definedName>
    <definedName name="GroupInterval1">OFFSET(#REF!,1,0,#REF!,1)</definedName>
    <definedName name="Histogram" localSheetId="0">OFFSET(#REF!,1,0,#REF!,1)</definedName>
    <definedName name="Histogram">OFFSET(#REF!,1,0,#REF!,1)</definedName>
    <definedName name="Histogram1" localSheetId="0">OFFSET(#REF!,1,0,#REF!,1)</definedName>
    <definedName name="Histogram1">OFFSET(#REF!,1,0,#REF!,1)</definedName>
    <definedName name="NORMDIST" localSheetId="0">OFFSET(#REF!,1,0,#REF!,1)</definedName>
    <definedName name="NORMDIST">OFFSET(#REF!,1,0,#REF!,1)</definedName>
    <definedName name="NORMDIST1" localSheetId="0">OFFSET(#REF!,1,0,#REF!,1)</definedName>
    <definedName name="NORMDIST1">OFFSET(#REF!,1,0,#REF!,1)</definedName>
    <definedName name="_xlnm.Print_Area" localSheetId="0">'Head band'!$A$1:$U$17</definedName>
  </definedNames>
  <calcPr calcId="191029"/>
  <customWorkbookViews>
    <customWorkbookView name="Zhang Zhengjun - Personal View" guid="{05A1B552-4CBE-0449-9BDE-AF4BEEEA0B22}" mergeInterval="0" personalView="1" yWindow="105" windowWidth="1428" windowHeight="728" tabRatio="584" activeSheetId="6"/>
    <customWorkbookView name="Robert York - Personal View" guid="{971DFF50-E2D6-A94D-B32C-4DBE6112B19F}" mergeInterval="0" personalView="1" xWindow="105" yWindow="210" windowWidth="974" windowHeight="522" tabRatio="584" activeSheetId="1"/>
    <customWorkbookView name="Ji Kim - Personal View" guid="{7F83E96C-9D43-5446-8F0B-917FE1EF3DB5}" mergeInterval="0" personalView="1" xWindow="105" yWindow="210" windowWidth="974" windowHeight="522" tabRatio="584" activeSheetId="2" showFormulaBar="0" showComments="commIndAndComment"/>
    <customWorkbookView name="Martin Wong - Personal View" guid="{6130BAA2-550F-11DD-9262-0017F2D249BE}" mergeInterval="0" personalView="1" xWindow="188" yWindow="318" windowWidth="1176" windowHeight="603" tabRatio="584" activeSheetId="3"/>
  </customWorkbookView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9" i="61" l="1"/>
  <c r="R29" i="61" s="1"/>
  <c r="O29" i="61"/>
  <c r="Q29" i="61" s="1"/>
  <c r="S29" i="61" s="1"/>
  <c r="N29" i="61"/>
  <c r="M29" i="61"/>
  <c r="L29" i="61"/>
  <c r="K29" i="61"/>
  <c r="Q28" i="61"/>
  <c r="P28" i="61"/>
  <c r="R28" i="61" s="1"/>
  <c r="O28" i="61"/>
  <c r="N28" i="61"/>
  <c r="M28" i="61"/>
  <c r="L28" i="61"/>
  <c r="K28" i="61"/>
  <c r="R27" i="61"/>
  <c r="Q27" i="61"/>
  <c r="S27" i="61" s="1"/>
  <c r="P27" i="61"/>
  <c r="O27" i="61"/>
  <c r="N27" i="61"/>
  <c r="M27" i="61"/>
  <c r="L27" i="61"/>
  <c r="K27" i="61"/>
  <c r="R26" i="61"/>
  <c r="P26" i="61"/>
  <c r="O26" i="61"/>
  <c r="Q26" i="61" s="1"/>
  <c r="S26" i="61" s="1"/>
  <c r="N26" i="61"/>
  <c r="M26" i="61"/>
  <c r="L26" i="61"/>
  <c r="K26" i="61"/>
  <c r="P25" i="61"/>
  <c r="R25" i="61" s="1"/>
  <c r="O25" i="61"/>
  <c r="Q25" i="61" s="1"/>
  <c r="S25" i="61" s="1"/>
  <c r="N25" i="61"/>
  <c r="M25" i="61"/>
  <c r="L25" i="61"/>
  <c r="K25" i="61"/>
  <c r="Q24" i="61"/>
  <c r="P24" i="61"/>
  <c r="R24" i="61" s="1"/>
  <c r="O24" i="61"/>
  <c r="N24" i="61"/>
  <c r="M24" i="61"/>
  <c r="L24" i="61"/>
  <c r="K24" i="61"/>
  <c r="R23" i="61"/>
  <c r="Q23" i="61"/>
  <c r="S23" i="61" s="1"/>
  <c r="P23" i="61"/>
  <c r="O23" i="61"/>
  <c r="N23" i="61"/>
  <c r="M23" i="61"/>
  <c r="L23" i="61"/>
  <c r="K23" i="61"/>
  <c r="R22" i="61"/>
  <c r="P22" i="61"/>
  <c r="O22" i="61"/>
  <c r="Q22" i="61" s="1"/>
  <c r="S22" i="61" s="1"/>
  <c r="N22" i="61"/>
  <c r="M22" i="61"/>
  <c r="L22" i="61"/>
  <c r="K22" i="61"/>
  <c r="P21" i="61"/>
  <c r="R21" i="61" s="1"/>
  <c r="O21" i="61"/>
  <c r="Q21" i="61" s="1"/>
  <c r="S21" i="61" s="1"/>
  <c r="N21" i="61"/>
  <c r="M21" i="61"/>
  <c r="L21" i="61"/>
  <c r="K21" i="61"/>
  <c r="Q20" i="61"/>
  <c r="P20" i="61"/>
  <c r="R20" i="61" s="1"/>
  <c r="O20" i="61"/>
  <c r="N20" i="61"/>
  <c r="M20" i="61"/>
  <c r="L20" i="61"/>
  <c r="K20" i="61"/>
  <c r="R19" i="61"/>
  <c r="Q19" i="61"/>
  <c r="S19" i="61" s="1"/>
  <c r="P19" i="61"/>
  <c r="O19" i="61"/>
  <c r="N19" i="61"/>
  <c r="M19" i="61"/>
  <c r="L19" i="61"/>
  <c r="K19" i="61"/>
  <c r="R18" i="61"/>
  <c r="P18" i="61"/>
  <c r="O18" i="61"/>
  <c r="Q18" i="61" s="1"/>
  <c r="S18" i="61" s="1"/>
  <c r="N18" i="61"/>
  <c r="M18" i="61"/>
  <c r="L18" i="61"/>
  <c r="K18" i="61"/>
  <c r="P17" i="61"/>
  <c r="R17" i="61" s="1"/>
  <c r="O17" i="61"/>
  <c r="Q17" i="61" s="1"/>
  <c r="S17" i="61" s="1"/>
  <c r="N17" i="61"/>
  <c r="M17" i="61"/>
  <c r="L17" i="61"/>
  <c r="K17" i="61"/>
  <c r="Q16" i="61"/>
  <c r="P16" i="61"/>
  <c r="R16" i="61" s="1"/>
  <c r="O16" i="61"/>
  <c r="N16" i="61"/>
  <c r="M16" i="61"/>
  <c r="L16" i="61"/>
  <c r="K16" i="61"/>
  <c r="R15" i="61"/>
  <c r="Q15" i="61"/>
  <c r="S15" i="61" s="1"/>
  <c r="P15" i="61"/>
  <c r="O15" i="61"/>
  <c r="N15" i="61"/>
  <c r="M15" i="61"/>
  <c r="L15" i="61"/>
  <c r="K15" i="61"/>
  <c r="R14" i="61"/>
  <c r="P14" i="61"/>
  <c r="O14" i="61"/>
  <c r="Q14" i="61" s="1"/>
  <c r="S14" i="61" s="1"/>
  <c r="N14" i="61"/>
  <c r="M14" i="61"/>
  <c r="L14" i="61"/>
  <c r="K14" i="61"/>
  <c r="P13" i="61"/>
  <c r="R13" i="61" s="1"/>
  <c r="O13" i="61"/>
  <c r="Q13" i="61" s="1"/>
  <c r="S13" i="61" s="1"/>
  <c r="N13" i="61"/>
  <c r="M13" i="61"/>
  <c r="L13" i="61"/>
  <c r="K13" i="61"/>
  <c r="Q12" i="61"/>
  <c r="P12" i="61"/>
  <c r="R12" i="61" s="1"/>
  <c r="O12" i="61"/>
  <c r="N12" i="61"/>
  <c r="M12" i="61"/>
  <c r="L12" i="61"/>
  <c r="K12" i="61"/>
  <c r="R11" i="61"/>
  <c r="Q11" i="61"/>
  <c r="S11" i="61" s="1"/>
  <c r="P11" i="61"/>
  <c r="O11" i="61"/>
  <c r="N11" i="61"/>
  <c r="M11" i="61"/>
  <c r="L11" i="61"/>
  <c r="K11" i="61"/>
  <c r="R10" i="61"/>
  <c r="P10" i="61"/>
  <c r="O10" i="61"/>
  <c r="Q10" i="61" s="1"/>
  <c r="S10" i="61" s="1"/>
  <c r="N10" i="61"/>
  <c r="M10" i="61"/>
  <c r="L10" i="61"/>
  <c r="K10" i="61"/>
  <c r="P9" i="61"/>
  <c r="R9" i="61" s="1"/>
  <c r="O9" i="61"/>
  <c r="Q9" i="61" s="1"/>
  <c r="S9" i="61" s="1"/>
  <c r="N9" i="61"/>
  <c r="M9" i="61"/>
  <c r="L9" i="61"/>
  <c r="K9" i="61"/>
  <c r="S12" i="61" l="1"/>
  <c r="S16" i="61"/>
  <c r="S20" i="61"/>
  <c r="S24" i="61"/>
  <c r="S28" i="6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7" authorId="0" shapeId="0" xr:uid="{00000000-0006-0000-0000-000001000000}">
      <text>
        <r>
          <rPr>
            <b/>
            <sz val="9"/>
            <color indexed="81"/>
            <rFont val="Geneva"/>
            <family val="2"/>
          </rPr>
          <t>Method of inspection abbreviations: 
HG = Height gauge
MIC = Micrometer
DC = Dial Caliper
P = Protractor
OC = Optical Comparator
CG = Checking Gauge
CMM = Coordinate Measuring Machine</t>
        </r>
        <r>
          <rPr>
            <sz val="9"/>
            <color indexed="81"/>
            <rFont val="Geneva"/>
            <family val="2"/>
          </rPr>
          <t xml:space="preserve">
</t>
        </r>
        <r>
          <rPr>
            <b/>
            <sz val="9"/>
            <color indexed="81"/>
            <rFont val="Geneva"/>
            <family val="2"/>
          </rPr>
          <t>OMM = Optical Coordinate Measuring Machine
HT = Hardness Tester
TG = Thickness Gauge
VIS = Visual
PG = Plug Gauge
A=Callipers
FG=filler gauge</t>
        </r>
      </text>
    </comment>
  </commentList>
</comments>
</file>

<file path=xl/sharedStrings.xml><?xml version="1.0" encoding="utf-8"?>
<sst xmlns="http://schemas.openxmlformats.org/spreadsheetml/2006/main" count="96" uniqueCount="75">
  <si>
    <t>Part Number :</t>
  </si>
  <si>
    <t>Part Description :</t>
  </si>
  <si>
    <t>Revision :</t>
  </si>
  <si>
    <t>Mean</t>
  </si>
  <si>
    <t>Artoo FAI Data Sheet</t>
  </si>
  <si>
    <t>Tool # :</t>
  </si>
  <si>
    <t>Supplier :</t>
    <phoneticPr fontId="14" type="noConversion"/>
  </si>
  <si>
    <t>Reviewer :</t>
    <phoneticPr fontId="14" type="noConversion"/>
  </si>
  <si>
    <t>Page :</t>
  </si>
  <si>
    <t>1 of 1</t>
  </si>
  <si>
    <t xml:space="preserve"> </t>
  </si>
  <si>
    <t>Cavity # :</t>
  </si>
  <si>
    <t>Inspector :</t>
    <phoneticPr fontId="14" type="noConversion"/>
  </si>
  <si>
    <t>Approver :</t>
    <phoneticPr fontId="14" type="noConversion"/>
  </si>
  <si>
    <t>Report stage :</t>
  </si>
  <si>
    <t>Tool vendor :</t>
  </si>
  <si>
    <t>Date :</t>
  </si>
  <si>
    <t>DRAWING SPECIFICATIONS</t>
    <phoneticPr fontId="9" type="noConversion"/>
  </si>
  <si>
    <t>INSPECTION RESULTS</t>
    <phoneticPr fontId="9" type="noConversion"/>
  </si>
  <si>
    <t>INSPECTION ANALYSIS</t>
    <phoneticPr fontId="9" type="noConversion"/>
  </si>
  <si>
    <t>COMMENTS &amp; DISPOSITIONS</t>
    <phoneticPr fontId="9" type="noConversion"/>
  </si>
  <si>
    <t>Inspection</t>
    <phoneticPr fontId="9" type="noConversion"/>
  </si>
  <si>
    <t>Sample Number</t>
    <phoneticPr fontId="14" type="noConversion"/>
  </si>
  <si>
    <t>Deviation from Nominal</t>
  </si>
  <si>
    <t>% Tolerance</t>
  </si>
  <si>
    <t>Alert/Reject</t>
  </si>
  <si>
    <t>Supplier</t>
  </si>
  <si>
    <t>PD</t>
    <phoneticPr fontId="9" type="noConversion"/>
  </si>
  <si>
    <t>FAI/SPC</t>
    <phoneticPr fontId="9" type="noConversion"/>
  </si>
  <si>
    <t>LOCATION</t>
  </si>
  <si>
    <t>NOMINAL</t>
  </si>
  <si>
    <t>+TOL</t>
  </si>
  <si>
    <t>-TOL</t>
  </si>
  <si>
    <t>Method</t>
    <phoneticPr fontId="9" type="noConversion"/>
  </si>
  <si>
    <t>UPPER</t>
  </si>
  <si>
    <t>LOWER</t>
  </si>
  <si>
    <t>HIGH</t>
  </si>
  <si>
    <t>LOW</t>
  </si>
  <si>
    <t>ADJUDGMENT</t>
    <phoneticPr fontId="9" type="noConversion"/>
  </si>
  <si>
    <t>Comment</t>
  </si>
  <si>
    <t>Disposition</t>
  </si>
  <si>
    <t>PCH</t>
  </si>
  <si>
    <t>ASSY, ARTOO, Fabric, T2</t>
  </si>
  <si>
    <t>TL</t>
  </si>
  <si>
    <t>N/A</t>
  </si>
  <si>
    <t>Fanggui Chang</t>
    <phoneticPr fontId="36" type="noConversion"/>
  </si>
  <si>
    <t>951-00300</t>
  </si>
  <si>
    <t>A</t>
  </si>
  <si>
    <t>2017-08-23</t>
    <phoneticPr fontId="36" type="noConversion"/>
  </si>
  <si>
    <t>Steel ruler</t>
  </si>
  <si>
    <t>2-1</t>
    <phoneticPr fontId="36" type="noConversion"/>
  </si>
  <si>
    <t>2-2</t>
    <phoneticPr fontId="36" type="noConversion"/>
  </si>
  <si>
    <t>3-1</t>
    <phoneticPr fontId="36" type="noConversion"/>
  </si>
  <si>
    <t>3-2</t>
    <phoneticPr fontId="36" type="noConversion"/>
  </si>
  <si>
    <t>4-1</t>
    <phoneticPr fontId="8" type="noConversion"/>
  </si>
  <si>
    <t>4-2</t>
    <phoneticPr fontId="8" type="noConversion"/>
  </si>
  <si>
    <t>5-1</t>
    <phoneticPr fontId="8" type="noConversion"/>
  </si>
  <si>
    <t>5-2</t>
    <phoneticPr fontId="8" type="noConversion"/>
  </si>
  <si>
    <t>6-1</t>
    <phoneticPr fontId="36" type="noConversion"/>
  </si>
  <si>
    <t>6-2</t>
    <phoneticPr fontId="36" type="noConversion"/>
  </si>
  <si>
    <t>7-1</t>
    <phoneticPr fontId="36" type="noConversion"/>
  </si>
  <si>
    <t>7-2</t>
    <phoneticPr fontId="36" type="noConversion"/>
  </si>
  <si>
    <t>8-1</t>
    <phoneticPr fontId="36" type="noConversion"/>
  </si>
  <si>
    <t>8-2</t>
    <phoneticPr fontId="36" type="noConversion"/>
  </si>
  <si>
    <t>Belt width</t>
    <phoneticPr fontId="36" type="noConversion"/>
  </si>
  <si>
    <t>PU width (right)</t>
    <phoneticPr fontId="36" type="noConversion"/>
  </si>
  <si>
    <r>
      <t>PU width</t>
    </r>
    <r>
      <rPr>
        <sz val="10"/>
        <rFont val="宋体"/>
        <family val="2"/>
        <charset val="134"/>
      </rPr>
      <t>（</t>
    </r>
    <r>
      <rPr>
        <sz val="10"/>
        <rFont val="Arial"/>
        <family val="2"/>
      </rPr>
      <t>left</t>
    </r>
    <r>
      <rPr>
        <sz val="10"/>
        <rFont val="宋体"/>
        <family val="2"/>
        <charset val="134"/>
      </rPr>
      <t>）</t>
    </r>
    <phoneticPr fontId="36" type="noConversion"/>
  </si>
  <si>
    <t>PU length (left)</t>
    <phoneticPr fontId="36" type="noConversion"/>
  </si>
  <si>
    <t>PU length (right)</t>
    <phoneticPr fontId="36" type="noConversion"/>
  </si>
  <si>
    <r>
      <t xml:space="preserve">LOOP width </t>
    </r>
    <r>
      <rPr>
        <sz val="10"/>
        <rFont val="宋体"/>
        <family val="2"/>
        <charset val="134"/>
      </rPr>
      <t>（</t>
    </r>
    <r>
      <rPr>
        <sz val="10"/>
        <rFont val="Arial"/>
        <family val="2"/>
      </rPr>
      <t>right</t>
    </r>
    <r>
      <rPr>
        <sz val="10"/>
        <rFont val="宋体"/>
        <family val="2"/>
        <charset val="134"/>
      </rPr>
      <t>）</t>
    </r>
    <phoneticPr fontId="36" type="noConversion"/>
  </si>
  <si>
    <r>
      <t>LOOP width</t>
    </r>
    <r>
      <rPr>
        <sz val="10"/>
        <rFont val="宋体"/>
        <family val="2"/>
        <charset val="134"/>
      </rPr>
      <t>（</t>
    </r>
    <r>
      <rPr>
        <sz val="10"/>
        <rFont val="Arial"/>
        <family val="2"/>
      </rPr>
      <t>left</t>
    </r>
    <r>
      <rPr>
        <sz val="10"/>
        <rFont val="宋体"/>
        <family val="2"/>
        <charset val="134"/>
      </rPr>
      <t>）</t>
    </r>
    <phoneticPr fontId="36" type="noConversion"/>
  </si>
  <si>
    <r>
      <t>LOOP length</t>
    </r>
    <r>
      <rPr>
        <sz val="10"/>
        <rFont val="宋体"/>
        <family val="2"/>
        <charset val="134"/>
      </rPr>
      <t>（</t>
    </r>
    <r>
      <rPr>
        <sz val="10"/>
        <rFont val="Arial"/>
        <family val="2"/>
      </rPr>
      <t>left</t>
    </r>
    <r>
      <rPr>
        <sz val="10"/>
        <rFont val="宋体"/>
        <family val="2"/>
        <charset val="134"/>
      </rPr>
      <t>）</t>
    </r>
    <phoneticPr fontId="36" type="noConversion"/>
  </si>
  <si>
    <r>
      <t>LOOP length</t>
    </r>
    <r>
      <rPr>
        <sz val="10"/>
        <rFont val="宋体"/>
        <family val="2"/>
        <charset val="134"/>
      </rPr>
      <t>（</t>
    </r>
    <r>
      <rPr>
        <sz val="10"/>
        <rFont val="Arial"/>
        <family val="2"/>
      </rPr>
      <t>right</t>
    </r>
    <r>
      <rPr>
        <sz val="10"/>
        <rFont val="宋体"/>
        <family val="2"/>
        <charset val="134"/>
      </rPr>
      <t>）</t>
    </r>
    <phoneticPr fontId="36" type="noConversion"/>
  </si>
  <si>
    <t>NO.</t>
    <phoneticPr fontId="36" type="noConversion"/>
  </si>
  <si>
    <t>OMM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</si>
</sst>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&quot;¥&quot;* #,##0_ ;_ &quot;¥&quot;* \-#,##0_ ;_ &quot;¥&quot;* &quot;-&quot;_ ;_ @_ "/>
    <numFmt numFmtId="165" formatCode="0.000"/>
    <numFmt numFmtId="166" formatCode="m/d;@"/>
    <numFmt numFmtId="167" formatCode="[$-409]d\-mmm;@"/>
    <numFmt numFmtId="168" formatCode="0_);[Red]\(0\)"/>
    <numFmt numFmtId="169" formatCode="#,##0.000;[Blue]\-#,##0.000"/>
    <numFmt numFmtId="170" formatCode="0.000_ "/>
    <numFmt numFmtId="171" formatCode="&quot;$&quot;#,##0.00"/>
    <numFmt numFmtId="172" formatCode="0.000000_);\(0.000000\)"/>
    <numFmt numFmtId="173" formatCode="#,##0;[Red]\(#,##0\);&quot;- &quot;"/>
    <numFmt numFmtId="174" formatCode="0%_);[Red]\(0%\)"/>
    <numFmt numFmtId="175" formatCode="0.00_)"/>
    <numFmt numFmtId="176" formatCode="0.0%"/>
    <numFmt numFmtId="177" formatCode="0%;[Red]\(0%\);&quot;- &quot;"/>
    <numFmt numFmtId="178" formatCode="_(&quot;R$&quot;* #,##0.00_);_(&quot;R$&quot;* \(#,##0.00\);_(&quot;R$&quot;* &quot;-&quot;??_);_(@_)"/>
    <numFmt numFmtId="179" formatCode="0.000000000000"/>
    <numFmt numFmtId="180" formatCode="_(&quot;R$&quot;* #,##0_);_(&quot;R$&quot;* \(#,##0\);_(&quot;R$&quot;* &quot;-&quot;_);_(@_)"/>
    <numFmt numFmtId="181" formatCode="#,##0.0,_);[Red]\(#,##0.0\)"/>
    <numFmt numFmtId="182" formatCode="&quot;\&quot;#,##0.00;[Red]&quot;\&quot;\-#,##0.00"/>
    <numFmt numFmtId="183" formatCode="#,##0,\ ;[Red]\(#,##0,\);&quot;&quot;"/>
    <numFmt numFmtId="184" formatCode="\ \ \ \ \ \ \ \ \ \ \ \ @"/>
    <numFmt numFmtId="185" formatCode="#,##0,_);[Red]\(#,##0,\);&quot;-  &quot;"/>
    <numFmt numFmtId="186" formatCode="&quot;\&quot;#,##0;[Red]&quot;\&quot;\-#,##0"/>
  </numFmts>
  <fonts count="72">
    <font>
      <sz val="10"/>
      <name val="Verdana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0"/>
      <name val="Verdana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1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b/>
      <sz val="9"/>
      <color theme="0" tint="-0.499984740745262"/>
      <name val="Arial"/>
      <family val="2"/>
    </font>
    <font>
      <sz val="9"/>
      <color theme="0" tint="-0.499984740745262"/>
      <name val="Arial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sz val="12"/>
      <color rgb="FF9C6500"/>
      <name val="Calibri"/>
      <family val="2"/>
      <scheme val="minor"/>
    </font>
    <font>
      <sz val="11"/>
      <color indexed="60"/>
      <name val="新細明體"/>
      <family val="1"/>
      <charset val="136"/>
    </font>
    <font>
      <sz val="14"/>
      <color theme="0" tint="-0.499984740745262"/>
      <name val="Arial"/>
      <family val="2"/>
    </font>
    <font>
      <sz val="10"/>
      <name val="Arial"/>
      <family val="2"/>
    </font>
    <font>
      <sz val="9"/>
      <name val="华文仿宋"/>
      <family val="3"/>
      <charset val="134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theme="0" tint="-0.499984740745262"/>
      <name val="Arial"/>
      <family val="2"/>
    </font>
    <font>
      <sz val="10"/>
      <color theme="3"/>
      <name val="Arial"/>
      <family val="2"/>
    </font>
    <font>
      <sz val="10"/>
      <color theme="0" tint="-0.499984740745262"/>
      <name val="Verdana"/>
      <family val="2"/>
    </font>
    <font>
      <i/>
      <sz val="10"/>
      <color theme="1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b/>
      <sz val="9"/>
      <color indexed="81"/>
      <name val="Geneva"/>
      <family val="2"/>
    </font>
    <font>
      <sz val="9"/>
      <color indexed="81"/>
      <name val="Geneva"/>
      <family val="2"/>
    </font>
    <font>
      <sz val="9"/>
      <name val="宋体"/>
      <family val="3"/>
      <charset val="134"/>
    </font>
    <font>
      <sz val="12"/>
      <name val="Arial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MS Sans Serif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b/>
      <sz val="10"/>
      <name val="Helv"/>
      <family val="2"/>
    </font>
    <font>
      <sz val="10"/>
      <name val="MS Serif"/>
      <family val="1"/>
    </font>
    <font>
      <sz val="8"/>
      <name val="Arial"/>
      <family val="2"/>
    </font>
    <font>
      <b/>
      <sz val="12"/>
      <name val="Arial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1"/>
      <color indexed="8"/>
      <name val="宋体"/>
      <family val="3"/>
      <charset val="134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name val="ＭＳ Ｐゴシック"/>
      <family val="2"/>
      <charset val="134"/>
    </font>
    <font>
      <sz val="11"/>
      <color indexed="20"/>
      <name val="Calibri"/>
      <family val="2"/>
    </font>
    <font>
      <sz val="11"/>
      <color indexed="20"/>
      <name val="宋体"/>
      <family val="3"/>
      <charset val="134"/>
    </font>
    <font>
      <sz val="11"/>
      <color indexed="16"/>
      <name val="宋体"/>
      <family val="3"/>
      <charset val="134"/>
    </font>
    <font>
      <sz val="11"/>
      <color indexed="17"/>
      <name val="Calibri"/>
      <family val="2"/>
    </font>
    <font>
      <sz val="11"/>
      <color indexed="17"/>
      <name val="宋体"/>
      <family val="3"/>
      <charset val="134"/>
    </font>
    <font>
      <b/>
      <sz val="11"/>
      <color indexed="8"/>
      <name val="Calibri"/>
      <family val="2"/>
    </font>
    <font>
      <sz val="12"/>
      <name val="新細明體"/>
      <family val="1"/>
      <charset val="134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sz val="11"/>
      <name val="돋움"/>
      <family val="2"/>
      <charset val="134"/>
    </font>
    <font>
      <sz val="10"/>
      <name val="宋体"/>
      <family val="2"/>
      <charset val="134"/>
    </font>
  </fonts>
  <fills count="2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medium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259">
    <xf numFmtId="167" fontId="0" fillId="0" borderId="0"/>
    <xf numFmtId="167" fontId="5" fillId="0" borderId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5" fillId="0" borderId="0"/>
    <xf numFmtId="167" fontId="5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14" fillId="0" borderId="0">
      <alignment vertical="center"/>
    </xf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1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15" fillId="0" borderId="0"/>
    <xf numFmtId="167" fontId="16" fillId="0" borderId="0"/>
    <xf numFmtId="167" fontId="17" fillId="0" borderId="0">
      <alignment vertical="center"/>
    </xf>
    <xf numFmtId="167" fontId="18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67" fontId="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167" fontId="5" fillId="0" borderId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4" fillId="0" borderId="0">
      <alignment vertical="center"/>
    </xf>
    <xf numFmtId="167" fontId="4" fillId="0" borderId="0">
      <alignment vertical="center"/>
    </xf>
    <xf numFmtId="167" fontId="3" fillId="0" borderId="0">
      <alignment vertical="center"/>
    </xf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15" fillId="0" borderId="0"/>
    <xf numFmtId="43" fontId="15" fillId="0" borderId="0" applyFont="0" applyFill="0" applyBorder="0" applyAlignment="0" applyProtection="0"/>
    <xf numFmtId="167" fontId="19" fillId="2" borderId="0" applyNumberFormat="0" applyBorder="0" applyAlignment="0" applyProtection="0"/>
    <xf numFmtId="167" fontId="19" fillId="2" borderId="0" applyNumberFormat="0" applyBorder="0" applyAlignment="0" applyProtection="0"/>
    <xf numFmtId="167" fontId="19" fillId="2" borderId="0" applyNumberFormat="0" applyBorder="0" applyAlignment="0" applyProtection="0"/>
    <xf numFmtId="167" fontId="16" fillId="0" borderId="0"/>
    <xf numFmtId="167" fontId="15" fillId="0" borderId="0"/>
    <xf numFmtId="167" fontId="16" fillId="0" borderId="0">
      <alignment vertical="center"/>
    </xf>
    <xf numFmtId="167" fontId="16" fillId="0" borderId="0">
      <alignment vertical="center"/>
    </xf>
    <xf numFmtId="167" fontId="2" fillId="0" borderId="0">
      <alignment vertical="center"/>
    </xf>
    <xf numFmtId="166" fontId="16" fillId="0" borderId="0">
      <alignment vertical="center"/>
    </xf>
    <xf numFmtId="166" fontId="16" fillId="0" borderId="0">
      <alignment vertical="center"/>
    </xf>
    <xf numFmtId="166" fontId="16" fillId="0" borderId="0">
      <alignment vertical="center"/>
    </xf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0" fontId="16" fillId="0" borderId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0" fontId="20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9" fillId="0" borderId="0" applyNumberFormat="0" applyFill="0" applyBorder="0" applyAlignment="0" applyProtection="0"/>
    <xf numFmtId="167" fontId="10" fillId="0" borderId="0" applyNumberFormat="0" applyFill="0" applyBorder="0" applyAlignment="0" applyProtection="0"/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0" fontId="13" fillId="0" borderId="0" applyProtection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2" fillId="0" borderId="0"/>
    <xf numFmtId="0" fontId="22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8" fillId="0" borderId="0"/>
    <xf numFmtId="0" fontId="37" fillId="0" borderId="0"/>
    <xf numFmtId="0" fontId="13" fillId="0" borderId="0"/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39" fillId="0" borderId="0"/>
    <xf numFmtId="181" fontId="22" fillId="8" borderId="17">
      <alignment horizontal="center" vertical="center"/>
    </xf>
    <xf numFmtId="0" fontId="42" fillId="0" borderId="0">
      <alignment horizontal="center" wrapText="1"/>
      <protection locked="0"/>
    </xf>
    <xf numFmtId="172" fontId="22" fillId="0" borderId="0" applyFill="0" applyBorder="0" applyAlignment="0"/>
    <xf numFmtId="175" fontId="22" fillId="0" borderId="0" applyFill="0" applyBorder="0" applyAlignment="0"/>
    <xf numFmtId="176" fontId="22" fillId="0" borderId="0" applyFill="0" applyBorder="0" applyAlignment="0"/>
    <xf numFmtId="171" fontId="22" fillId="0" borderId="0" applyFill="0" applyBorder="0" applyAlignment="0"/>
    <xf numFmtId="177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0" fontId="43" fillId="0" borderId="0"/>
    <xf numFmtId="173" fontId="22" fillId="0" borderId="0" applyFont="0" applyFill="0" applyBorder="0" applyAlignment="0" applyProtection="0"/>
    <xf numFmtId="179" fontId="22" fillId="0" borderId="0"/>
    <xf numFmtId="0" fontId="44" fillId="0" borderId="0" applyNumberFormat="0" applyAlignment="0">
      <alignment horizontal="left"/>
    </xf>
    <xf numFmtId="175" fontId="22" fillId="0" borderId="0" applyFont="0" applyFill="0" applyBorder="0" applyAlignment="0" applyProtection="0"/>
    <xf numFmtId="17" fontId="22" fillId="0" borderId="0" applyFont="0" applyFill="0" applyBorder="0" applyAlignment="0" applyProtection="0"/>
    <xf numFmtId="14" fontId="31" fillId="0" borderId="0" applyFill="0" applyBorder="0" applyAlignment="0"/>
    <xf numFmtId="183" fontId="22" fillId="0" borderId="18">
      <alignment vertical="center"/>
    </xf>
    <xf numFmtId="172" fontId="22" fillId="0" borderId="0" applyFill="0" applyBorder="0" applyAlignment="0"/>
    <xf numFmtId="175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38" fontId="45" fillId="22" borderId="0" applyNumberFormat="0" applyBorder="0" applyAlignment="0" applyProtection="0"/>
    <xf numFmtId="0" fontId="46" fillId="0" borderId="19" applyNumberFormat="0" applyAlignment="0" applyProtection="0">
      <alignment horizontal="left" vertical="center"/>
    </xf>
    <xf numFmtId="0" fontId="46" fillId="0" borderId="20">
      <alignment horizontal="left" vertical="center"/>
    </xf>
    <xf numFmtId="10" fontId="45" fillId="23" borderId="21" applyNumberFormat="0" applyBorder="0" applyAlignment="0" applyProtection="0"/>
    <xf numFmtId="172" fontId="22" fillId="0" borderId="0" applyFill="0" applyBorder="0" applyAlignment="0"/>
    <xf numFmtId="175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80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37" fontId="47" fillId="0" borderId="0"/>
    <xf numFmtId="175" fontId="48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72" fontId="22" fillId="0" borderId="0" applyFill="0" applyBorder="0" applyAlignment="0"/>
    <xf numFmtId="175" fontId="22" fillId="0" borderId="0" applyFill="0" applyBorder="0" applyAlignment="0"/>
    <xf numFmtId="173" fontId="22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0" fontId="25" fillId="0" borderId="0" applyNumberFormat="0" applyFill="0" applyBorder="0" applyAlignment="0" applyProtection="0"/>
    <xf numFmtId="49" fontId="31" fillId="0" borderId="0" applyFill="0" applyBorder="0" applyAlignment="0"/>
    <xf numFmtId="172" fontId="22" fillId="0" borderId="0" applyFill="0" applyBorder="0" applyAlignment="0"/>
    <xf numFmtId="185" fontId="22" fillId="0" borderId="0" applyFill="0" applyBorder="0" applyAlignment="0"/>
    <xf numFmtId="9" fontId="49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2" fillId="0" borderId="23" applyNumberFormat="0" applyFill="0" applyAlignment="0" applyProtection="0">
      <alignment vertical="center"/>
    </xf>
    <xf numFmtId="0" fontId="53" fillId="0" borderId="24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24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2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13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13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0" fontId="59" fillId="6" borderId="0" applyNumberFormat="0" applyBorder="0" applyAlignment="0" applyProtection="0">
      <alignment vertical="center"/>
    </xf>
    <xf numFmtId="40" fontId="54" fillId="0" borderId="0" applyFont="0" applyFill="0" applyBorder="0" applyAlignment="0" applyProtection="0"/>
    <xf numFmtId="38" fontId="54" fillId="0" borderId="0" applyFont="0" applyFill="0" applyBorder="0" applyAlignment="0" applyProtection="0"/>
    <xf numFmtId="0" fontId="60" fillId="0" borderId="25" applyNumberFormat="0" applyFill="0" applyAlignment="0" applyProtection="0">
      <alignment vertical="center"/>
    </xf>
    <xf numFmtId="164" fontId="13" fillId="0" borderId="0" applyFont="0" applyFill="0" applyBorder="0" applyAlignment="0" applyProtection="0"/>
    <xf numFmtId="42" fontId="61" fillId="0" borderId="0" applyFont="0" applyFill="0" applyBorder="0" applyAlignment="0" applyProtection="0"/>
    <xf numFmtId="0" fontId="38" fillId="0" borderId="0" applyFont="0" applyFill="0" applyBorder="0" applyAlignment="0" applyProtection="0"/>
    <xf numFmtId="44" fontId="61" fillId="0" borderId="0" applyFont="0" applyFill="0" applyBorder="0" applyAlignment="0" applyProtection="0"/>
    <xf numFmtId="0" fontId="62" fillId="22" borderId="26" applyNumberFormat="0" applyAlignment="0" applyProtection="0">
      <alignment vertical="center"/>
    </xf>
    <xf numFmtId="0" fontId="63" fillId="26" borderId="27" applyNumberFormat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28" applyNumberFormat="0" applyFill="0" applyAlignment="0" applyProtection="0">
      <alignment vertical="center"/>
    </xf>
    <xf numFmtId="41" fontId="61" fillId="0" borderId="0" applyFont="0" applyFill="0" applyBorder="0" applyAlignment="0" applyProtection="0"/>
    <xf numFmtId="170" fontId="38" fillId="0" borderId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0" fontId="41" fillId="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8" fillId="22" borderId="29" applyNumberFormat="0" applyAlignment="0" applyProtection="0">
      <alignment vertical="center"/>
    </xf>
    <xf numFmtId="0" fontId="69" fillId="14" borderId="26" applyNumberFormat="0" applyAlignment="0" applyProtection="0">
      <alignment vertical="center"/>
    </xf>
    <xf numFmtId="182" fontId="54" fillId="0" borderId="0" applyFont="0" applyFill="0" applyBorder="0" applyAlignment="0" applyProtection="0"/>
    <xf numFmtId="186" fontId="54" fillId="0" borderId="0" applyFont="0" applyFill="0" applyBorder="0" applyAlignment="0" applyProtection="0"/>
    <xf numFmtId="0" fontId="38" fillId="0" borderId="0"/>
    <xf numFmtId="0" fontId="18" fillId="23" borderId="30" applyNumberFormat="0" applyFont="0" applyAlignment="0" applyProtection="0">
      <alignment vertical="center"/>
    </xf>
    <xf numFmtId="0" fontId="70" fillId="0" borderId="0"/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167" fontId="1" fillId="0" borderId="0">
      <alignment vertical="center"/>
    </xf>
    <xf numFmtId="0" fontId="1" fillId="0" borderId="0"/>
  </cellStyleXfs>
  <cellXfs count="95">
    <xf numFmtId="167" fontId="0" fillId="0" borderId="0" xfId="0"/>
    <xf numFmtId="0" fontId="12" fillId="0" borderId="7" xfId="334" applyFont="1" applyFill="1" applyBorder="1"/>
    <xf numFmtId="0" fontId="26" fillId="0" borderId="2" xfId="334" applyFont="1" applyFill="1" applyBorder="1" applyAlignment="1" applyProtection="1">
      <alignment horizontal="centerContinuous"/>
    </xf>
    <xf numFmtId="0" fontId="22" fillId="0" borderId="0" xfId="334" applyFont="1" applyFill="1" applyProtection="1">
      <protection locked="0"/>
    </xf>
    <xf numFmtId="168" fontId="28" fillId="0" borderId="1" xfId="334" applyNumberFormat="1" applyFont="1" applyFill="1" applyBorder="1" applyAlignment="1" applyProtection="1">
      <alignment horizontal="center"/>
      <protection locked="0"/>
    </xf>
    <xf numFmtId="0" fontId="22" fillId="0" borderId="1" xfId="334" applyFont="1" applyFill="1" applyBorder="1" applyAlignment="1" applyProtection="1">
      <alignment horizontal="center"/>
      <protection locked="0"/>
    </xf>
    <xf numFmtId="0" fontId="22" fillId="0" borderId="2" xfId="334" applyFont="1" applyFill="1" applyBorder="1" applyAlignment="1" applyProtection="1">
      <alignment horizontal="center"/>
      <protection locked="0"/>
    </xf>
    <xf numFmtId="169" fontId="29" fillId="0" borderId="1" xfId="334" applyNumberFormat="1" applyFont="1" applyFill="1" applyBorder="1" applyAlignment="1" applyProtection="1">
      <alignment horizontal="center"/>
      <protection locked="0"/>
    </xf>
    <xf numFmtId="165" fontId="30" fillId="0" borderId="1" xfId="334" applyNumberFormat="1" applyFont="1" applyFill="1" applyBorder="1"/>
    <xf numFmtId="9" fontId="31" fillId="0" borderId="1" xfId="334" quotePrefix="1" applyNumberFormat="1" applyFont="1" applyFill="1" applyBorder="1" applyAlignment="1">
      <alignment horizontal="center"/>
    </xf>
    <xf numFmtId="9" fontId="31" fillId="0" borderId="1" xfId="334" applyNumberFormat="1" applyFont="1" applyFill="1" applyBorder="1" applyAlignment="1">
      <alignment horizontal="center"/>
    </xf>
    <xf numFmtId="165" fontId="32" fillId="0" borderId="1" xfId="334" applyNumberFormat="1" applyFont="1" applyFill="1" applyBorder="1" applyAlignment="1">
      <alignment horizontal="center"/>
    </xf>
    <xf numFmtId="0" fontId="22" fillId="0" borderId="1" xfId="334" applyFont="1" applyFill="1" applyBorder="1" applyAlignment="1" applyProtection="1">
      <alignment wrapText="1"/>
      <protection locked="0"/>
    </xf>
    <xf numFmtId="0" fontId="16" fillId="0" borderId="0" xfId="334" applyFill="1" applyProtection="1">
      <protection locked="0"/>
    </xf>
    <xf numFmtId="169" fontId="30" fillId="0" borderId="1" xfId="334" applyNumberFormat="1" applyFont="1" applyFill="1" applyBorder="1" applyAlignment="1" applyProtection="1">
      <alignment horizontal="center"/>
      <protection locked="0"/>
    </xf>
    <xf numFmtId="0" fontId="26" fillId="0" borderId="1" xfId="334" applyFont="1" applyFill="1" applyBorder="1" applyAlignment="1" applyProtection="1">
      <alignment horizontal="center"/>
    </xf>
    <xf numFmtId="0" fontId="21" fillId="0" borderId="0" xfId="334" applyFont="1" applyFill="1" applyProtection="1">
      <protection locked="0"/>
    </xf>
    <xf numFmtId="0" fontId="22" fillId="0" borderId="0" xfId="334" applyFont="1" applyFill="1" applyBorder="1" applyAlignment="1" applyProtection="1">
      <alignment horizontal="center" vertical="center"/>
      <protection locked="0"/>
    </xf>
    <xf numFmtId="0" fontId="22" fillId="0" borderId="0" xfId="334" applyFont="1" applyFill="1" applyAlignment="1" applyProtection="1">
      <alignment horizontal="center"/>
      <protection locked="0"/>
    </xf>
    <xf numFmtId="0" fontId="22" fillId="0" borderId="0" xfId="334" applyFont="1" applyFill="1" applyBorder="1"/>
    <xf numFmtId="0" fontId="6" fillId="0" borderId="3" xfId="334" applyFont="1" applyFill="1" applyBorder="1" applyProtection="1">
      <protection locked="0"/>
    </xf>
    <xf numFmtId="0" fontId="11" fillId="0" borderId="4" xfId="334" applyFont="1" applyFill="1" applyBorder="1" applyAlignment="1" applyProtection="1">
      <alignment horizontal="right"/>
      <protection locked="0"/>
    </xf>
    <xf numFmtId="0" fontId="11" fillId="0" borderId="4" xfId="334" applyFont="1" applyFill="1" applyBorder="1" applyAlignment="1">
      <alignment horizontal="right"/>
    </xf>
    <xf numFmtId="0" fontId="7" fillId="0" borderId="4" xfId="334" applyFont="1" applyFill="1" applyBorder="1" applyProtection="1">
      <protection locked="0"/>
    </xf>
    <xf numFmtId="165" fontId="11" fillId="0" borderId="4" xfId="334" applyNumberFormat="1" applyFont="1" applyFill="1" applyBorder="1" applyAlignment="1" applyProtection="1">
      <alignment horizontal="right"/>
      <protection locked="0"/>
    </xf>
    <xf numFmtId="0" fontId="6" fillId="0" borderId="4" xfId="334" applyFont="1" applyFill="1" applyBorder="1" applyProtection="1">
      <protection locked="0"/>
    </xf>
    <xf numFmtId="0" fontId="7" fillId="0" borderId="4" xfId="334" applyFont="1" applyFill="1" applyBorder="1" applyAlignment="1" applyProtection="1">
      <alignment horizontal="left"/>
      <protection locked="0"/>
    </xf>
    <xf numFmtId="0" fontId="23" fillId="0" borderId="0" xfId="334" applyFont="1" applyFill="1" applyProtection="1">
      <protection locked="0"/>
    </xf>
    <xf numFmtId="0" fontId="6" fillId="0" borderId="5" xfId="334" applyFont="1" applyFill="1" applyBorder="1" applyProtection="1">
      <protection locked="0"/>
    </xf>
    <xf numFmtId="0" fontId="11" fillId="0" borderId="0" xfId="334" applyFont="1" applyFill="1" applyBorder="1" applyAlignment="1" applyProtection="1">
      <alignment horizontal="right"/>
      <protection locked="0"/>
    </xf>
    <xf numFmtId="0" fontId="11" fillId="0" borderId="0" xfId="334" applyFont="1" applyFill="1" applyBorder="1" applyAlignment="1">
      <alignment horizontal="right"/>
    </xf>
    <xf numFmtId="0" fontId="7" fillId="0" borderId="0" xfId="334" applyFont="1" applyFill="1" applyBorder="1" applyProtection="1">
      <protection locked="0"/>
    </xf>
    <xf numFmtId="165" fontId="11" fillId="0" borderId="0" xfId="334" applyNumberFormat="1" applyFont="1" applyFill="1" applyBorder="1" applyAlignment="1" applyProtection="1">
      <alignment horizontal="right"/>
      <protection locked="0"/>
    </xf>
    <xf numFmtId="0" fontId="6" fillId="0" borderId="0" xfId="334" applyFont="1" applyFill="1" applyBorder="1" applyProtection="1">
      <protection locked="0"/>
    </xf>
    <xf numFmtId="0" fontId="6" fillId="0" borderId="0" xfId="334" applyFont="1" applyFill="1" applyBorder="1" applyAlignment="1" applyProtection="1">
      <alignment horizontal="left"/>
      <protection locked="0"/>
    </xf>
    <xf numFmtId="0" fontId="6" fillId="0" borderId="6" xfId="334" applyFont="1" applyFill="1" applyBorder="1" applyProtection="1">
      <protection locked="0"/>
    </xf>
    <xf numFmtId="0" fontId="11" fillId="0" borderId="7" xfId="334" applyFont="1" applyFill="1" applyBorder="1" applyAlignment="1" applyProtection="1">
      <alignment horizontal="right"/>
      <protection locked="0"/>
    </xf>
    <xf numFmtId="0" fontId="6" fillId="0" borderId="7" xfId="334" applyFont="1" applyFill="1" applyBorder="1" applyAlignment="1" applyProtection="1">
      <alignment horizontal="left"/>
      <protection locked="0"/>
    </xf>
    <xf numFmtId="0" fontId="11" fillId="0" borderId="7" xfId="334" applyFont="1" applyFill="1" applyBorder="1" applyAlignment="1">
      <alignment horizontal="right"/>
    </xf>
    <xf numFmtId="0" fontId="7" fillId="0" borderId="7" xfId="334" applyFont="1" applyFill="1" applyBorder="1" applyProtection="1">
      <protection locked="0"/>
    </xf>
    <xf numFmtId="165" fontId="11" fillId="0" borderId="7" xfId="334" applyNumberFormat="1" applyFont="1" applyFill="1" applyBorder="1" applyAlignment="1" applyProtection="1">
      <alignment horizontal="right"/>
      <protection locked="0"/>
    </xf>
    <xf numFmtId="0" fontId="6" fillId="0" borderId="7" xfId="334" applyFont="1" applyFill="1" applyBorder="1" applyProtection="1">
      <protection locked="0"/>
    </xf>
    <xf numFmtId="0" fontId="25" fillId="0" borderId="0" xfId="334" applyFont="1" applyFill="1" applyBorder="1"/>
    <xf numFmtId="0" fontId="25" fillId="0" borderId="0" xfId="334" applyFont="1" applyFill="1" applyBorder="1" applyProtection="1">
      <protection locked="0"/>
    </xf>
    <xf numFmtId="0" fontId="22" fillId="0" borderId="0" xfId="334" applyFont="1" applyFill="1" applyBorder="1" applyAlignment="1" applyProtection="1">
      <alignment horizontal="center"/>
      <protection locked="0"/>
    </xf>
    <xf numFmtId="165" fontId="22" fillId="0" borderId="0" xfId="334" applyNumberFormat="1" applyFont="1" applyFill="1" applyBorder="1" applyAlignment="1">
      <alignment horizontal="right"/>
    </xf>
    <xf numFmtId="0" fontId="16" fillId="0" borderId="0" xfId="334" applyFill="1" applyBorder="1"/>
    <xf numFmtId="0" fontId="16" fillId="0" borderId="0" xfId="334" applyFill="1" applyBorder="1" applyAlignment="1">
      <alignment horizontal="right"/>
    </xf>
    <xf numFmtId="0" fontId="22" fillId="0" borderId="0" xfId="334" applyFont="1" applyFill="1" applyBorder="1" applyAlignment="1" applyProtection="1">
      <alignment horizontal="right"/>
      <protection locked="0"/>
    </xf>
    <xf numFmtId="0" fontId="22" fillId="0" borderId="9" xfId="334" applyFont="1" applyFill="1" applyBorder="1"/>
    <xf numFmtId="0" fontId="22" fillId="0" borderId="1" xfId="334" applyFont="1" applyFill="1" applyBorder="1" applyProtection="1"/>
    <xf numFmtId="0" fontId="22" fillId="0" borderId="1" xfId="334" applyFont="1" applyFill="1" applyBorder="1" applyAlignment="1" applyProtection="1">
      <alignment horizontal="center" vertical="center"/>
    </xf>
    <xf numFmtId="0" fontId="26" fillId="0" borderId="1" xfId="334" applyFont="1" applyFill="1" applyBorder="1" applyProtection="1"/>
    <xf numFmtId="0" fontId="22" fillId="0" borderId="1" xfId="334" applyFont="1" applyFill="1" applyBorder="1" applyAlignment="1" applyProtection="1">
      <alignment horizontal="centerContinuous"/>
    </xf>
    <xf numFmtId="0" fontId="26" fillId="0" borderId="1" xfId="334" applyFont="1" applyFill="1" applyBorder="1" applyAlignment="1" applyProtection="1">
      <alignment horizontal="centerContinuous"/>
    </xf>
    <xf numFmtId="0" fontId="26" fillId="0" borderId="13" xfId="334" applyFont="1" applyFill="1" applyBorder="1" applyProtection="1"/>
    <xf numFmtId="0" fontId="26" fillId="0" borderId="1" xfId="334" applyFont="1" applyFill="1" applyBorder="1" applyAlignment="1" applyProtection="1">
      <alignment horizontal="center" vertical="center"/>
    </xf>
    <xf numFmtId="0" fontId="26" fillId="0" borderId="1" xfId="334" quotePrefix="1" applyFont="1" applyFill="1" applyBorder="1" applyAlignment="1" applyProtection="1">
      <alignment horizontal="center"/>
    </xf>
    <xf numFmtId="0" fontId="26" fillId="0" borderId="1" xfId="334" applyNumberFormat="1" applyFont="1" applyFill="1" applyBorder="1" applyAlignment="1" applyProtection="1">
      <alignment horizontal="center"/>
    </xf>
    <xf numFmtId="0" fontId="26" fillId="0" borderId="15" xfId="334" applyFont="1" applyFill="1" applyBorder="1" applyProtection="1"/>
    <xf numFmtId="0" fontId="22" fillId="0" borderId="1" xfId="334" applyFont="1" applyFill="1" applyBorder="1" applyAlignment="1" applyProtection="1">
      <alignment horizontal="left" vertical="center" wrapText="1"/>
      <protection locked="0"/>
    </xf>
    <xf numFmtId="2" fontId="22" fillId="0" borderId="1" xfId="334" applyNumberFormat="1" applyFont="1" applyFill="1" applyBorder="1" applyAlignment="1" applyProtection="1">
      <alignment horizontal="center" vertical="center"/>
      <protection locked="0"/>
    </xf>
    <xf numFmtId="2" fontId="22" fillId="0" borderId="16" xfId="334" applyNumberFormat="1" applyFont="1" applyFill="1" applyBorder="1" applyAlignment="1" applyProtection="1">
      <alignment horizontal="center" vertical="center"/>
      <protection locked="0"/>
    </xf>
    <xf numFmtId="0" fontId="22" fillId="0" borderId="1" xfId="334" applyFont="1" applyFill="1" applyBorder="1" applyAlignment="1" applyProtection="1">
      <alignment horizontal="left" vertical="center"/>
      <protection locked="0"/>
    </xf>
    <xf numFmtId="0" fontId="33" fillId="0" borderId="0" xfId="334" applyFont="1" applyFill="1" applyAlignment="1" applyProtection="1">
      <alignment horizontal="center" vertical="center"/>
      <protection locked="0"/>
    </xf>
    <xf numFmtId="0" fontId="16" fillId="0" borderId="0" xfId="334" applyFill="1" applyAlignment="1" applyProtection="1">
      <alignment horizontal="center" vertical="center"/>
      <protection locked="0"/>
    </xf>
    <xf numFmtId="0" fontId="16" fillId="0" borderId="0" xfId="334" applyFill="1" applyAlignment="1" applyProtection="1">
      <alignment horizontal="center"/>
      <protection locked="0"/>
    </xf>
    <xf numFmtId="0" fontId="22" fillId="0" borderId="0" xfId="334" applyFont="1" applyFill="1" applyAlignment="1" applyProtection="1">
      <alignment vertical="center"/>
      <protection locked="0"/>
    </xf>
    <xf numFmtId="0" fontId="26" fillId="0" borderId="12" xfId="334" applyFont="1" applyFill="1" applyBorder="1" applyAlignment="1" applyProtection="1">
      <alignment vertical="center"/>
    </xf>
    <xf numFmtId="0" fontId="26" fillId="0" borderId="14" xfId="334" applyFont="1" applyFill="1" applyBorder="1" applyAlignment="1" applyProtection="1">
      <alignment vertical="center"/>
    </xf>
    <xf numFmtId="0" fontId="22" fillId="0" borderId="2" xfId="334" applyFont="1" applyFill="1" applyBorder="1" applyAlignment="1" applyProtection="1">
      <alignment vertical="center" wrapText="1"/>
      <protection locked="0"/>
    </xf>
    <xf numFmtId="0" fontId="16" fillId="0" borderId="0" xfId="334" applyFill="1" applyAlignment="1" applyProtection="1">
      <alignment vertical="center"/>
      <protection locked="0"/>
    </xf>
    <xf numFmtId="167" fontId="0" fillId="0" borderId="0" xfId="0" applyAlignment="1">
      <alignment vertical="center"/>
    </xf>
    <xf numFmtId="0" fontId="6" fillId="0" borderId="7" xfId="334" applyFont="1" applyFill="1" applyBorder="1" applyAlignment="1" applyProtection="1">
      <alignment vertical="center"/>
      <protection locked="0"/>
    </xf>
    <xf numFmtId="0" fontId="22" fillId="0" borderId="0" xfId="334" applyFont="1" applyFill="1" applyBorder="1" applyAlignment="1" applyProtection="1">
      <alignment vertical="center"/>
      <protection locked="0"/>
    </xf>
    <xf numFmtId="0" fontId="26" fillId="0" borderId="9" xfId="334" applyFont="1" applyFill="1" applyBorder="1" applyAlignment="1" applyProtection="1">
      <alignment vertical="center"/>
    </xf>
    <xf numFmtId="169" fontId="30" fillId="0" borderId="2" xfId="334" applyNumberFormat="1" applyFont="1" applyFill="1" applyBorder="1" applyAlignment="1" applyProtection="1">
      <alignment vertical="center"/>
      <protection locked="0"/>
    </xf>
    <xf numFmtId="0" fontId="22" fillId="0" borderId="10" xfId="334" applyFont="1" applyFill="1" applyBorder="1" applyAlignment="1" applyProtection="1">
      <alignment vertical="center" wrapText="1"/>
      <protection locked="0"/>
    </xf>
    <xf numFmtId="0" fontId="22" fillId="0" borderId="31" xfId="334" applyFont="1" applyFill="1" applyBorder="1" applyAlignment="1" applyProtection="1">
      <alignment vertical="center" wrapText="1"/>
      <protection locked="0"/>
    </xf>
    <xf numFmtId="0" fontId="22" fillId="0" borderId="32" xfId="334" applyFont="1" applyFill="1" applyBorder="1" applyAlignment="1" applyProtection="1">
      <alignment vertical="center" wrapText="1"/>
      <protection locked="0"/>
    </xf>
    <xf numFmtId="49" fontId="6" fillId="0" borderId="7" xfId="334" applyNumberFormat="1" applyFont="1" applyFill="1" applyBorder="1" applyAlignment="1" applyProtection="1">
      <alignment horizontal="left"/>
      <protection locked="0"/>
    </xf>
    <xf numFmtId="0" fontId="27" fillId="0" borderId="1" xfId="334" applyNumberFormat="1" applyFont="1" applyFill="1" applyBorder="1" applyAlignment="1" applyProtection="1">
      <alignment horizontal="center"/>
    </xf>
    <xf numFmtId="0" fontId="22" fillId="0" borderId="1" xfId="334" applyNumberFormat="1" applyFont="1" applyFill="1" applyBorder="1" applyAlignment="1" applyProtection="1">
      <alignment horizontal="center"/>
      <protection locked="0"/>
    </xf>
    <xf numFmtId="14" fontId="22" fillId="0" borderId="1" xfId="334" quotePrefix="1" applyNumberFormat="1" applyFont="1" applyFill="1" applyBorder="1" applyAlignment="1" applyProtection="1">
      <alignment horizontal="center"/>
      <protection locked="0"/>
    </xf>
    <xf numFmtId="0" fontId="22" fillId="0" borderId="1" xfId="334" quotePrefix="1" applyNumberFormat="1" applyFont="1" applyFill="1" applyBorder="1" applyAlignment="1" applyProtection="1">
      <alignment horizontal="center"/>
      <protection locked="0"/>
    </xf>
    <xf numFmtId="4" fontId="29" fillId="0" borderId="1" xfId="334" applyNumberFormat="1" applyFont="1" applyFill="1" applyBorder="1" applyAlignment="1" applyProtection="1">
      <alignment horizontal="center"/>
      <protection locked="0"/>
    </xf>
    <xf numFmtId="0" fontId="6" fillId="0" borderId="7" xfId="334" applyFont="1" applyFill="1" applyBorder="1" applyAlignment="1" applyProtection="1">
      <alignment horizontal="left"/>
      <protection locked="0"/>
    </xf>
    <xf numFmtId="0" fontId="24" fillId="0" borderId="8" xfId="334" applyFont="1" applyFill="1" applyBorder="1" applyAlignment="1" applyProtection="1">
      <alignment horizontal="center"/>
      <protection locked="0"/>
    </xf>
    <xf numFmtId="0" fontId="24" fillId="0" borderId="4" xfId="334" applyFont="1" applyFill="1" applyBorder="1" applyAlignment="1" applyProtection="1">
      <alignment horizontal="center"/>
      <protection locked="0"/>
    </xf>
    <xf numFmtId="0" fontId="6" fillId="0" borderId="4" xfId="334" applyFont="1" applyFill="1" applyBorder="1" applyAlignment="1" applyProtection="1">
      <alignment horizontal="left"/>
      <protection locked="0"/>
    </xf>
    <xf numFmtId="0" fontId="26" fillId="0" borderId="11" xfId="334" applyFont="1" applyFill="1" applyBorder="1" applyAlignment="1" applyProtection="1">
      <alignment horizontal="center" vertical="center"/>
    </xf>
    <xf numFmtId="0" fontId="26" fillId="0" borderId="9" xfId="334" applyFont="1" applyFill="1" applyBorder="1" applyAlignment="1" applyProtection="1">
      <alignment horizontal="center" vertical="center"/>
    </xf>
    <xf numFmtId="0" fontId="6" fillId="0" borderId="0" xfId="334" applyFont="1" applyFill="1" applyBorder="1" applyAlignment="1" applyProtection="1">
      <alignment horizontal="left"/>
      <protection locked="0"/>
    </xf>
    <xf numFmtId="0" fontId="26" fillId="0" borderId="1" xfId="334" applyFont="1" applyFill="1" applyBorder="1" applyAlignment="1" applyProtection="1">
      <alignment horizontal="center"/>
    </xf>
    <xf numFmtId="0" fontId="26" fillId="0" borderId="10" xfId="334" applyFont="1" applyFill="1" applyBorder="1" applyAlignment="1" applyProtection="1">
      <alignment horizontal="center"/>
    </xf>
  </cellXfs>
  <cellStyles count="1259">
    <cellStyle name="_0036- 技术课表格记录" xfId="944" xr:uid="{00000000-0005-0000-0000-000000000000}"/>
    <cellStyle name="_0036- 技术课表格记录_品质部表单1" xfId="945" xr:uid="{00000000-0005-0000-0000-000001000000}"/>
    <cellStyle name="_14739-31-001APQP（1）" xfId="946" xr:uid="{00000000-0005-0000-0000-000002000000}"/>
    <cellStyle name="_14739-31-001APQP（1）_品质部表单1" xfId="947" xr:uid="{00000000-0005-0000-0000-000003000000}"/>
    <cellStyle name="_14739-31-001APQP(2)" xfId="948" xr:uid="{00000000-0005-0000-0000-000004000000}"/>
    <cellStyle name="_14739-31-001APQP(2)_品质部表单1" xfId="949" xr:uid="{00000000-0005-0000-0000-000005000000}"/>
    <cellStyle name="_14739-31-001APQP(3)" xfId="950" xr:uid="{00000000-0005-0000-0000-000006000000}"/>
    <cellStyle name="_14739-31-001APQP(3)_品质部表单1" xfId="951" xr:uid="{00000000-0005-0000-0000-000007000000}"/>
    <cellStyle name="_14739-31-002APQP(1)" xfId="952" xr:uid="{00000000-0005-0000-0000-000008000000}"/>
    <cellStyle name="_14739-31-002APQP(1)_品质部表单1" xfId="953" xr:uid="{00000000-0005-0000-0000-000009000000}"/>
    <cellStyle name="_14739-31-002APQP(2)" xfId="954" xr:uid="{00000000-0005-0000-0000-00000A000000}"/>
    <cellStyle name="_14739-31-002APQP(2)_14739-31-001APQP(2)" xfId="955" xr:uid="{00000000-0005-0000-0000-00000B000000}"/>
    <cellStyle name="_14739-31-002APQP(2)_14739-31-001APQP(2)_品质部表单1" xfId="956" xr:uid="{00000000-0005-0000-0000-00000C000000}"/>
    <cellStyle name="_14739-31-002APQP(2)_14739-31-002PPAP" xfId="957" xr:uid="{00000000-0005-0000-0000-00000D000000}"/>
    <cellStyle name="_14739-31-002APQP(2)_14739-31-002PPAP_品质部表单1" xfId="958" xr:uid="{00000000-0005-0000-0000-00000E000000}"/>
    <cellStyle name="_14739-31-002APQP(2)_556-40-001APQP(2)" xfId="959" xr:uid="{00000000-0005-0000-0000-00000F000000}"/>
    <cellStyle name="_14739-31-002APQP(2)_556-40-001APQP(2)_品质部表单1" xfId="960" xr:uid="{00000000-0005-0000-0000-000010000000}"/>
    <cellStyle name="_14739-31-002APQP(2)_556-40-001PPAP" xfId="961" xr:uid="{00000000-0005-0000-0000-000011000000}"/>
    <cellStyle name="_14739-31-002APQP(2)_556-40-001PPAP_品质部表单1" xfId="962" xr:uid="{00000000-0005-0000-0000-000012000000}"/>
    <cellStyle name="_14739-31-002APQP(2)_品质部表单1" xfId="963" xr:uid="{00000000-0005-0000-0000-000013000000}"/>
    <cellStyle name="_14739-31-002APQP(3)" xfId="964" xr:uid="{00000000-0005-0000-0000-000014000000}"/>
    <cellStyle name="_14739-31-002APQP(3)_品质部表单1" xfId="965" xr:uid="{00000000-0005-0000-0000-000015000000}"/>
    <cellStyle name="_14739-31-002PPAP" xfId="966" xr:uid="{00000000-0005-0000-0000-000016000000}"/>
    <cellStyle name="_14739-31-002PPAP_品质部表单1" xfId="967" xr:uid="{00000000-0005-0000-0000-000017000000}"/>
    <cellStyle name="_14739-31-002作业指导书" xfId="968" xr:uid="{00000000-0005-0000-0000-000018000000}"/>
    <cellStyle name="_14739-31-002作业指导书_品质部表单1" xfId="969" xr:uid="{00000000-0005-0000-0000-000019000000}"/>
    <cellStyle name="_556-40-001APQP(1)" xfId="970" xr:uid="{00000000-0005-0000-0000-00001A000000}"/>
    <cellStyle name="_556-40-001APQP(1)_品质部表单1" xfId="971" xr:uid="{00000000-0005-0000-0000-00001B000000}"/>
    <cellStyle name="_556-40-001APQP(2)" xfId="972" xr:uid="{00000000-0005-0000-0000-00001C000000}"/>
    <cellStyle name="_556-40-001APQP(2)_品质部表单1" xfId="973" xr:uid="{00000000-0005-0000-0000-00001D000000}"/>
    <cellStyle name="_556-40-001PPAP" xfId="974" xr:uid="{00000000-0005-0000-0000-00001E000000}"/>
    <cellStyle name="_556-40-001PPAP_品质部表单1" xfId="975" xr:uid="{00000000-0005-0000-0000-00001F000000}"/>
    <cellStyle name="_703-45-001APQP(1)" xfId="976" xr:uid="{00000000-0005-0000-0000-000020000000}"/>
    <cellStyle name="_703-45-001APQP(1)_品质部表单1" xfId="977" xr:uid="{00000000-0005-0000-0000-000021000000}"/>
    <cellStyle name="_703-45-001PPAP" xfId="978" xr:uid="{00000000-0005-0000-0000-000022000000}"/>
    <cellStyle name="_703-45-001PPAP_品质部表单1" xfId="979" xr:uid="{00000000-0005-0000-0000-000023000000}"/>
    <cellStyle name="_9789BOM表" xfId="980" xr:uid="{00000000-0005-0000-0000-000024000000}"/>
    <cellStyle name="_9789BOM表_品质部表单1" xfId="981" xr:uid="{00000000-0005-0000-0000-000025000000}"/>
    <cellStyle name="_A088B-10格吸塑盒（金利昌）" xfId="982" xr:uid="{00000000-0005-0000-0000-000026000000}"/>
    <cellStyle name="_A088B-10格吸塑盒（金利昌）_品质部表单1" xfId="983" xr:uid="{00000000-0005-0000-0000-000027000000}"/>
    <cellStyle name="_APQP 标准化格式" xfId="984" xr:uid="{00000000-0005-0000-0000-000028000000}"/>
    <cellStyle name="_APQP 标准化格式_品质部表单1" xfId="985" xr:uid="{00000000-0005-0000-0000-000029000000}"/>
    <cellStyle name="_BOM" xfId="986" xr:uid="{00000000-0005-0000-0000-00002A000000}"/>
    <cellStyle name="_BOM_品质部表单1" xfId="987" xr:uid="{00000000-0005-0000-0000-00002B000000}"/>
    <cellStyle name="_BOM表" xfId="988" xr:uid="{00000000-0005-0000-0000-00002C000000}"/>
    <cellStyle name="_BOM表_品质部表单1" xfId="989" xr:uid="{00000000-0005-0000-0000-00002D000000}"/>
    <cellStyle name="_CTS项目703-45-001.APQP" xfId="990" xr:uid="{00000000-0005-0000-0000-00002E000000}"/>
    <cellStyle name="_CTS项目703-45-001.APQP_品质部表单1" xfId="991" xr:uid="{00000000-0005-0000-0000-00002F000000}"/>
    <cellStyle name="_Drafting Note about New Product新产品立项书" xfId="992" xr:uid="{00000000-0005-0000-0000-000030000000}"/>
    <cellStyle name="_Drafting Note about New Product新产品立项书_品质部表单1" xfId="993" xr:uid="{00000000-0005-0000-0000-000031000000}"/>
    <cellStyle name="_ET_STYLE_NoName_00_" xfId="994" xr:uid="{00000000-0005-0000-0000-000032000000}"/>
    <cellStyle name="_ET_STYLE_NoName_00__7S问题项改善报告" xfId="995" xr:uid="{00000000-0005-0000-0000-000033000000}"/>
    <cellStyle name="_Factory Disposal Map场地平面布置图" xfId="996" xr:uid="{00000000-0005-0000-0000-000034000000}"/>
    <cellStyle name="_Factory Disposal Map场地平面布置图_品质部表单1" xfId="997" xr:uid="{00000000-0005-0000-0000-000035000000}"/>
    <cellStyle name="_GM9789APQP" xfId="998" xr:uid="{00000000-0005-0000-0000-000036000000}"/>
    <cellStyle name="_GM9789APQP_品质部表单1" xfId="1003" xr:uid="{00000000-0005-0000-0000-000037000000}"/>
    <cellStyle name="_GM9789APQP（1）" xfId="999" xr:uid="{00000000-0005-0000-0000-000038000000}"/>
    <cellStyle name="_GM9789APQP（1）_品质部表单1" xfId="1000" xr:uid="{00000000-0005-0000-0000-000039000000}"/>
    <cellStyle name="_GM9789APQP(2)" xfId="1001" xr:uid="{00000000-0005-0000-0000-00003A000000}"/>
    <cellStyle name="_GM9789APQP(2)_品质部表单1" xfId="1002" xr:uid="{00000000-0005-0000-0000-00003B000000}"/>
    <cellStyle name="_GMEFM-ISO-0031-A 产品环保符合性确认表2008-11-26" xfId="1004" xr:uid="{00000000-0005-0000-0000-00003C000000}"/>
    <cellStyle name="_GMEFM-ISO-0037-A.XXXX年XX部-课管理评审报告2008-10-22" xfId="1005" xr:uid="{00000000-0005-0000-0000-00003D000000}"/>
    <cellStyle name="_ISO表格记录" xfId="1006" xr:uid="{00000000-0005-0000-0000-00003E000000}"/>
    <cellStyle name="_ISO表格记录_品质部表单1" xfId="1007" xr:uid="{00000000-0005-0000-0000-00003F000000}"/>
    <cellStyle name="_KOD054 GRR" xfId="1008" xr:uid="{00000000-0005-0000-0000-000040000000}"/>
    <cellStyle name="_KOD090  GRR" xfId="1009" xr:uid="{00000000-0005-0000-0000-000041000000}"/>
    <cellStyle name="_KOD090-100R01.2 LOWER PAPER GUIDE FAI DV3 06.08.08" xfId="1010" xr:uid="{00000000-0005-0000-0000-000042000000}"/>
    <cellStyle name="_KOD090-100R01.2 LOWER PAPER GUIDE FAI DV3 06.08.08_品质部表单1" xfId="1011" xr:uid="{00000000-0005-0000-0000-000043000000}"/>
    <cellStyle name="_产品和过程特殊特性的初始清单" xfId="1013" xr:uid="{00000000-0005-0000-0000-000044000000}"/>
    <cellStyle name="_产品和过程特殊特性的初始清单_品质部表单1" xfId="1014" xr:uid="{00000000-0005-0000-0000-000045000000}"/>
    <cellStyle name="_关键设备易损件清单" xfId="1023" xr:uid="{00000000-0005-0000-0000-000046000000}"/>
    <cellStyle name="_关键设备易损件清单_品质部表单1" xfId="1024" xr:uid="{00000000-0005-0000-0000-000047000000}"/>
    <cellStyle name="_分供应商清单-受控空表 (2)" xfId="1017" xr:uid="{00000000-0005-0000-0000-000048000000}"/>
    <cellStyle name="_分供应商清单-受控空表 (2)_品质部表单1" xfId="1018" xr:uid="{00000000-0005-0000-0000-000049000000}"/>
    <cellStyle name="_客户样板批准报告" xfId="1026" xr:uid="{00000000-0005-0000-0000-00004A000000}"/>
    <cellStyle name="_客户设计检讨回应" xfId="1025" xr:uid="{00000000-0005-0000-0000-00004B000000}"/>
    <cellStyle name="_工模加工设备清单" xfId="1021" xr:uid="{00000000-0005-0000-0000-00004C000000}"/>
    <cellStyle name="_工模加工设备清单_品质部表单1" xfId="1022" xr:uid="{00000000-0005-0000-0000-00004D000000}"/>
    <cellStyle name="_工程样板提交检查表" xfId="1020" xr:uid="{00000000-0005-0000-0000-00004E000000}"/>
    <cellStyle name="_干燥周期检查表" xfId="1019" xr:uid="{00000000-0005-0000-0000-00004F000000}"/>
    <cellStyle name="_承认文" xfId="1015" xr:uid="{00000000-0005-0000-0000-000050000000}"/>
    <cellStyle name="_承认文_品质部表单1" xfId="1016" xr:uid="{00000000-0005-0000-0000-000051000000}"/>
    <cellStyle name="_料房设备周点检表" xfId="1027" xr:uid="{00000000-0005-0000-0000-000052000000}"/>
    <cellStyle name="_新增设备、工装和模具配置计划" xfId="1032" xr:uid="{00000000-0005-0000-0000-000053000000}"/>
    <cellStyle name="_注塑课表格记录2009-6" xfId="1034" xr:uid="{00000000-0005-0000-0000-000054000000}"/>
    <cellStyle name="_注塑部表单" xfId="1033" xr:uid="{00000000-0005-0000-0000-000055000000}"/>
    <cellStyle name="_测量仪器点检表" xfId="1012" xr:uid="{00000000-0005-0000-0000-000056000000}"/>
    <cellStyle name="_特殊特性清单 (2)" xfId="1028" xr:uid="{00000000-0005-0000-0000-000057000000}"/>
    <cellStyle name="_特殊特性清单 (2)_品质部表单1" xfId="1029" xr:uid="{00000000-0005-0000-0000-000058000000}"/>
    <cellStyle name="_特殊特性清单1" xfId="1030" xr:uid="{00000000-0005-0000-0000-000059000000}"/>
    <cellStyle name="_特殊特性清单1_品质部表单1" xfId="1031" xr:uid="{00000000-0005-0000-0000-00005A000000}"/>
    <cellStyle name="¤@¯ë_plastic_1" xfId="1035" xr:uid="{00000000-0005-0000-0000-00005B000000}"/>
    <cellStyle name="0,0_x000d__x000a_NA_x000d__x000a_" xfId="1036" xr:uid="{00000000-0005-0000-0000-00005C000000}"/>
    <cellStyle name="20% - 强调文字颜色 1 2" xfId="1037" xr:uid="{00000000-0005-0000-0000-00005D000000}"/>
    <cellStyle name="20% - 强调文字颜色 2 2" xfId="1038" xr:uid="{00000000-0005-0000-0000-00005E000000}"/>
    <cellStyle name="20% - 强调文字颜色 3 2" xfId="1039" xr:uid="{00000000-0005-0000-0000-00005F000000}"/>
    <cellStyle name="20% - 强调文字颜色 4 2" xfId="1040" xr:uid="{00000000-0005-0000-0000-000060000000}"/>
    <cellStyle name="20% - 强调文字颜色 5 2" xfId="1041" xr:uid="{00000000-0005-0000-0000-000061000000}"/>
    <cellStyle name="20% - 强调文字颜色 6 2" xfId="1042" xr:uid="{00000000-0005-0000-0000-000062000000}"/>
    <cellStyle name="40% - 强调文字颜色 1 2" xfId="1043" xr:uid="{00000000-0005-0000-0000-000063000000}"/>
    <cellStyle name="40% - 强调文字颜色 2 2" xfId="1044" xr:uid="{00000000-0005-0000-0000-000064000000}"/>
    <cellStyle name="40% - 强调文字颜色 3 2" xfId="1045" xr:uid="{00000000-0005-0000-0000-000065000000}"/>
    <cellStyle name="40% - 强调文字颜色 4 2" xfId="1046" xr:uid="{00000000-0005-0000-0000-000066000000}"/>
    <cellStyle name="40% - 强调文字颜色 5 2" xfId="1047" xr:uid="{00000000-0005-0000-0000-000067000000}"/>
    <cellStyle name="40% - 强调文字颜色 6 2" xfId="1048" xr:uid="{00000000-0005-0000-0000-000068000000}"/>
    <cellStyle name="60% - 强调文字颜色 1 2" xfId="1049" xr:uid="{00000000-0005-0000-0000-000069000000}"/>
    <cellStyle name="60% - 强调文字颜色 2 2" xfId="1050" xr:uid="{00000000-0005-0000-0000-00006A000000}"/>
    <cellStyle name="60% - 强调文字颜色 3 2" xfId="1051" xr:uid="{00000000-0005-0000-0000-00006B000000}"/>
    <cellStyle name="60% - 强调文字颜色 4 2" xfId="1052" xr:uid="{00000000-0005-0000-0000-00006C000000}"/>
    <cellStyle name="60% - 强调文字颜色 5 2" xfId="1053" xr:uid="{00000000-0005-0000-0000-00006D000000}"/>
    <cellStyle name="60% - 强调文字颜色 6 2" xfId="1054" xr:uid="{00000000-0005-0000-0000-00006E000000}"/>
    <cellStyle name="A4 Small 210 x 297 mm" xfId="1055" xr:uid="{00000000-0005-0000-0000-00006F000000}"/>
    <cellStyle name="Actual Date" xfId="1056" xr:uid="{00000000-0005-0000-0000-000070000000}"/>
    <cellStyle name="args.style" xfId="1057" xr:uid="{00000000-0005-0000-0000-000071000000}"/>
    <cellStyle name="Calc Currency (0)" xfId="1058" xr:uid="{00000000-0005-0000-0000-000072000000}"/>
    <cellStyle name="Calc Currency (2)" xfId="1059" xr:uid="{00000000-0005-0000-0000-000073000000}"/>
    <cellStyle name="Calc Percent (0)" xfId="1060" xr:uid="{00000000-0005-0000-0000-000074000000}"/>
    <cellStyle name="Calc Percent (1)" xfId="1061" xr:uid="{00000000-0005-0000-0000-000075000000}"/>
    <cellStyle name="Calc Percent (2)" xfId="1062" xr:uid="{00000000-0005-0000-0000-000076000000}"/>
    <cellStyle name="Calc Units (0)" xfId="1063" xr:uid="{00000000-0005-0000-0000-000077000000}"/>
    <cellStyle name="Calc Units (1)" xfId="1064" xr:uid="{00000000-0005-0000-0000-000078000000}"/>
    <cellStyle name="Calc Units (2)" xfId="1065" xr:uid="{00000000-0005-0000-0000-000079000000}"/>
    <cellStyle name="category" xfId="1066" xr:uid="{00000000-0005-0000-0000-00007A000000}"/>
    <cellStyle name="Comma [00]" xfId="1067" xr:uid="{00000000-0005-0000-0000-00007B000000}"/>
    <cellStyle name="Comma 2" xfId="306" xr:uid="{00000000-0005-0000-0000-00007C000000}"/>
    <cellStyle name="comma zerodec" xfId="1068" xr:uid="{00000000-0005-0000-0000-00007D000000}"/>
    <cellStyle name="Copied" xfId="1069" xr:uid="{00000000-0005-0000-0000-00007E000000}"/>
    <cellStyle name="Currency [00]" xfId="1070" xr:uid="{00000000-0005-0000-0000-00007F000000}"/>
    <cellStyle name="DATE" xfId="1071" xr:uid="{00000000-0005-0000-0000-000080000000}"/>
    <cellStyle name="Date Short" xfId="1072" xr:uid="{00000000-0005-0000-0000-000081000000}"/>
    <cellStyle name="DELTA" xfId="1073" xr:uid="{00000000-0005-0000-0000-000082000000}"/>
    <cellStyle name="Enter Currency (0)" xfId="1074" xr:uid="{00000000-0005-0000-0000-000083000000}"/>
    <cellStyle name="Enter Currency (2)" xfId="1075" xr:uid="{00000000-0005-0000-0000-000084000000}"/>
    <cellStyle name="Enter Units (0)" xfId="1076" xr:uid="{00000000-0005-0000-0000-000085000000}"/>
    <cellStyle name="Enter Units (1)" xfId="1077" xr:uid="{00000000-0005-0000-0000-000086000000}"/>
    <cellStyle name="Enter Units (2)" xfId="1078" xr:uid="{00000000-0005-0000-0000-000087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302" builtinId="9" hidden="1"/>
    <cellStyle name="Followed Hyperlink" xfId="304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6" builtinId="9" hidden="1"/>
    <cellStyle name="Followed Hyperlink" xfId="338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Grey" xfId="1079" xr:uid="{00000000-0005-0000-0000-000004020000}"/>
    <cellStyle name="Header1" xfId="1080" xr:uid="{00000000-0005-0000-0000-000005020000}"/>
    <cellStyle name="Header2" xfId="1081" xr:uid="{00000000-0005-0000-0000-000006020000}"/>
    <cellStyle name="Hyperlink" xfId="2" hidden="1" xr:uid="{00000000-0005-0000-0000-000007020000}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301" builtinId="8" hidden="1"/>
    <cellStyle name="Hyperlink" xfId="303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5" builtinId="8" hidden="1"/>
    <cellStyle name="Hyperlink" xfId="337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Input [yellow]" xfId="1082" xr:uid="{00000000-0005-0000-0000-000083030000}"/>
    <cellStyle name="Link Currency (0)" xfId="1083" xr:uid="{00000000-0005-0000-0000-000084030000}"/>
    <cellStyle name="Link Currency (2)" xfId="1084" xr:uid="{00000000-0005-0000-0000-000085030000}"/>
    <cellStyle name="Link Units (0)" xfId="1085" xr:uid="{00000000-0005-0000-0000-000086030000}"/>
    <cellStyle name="Link Units (1)" xfId="1086" xr:uid="{00000000-0005-0000-0000-000087030000}"/>
    <cellStyle name="Link Units (2)" xfId="1087" xr:uid="{00000000-0005-0000-0000-000088030000}"/>
    <cellStyle name="Moeda [0]_kinslayer" xfId="1088" xr:uid="{00000000-0005-0000-0000-000089030000}"/>
    <cellStyle name="Moeda_kinslayer" xfId="1089" xr:uid="{00000000-0005-0000-0000-00008A030000}"/>
    <cellStyle name="Neutral 2" xfId="307" xr:uid="{00000000-0005-0000-0000-00008B030000}"/>
    <cellStyle name="Neutral 2 2" xfId="308" xr:uid="{00000000-0005-0000-0000-00008C030000}"/>
    <cellStyle name="Neutral 2 3" xfId="340" xr:uid="{00000000-0005-0000-0000-00008D030000}"/>
    <cellStyle name="Neutral 3" xfId="309" xr:uid="{00000000-0005-0000-0000-00008E030000}"/>
    <cellStyle name="no dec" xfId="1090" xr:uid="{00000000-0005-0000-0000-00008F030000}"/>
    <cellStyle name="Normal" xfId="0" builtinId="0"/>
    <cellStyle name="Normal - Style1" xfId="1091" xr:uid="{00000000-0005-0000-0000-000091030000}"/>
    <cellStyle name="Normal 2" xfId="96" xr:uid="{00000000-0005-0000-0000-000092030000}"/>
    <cellStyle name="Normal 2 10" xfId="95" xr:uid="{00000000-0005-0000-0000-000093030000}"/>
    <cellStyle name="Normal 2 11" xfId="243" xr:uid="{00000000-0005-0000-0000-000094030000}"/>
    <cellStyle name="Normal 2 12" xfId="310" xr:uid="{00000000-0005-0000-0000-000095030000}"/>
    <cellStyle name="Normal 2 13" xfId="334" xr:uid="{00000000-0005-0000-0000-000096030000}"/>
    <cellStyle name="Normal 2 13 2" xfId="1258" xr:uid="{00000000-0005-0000-0000-000097030000}"/>
    <cellStyle name="Normal 2 2" xfId="97" xr:uid="{00000000-0005-0000-0000-000098030000}"/>
    <cellStyle name="Normal 2 2 2" xfId="311" xr:uid="{00000000-0005-0000-0000-000099030000}"/>
    <cellStyle name="Normal 2 2 2 16" xfId="240" xr:uid="{00000000-0005-0000-0000-00009A030000}"/>
    <cellStyle name="Normal 2 3" xfId="98" xr:uid="{00000000-0005-0000-0000-00009B030000}"/>
    <cellStyle name="Normal 2 4" xfId="99" xr:uid="{00000000-0005-0000-0000-00009C030000}"/>
    <cellStyle name="Normal 2 5" xfId="100" xr:uid="{00000000-0005-0000-0000-00009D030000}"/>
    <cellStyle name="Normal 2 6" xfId="101" xr:uid="{00000000-0005-0000-0000-00009E030000}"/>
    <cellStyle name="Normal 2 6 2" xfId="102" xr:uid="{00000000-0005-0000-0000-00009F030000}"/>
    <cellStyle name="Normal 2 6 3" xfId="103" xr:uid="{00000000-0005-0000-0000-0000A0030000}"/>
    <cellStyle name="Normal 2 6 4" xfId="104" xr:uid="{00000000-0005-0000-0000-0000A1030000}"/>
    <cellStyle name="Normal 2 6 5" xfId="105" xr:uid="{00000000-0005-0000-0000-0000A2030000}"/>
    <cellStyle name="Normal 2 6 6" xfId="106" xr:uid="{00000000-0005-0000-0000-0000A3030000}"/>
    <cellStyle name="Normal 2 6 7" xfId="107" xr:uid="{00000000-0005-0000-0000-0000A4030000}"/>
    <cellStyle name="Normal 2 6 8" xfId="108" xr:uid="{00000000-0005-0000-0000-0000A5030000}"/>
    <cellStyle name="Normal 2 6 9" xfId="109" xr:uid="{00000000-0005-0000-0000-0000A6030000}"/>
    <cellStyle name="Normal 2 7" xfId="110" xr:uid="{00000000-0005-0000-0000-0000A7030000}"/>
    <cellStyle name="Normal 2 7 2" xfId="111" xr:uid="{00000000-0005-0000-0000-0000A8030000}"/>
    <cellStyle name="Normal 2 7 3" xfId="112" xr:uid="{00000000-0005-0000-0000-0000A9030000}"/>
    <cellStyle name="Normal 2 7 4" xfId="113" xr:uid="{00000000-0005-0000-0000-0000AA030000}"/>
    <cellStyle name="Normal 2 7 5" xfId="114" xr:uid="{00000000-0005-0000-0000-0000AB030000}"/>
    <cellStyle name="Normal 2 7 6" xfId="115" xr:uid="{00000000-0005-0000-0000-0000AC030000}"/>
    <cellStyle name="Normal 2 7 7" xfId="116" xr:uid="{00000000-0005-0000-0000-0000AD030000}"/>
    <cellStyle name="Normal 2 7 8" xfId="117" xr:uid="{00000000-0005-0000-0000-0000AE030000}"/>
    <cellStyle name="Normal 2 7 9" xfId="118" xr:uid="{00000000-0005-0000-0000-0000AF030000}"/>
    <cellStyle name="Normal 2 8" xfId="119" xr:uid="{00000000-0005-0000-0000-0000B0030000}"/>
    <cellStyle name="Normal 2 8 2" xfId="120" xr:uid="{00000000-0005-0000-0000-0000B1030000}"/>
    <cellStyle name="Normal 2 8 3" xfId="121" xr:uid="{00000000-0005-0000-0000-0000B2030000}"/>
    <cellStyle name="Normal 2 8 4" xfId="122" xr:uid="{00000000-0005-0000-0000-0000B3030000}"/>
    <cellStyle name="Normal 2 8 5" xfId="123" xr:uid="{00000000-0005-0000-0000-0000B4030000}"/>
    <cellStyle name="Normal 2 8 6" xfId="124" xr:uid="{00000000-0005-0000-0000-0000B5030000}"/>
    <cellStyle name="Normal 2 8 7" xfId="125" xr:uid="{00000000-0005-0000-0000-0000B6030000}"/>
    <cellStyle name="Normal 2 8 8" xfId="126" xr:uid="{00000000-0005-0000-0000-0000B7030000}"/>
    <cellStyle name="Normal 2 8 9" xfId="127" xr:uid="{00000000-0005-0000-0000-0000B8030000}"/>
    <cellStyle name="Normal 2 9" xfId="128" xr:uid="{00000000-0005-0000-0000-0000B9030000}"/>
    <cellStyle name="Normal 2 9 2" xfId="129" xr:uid="{00000000-0005-0000-0000-0000BA030000}"/>
    <cellStyle name="Normal 2 9 3" xfId="130" xr:uid="{00000000-0005-0000-0000-0000BB030000}"/>
    <cellStyle name="Normal 2 9 4" xfId="131" xr:uid="{00000000-0005-0000-0000-0000BC030000}"/>
    <cellStyle name="Normal 2 9 5" xfId="132" xr:uid="{00000000-0005-0000-0000-0000BD030000}"/>
    <cellStyle name="Normal 2 9 6" xfId="133" xr:uid="{00000000-0005-0000-0000-0000BE030000}"/>
    <cellStyle name="Normal 2 9 7" xfId="134" xr:uid="{00000000-0005-0000-0000-0000BF030000}"/>
    <cellStyle name="Normal 2 9 8" xfId="135" xr:uid="{00000000-0005-0000-0000-0000C0030000}"/>
    <cellStyle name="Normal 2 9 9" xfId="136" xr:uid="{00000000-0005-0000-0000-0000C1030000}"/>
    <cellStyle name="Normal 3" xfId="312" xr:uid="{00000000-0005-0000-0000-0000C2030000}"/>
    <cellStyle name="Normal 3 2" xfId="313" xr:uid="{00000000-0005-0000-0000-0000C3030000}"/>
    <cellStyle name="Œ…‹æØ‚è [0.00]_laroux" xfId="1092" xr:uid="{00000000-0005-0000-0000-0000C4030000}"/>
    <cellStyle name="Œ…‹æØ‚è_laroux" xfId="1093" xr:uid="{00000000-0005-0000-0000-0000C5030000}"/>
    <cellStyle name="Percent [0]" xfId="1094" xr:uid="{00000000-0005-0000-0000-0000C6030000}"/>
    <cellStyle name="Percent [00]" xfId="1095" xr:uid="{00000000-0005-0000-0000-0000C7030000}"/>
    <cellStyle name="Percent [2]" xfId="1096" xr:uid="{00000000-0005-0000-0000-0000C8030000}"/>
    <cellStyle name="Percent 2" xfId="244" xr:uid="{00000000-0005-0000-0000-0000C9030000}"/>
    <cellStyle name="PrePop Currency (0)" xfId="1097" xr:uid="{00000000-0005-0000-0000-0000CA030000}"/>
    <cellStyle name="PrePop Currency (2)" xfId="1098" xr:uid="{00000000-0005-0000-0000-0000CB030000}"/>
    <cellStyle name="PrePop Units (0)" xfId="1099" xr:uid="{00000000-0005-0000-0000-0000CC030000}"/>
    <cellStyle name="PrePop Units (1)" xfId="1100" xr:uid="{00000000-0005-0000-0000-0000CD030000}"/>
    <cellStyle name="PrePop Units (2)" xfId="1101" xr:uid="{00000000-0005-0000-0000-0000CE030000}"/>
    <cellStyle name="RowLevel_0" xfId="1102" xr:uid="{00000000-0005-0000-0000-0000CF030000}"/>
    <cellStyle name="Text Indent A" xfId="1103" xr:uid="{00000000-0005-0000-0000-0000D0030000}"/>
    <cellStyle name="Text Indent B" xfId="1104" xr:uid="{00000000-0005-0000-0000-0000D1030000}"/>
    <cellStyle name="Text Indent C" xfId="1105" xr:uid="{00000000-0005-0000-0000-0000D2030000}"/>
    <cellStyle name="표준_HD-802생기0423_1_802Hpl" xfId="1253" xr:uid="{00000000-0005-0000-0000-0000D3030000}"/>
    <cellStyle name="一般 2" xfId="247" xr:uid="{00000000-0005-0000-0000-0000D4030000}"/>
    <cellStyle name="一般_(B167)-(CAP_7)-Cpk-0427-WSJF1202402" xfId="245" xr:uid="{00000000-0005-0000-0000-0000D5030000}"/>
    <cellStyle name="千分位_981117b" xfId="1239" xr:uid="{00000000-0005-0000-0000-0000D6030000}"/>
    <cellStyle name="千分位[0]_981117b" xfId="1238" xr:uid="{00000000-0005-0000-0000-0000D7030000}"/>
    <cellStyle name="好 2" xfId="1173" xr:uid="{00000000-0005-0000-0000-0000D8030000}"/>
    <cellStyle name="好_0004-0005.SAP付款申请表和采购申请表A 2007-12-21" xfId="1174" xr:uid="{00000000-0005-0000-0000-0000D9030000}"/>
    <cellStyle name="好_0004-0005.SAP付款申请表和采购申请表A 2007-12-21_7S问题项改善报告" xfId="1175" xr:uid="{00000000-0005-0000-0000-0000DA030000}"/>
    <cellStyle name="好_0004-0005.SAP付款申请表和采购申请表A 2007-12-21_品质一二课整合的表单20090421" xfId="1177" xr:uid="{00000000-0005-0000-0000-0000DB030000}"/>
    <cellStyle name="好_0004-0005.SAP付款申请表和采购申请表A 2007-12-21_品质一二课整合的表单20090421_7S问题项改善报告" xfId="1178" xr:uid="{00000000-0005-0000-0000-0000DC030000}"/>
    <cellStyle name="好_0004-0005.SAP付款申请表和采购申请表A 2007-12-21_品质一二课整合的表单20090421_品质课表格记录2" xfId="1183" xr:uid="{00000000-0005-0000-0000-0000DD030000}"/>
    <cellStyle name="好_0004-0005.SAP付款申请表和采购申请表A 2007-12-21_品质一二课整合的表单20090421_品质课表格记录2_7S问题项改善报告" xfId="1184" xr:uid="{00000000-0005-0000-0000-0000DE030000}"/>
    <cellStyle name="好_0004-0005.SAP付款申请表和采购申请表A 2007-12-21_品质一二课整合的表单20090421_品质课表格记录2_品质部表单1" xfId="1185" xr:uid="{00000000-0005-0000-0000-0000DF030000}"/>
    <cellStyle name="好_0004-0005.SAP付款申请表和采购申请表A 2007-12-21_品质一二课整合的表单20090421_品质部表单1" xfId="1179" xr:uid="{00000000-0005-0000-0000-0000E0030000}"/>
    <cellStyle name="好_0004-0005.SAP付款申请表和采购申请表A 2007-12-21_品质一二课整合的表单20090421_品质部表格记录2" xfId="1180" xr:uid="{00000000-0005-0000-0000-0000E1030000}"/>
    <cellStyle name="好_0004-0005.SAP付款申请表和采购申请表A 2007-12-21_品质一二课整合的表单20090421_品质部表格记录2_7S问题项改善报告" xfId="1181" xr:uid="{00000000-0005-0000-0000-0000E2030000}"/>
    <cellStyle name="好_0004-0005.SAP付款申请表和采购申请表A 2007-12-21_品质一二课整合的表单20090421_品质部表格记录2_品质部表单1" xfId="1182" xr:uid="{00000000-0005-0000-0000-0000E3030000}"/>
    <cellStyle name="好_0004-0005.SAP付款申请表和采购申请表A 2007-12-21_品质一二课整合的表单20090421_注塑首件尾件检验报告（修订后）" xfId="1186" xr:uid="{00000000-0005-0000-0000-0000E4030000}"/>
    <cellStyle name="好_0004-0005.SAP付款申请表和采购申请表A 2007-12-21_品质一二课整合的表单20090421_注塑首件尾件检验报告（修订后）_7S问题项改善报告" xfId="1187" xr:uid="{00000000-0005-0000-0000-0000E5030000}"/>
    <cellStyle name="好_0004-0005.SAP付款申请表和采购申请表A 2007-12-21_品质一二课整合的表单20090421_注塑首件尾件检验报告（修订后）_品质部表单1" xfId="1188" xr:uid="{00000000-0005-0000-0000-0000E6030000}"/>
    <cellStyle name="好_0004-0005.SAP付款申请表和采购申请表A 2007-12-21_品质部表单1" xfId="1176" xr:uid="{00000000-0005-0000-0000-0000E7030000}"/>
    <cellStyle name="好_01.品质异常反馈单" xfId="1189" xr:uid="{00000000-0005-0000-0000-0000E8030000}"/>
    <cellStyle name="好_2016年6月稽核报告（誉嘉）" xfId="1190" xr:uid="{00000000-0005-0000-0000-0000E9030000}"/>
    <cellStyle name="好_2016年度质量目标统计情况" xfId="1191" xr:uid="{00000000-0005-0000-0000-0000EA030000}"/>
    <cellStyle name="好_3.各车间7S检查总表" xfId="1192" xr:uid="{00000000-0005-0000-0000-0000EB030000}"/>
    <cellStyle name="好_7S问题项改善报告" xfId="1193" xr:uid="{00000000-0005-0000-0000-0000EC030000}"/>
    <cellStyle name="好_A088B-10格吸塑盒（金利昌）" xfId="1194" xr:uid="{00000000-0005-0000-0000-0000ED030000}"/>
    <cellStyle name="好_A088B-10格吸塑盒（金利昌）_7S问题项改善报告" xfId="1195" xr:uid="{00000000-0005-0000-0000-0000EE030000}"/>
    <cellStyle name="好_A088B-10格吸塑盒（金利昌）_品质部表单1" xfId="1196" xr:uid="{00000000-0005-0000-0000-0000EF030000}"/>
    <cellStyle name="好_FAI报告空白格式" xfId="1197" xr:uid="{00000000-0005-0000-0000-0000F0030000}"/>
    <cellStyle name="好_QA-8D报告" xfId="1198" xr:uid="{00000000-0005-0000-0000-0000F1030000}"/>
    <cellStyle name="好_丝喷部喷涂工艺记录表" xfId="1223" xr:uid="{00000000-0005-0000-0000-0000F2030000}"/>
    <cellStyle name="好_会议记录(1)" xfId="1204" xr:uid="{00000000-0005-0000-0000-0000F3030000}"/>
    <cellStyle name="好_供应商来料返工记录表" xfId="1203" xr:uid="{00000000-0005-0000-0000-0000F4030000}"/>
    <cellStyle name="好_副本QA-8D报告(1)" xfId="1202" xr:uid="{00000000-0005-0000-0000-0000F5030000}"/>
    <cellStyle name="好_品质一二课整合的表单20090421" xfId="1210" xr:uid="{00000000-0005-0000-0000-0000F6030000}"/>
    <cellStyle name="好_品质一二课整合的表单20090421_7S问题项改善报告" xfId="1211" xr:uid="{00000000-0005-0000-0000-0000F7030000}"/>
    <cellStyle name="好_品质一二课整合的表单20090421_品质课表格记录2" xfId="1216" xr:uid="{00000000-0005-0000-0000-0000F8030000}"/>
    <cellStyle name="好_品质一二课整合的表单20090421_品质课表格记录2_7S问题项改善报告" xfId="1217" xr:uid="{00000000-0005-0000-0000-0000F9030000}"/>
    <cellStyle name="好_品质一二课整合的表单20090421_品质课表格记录2_品质部表单1" xfId="1218" xr:uid="{00000000-0005-0000-0000-0000FA030000}"/>
    <cellStyle name="好_品质一二课整合的表单20090421_品质部表单1" xfId="1212" xr:uid="{00000000-0005-0000-0000-0000FB030000}"/>
    <cellStyle name="好_品质一二课整合的表单20090421_品质部表格记录2" xfId="1213" xr:uid="{00000000-0005-0000-0000-0000FC030000}"/>
    <cellStyle name="好_品质一二课整合的表单20090421_品质部表格记录2_7S问题项改善报告" xfId="1214" xr:uid="{00000000-0005-0000-0000-0000FD030000}"/>
    <cellStyle name="好_品质一二课整合的表单20090421_品质部表格记录2_品质部表单1" xfId="1215" xr:uid="{00000000-0005-0000-0000-0000FE030000}"/>
    <cellStyle name="好_品质一二课整合的表单20090421_注塑首件尾件检验报告（修订后）" xfId="1219" xr:uid="{00000000-0005-0000-0000-0000FF030000}"/>
    <cellStyle name="好_品质一二课整合的表单20090421_注塑首件尾件检验报告（修订后）_7S问题项改善报告" xfId="1220" xr:uid="{00000000-0005-0000-0000-000000040000}"/>
    <cellStyle name="好_品质一二课整合的表单20090421_注塑首件尾件检验报告（修订后）_品质部表单1" xfId="1221" xr:uid="{00000000-0005-0000-0000-000001040000}"/>
    <cellStyle name="好_品质部表单1" xfId="1206" xr:uid="{00000000-0005-0000-0000-000002040000}"/>
    <cellStyle name="好_品质部表单2" xfId="1207" xr:uid="{00000000-0005-0000-0000-000003040000}"/>
    <cellStyle name="好_品质部表单3（81-149）" xfId="1208" xr:uid="{00000000-0005-0000-0000-000004040000}"/>
    <cellStyle name="好_品质部表单4（150-）" xfId="1209" xr:uid="{00000000-0005-0000-0000-000005040000}"/>
    <cellStyle name="好_客户投诉汇总表" xfId="1205" xr:uid="{00000000-0005-0000-0000-000006040000}"/>
    <cellStyle name="好_承认文" xfId="1199" xr:uid="{00000000-0005-0000-0000-000007040000}"/>
    <cellStyle name="好_承认文_7S问题项改善报告" xfId="1200" xr:uid="{00000000-0005-0000-0000-000008040000}"/>
    <cellStyle name="好_承认文_品质部表单1" xfId="1201" xr:uid="{00000000-0005-0000-0000-000009040000}"/>
    <cellStyle name="好_熔融指数测试报告" xfId="1222" xr:uid="{00000000-0005-0000-0000-00000A040000}"/>
    <cellStyle name="好_组装热熔CTQ点检表" xfId="1225" xr:uid="{00000000-0005-0000-0000-00000B040000}"/>
    <cellStyle name="好_自动线烤炉温度检查表" xfId="1224" xr:uid="{00000000-0005-0000-0000-00000C040000}"/>
    <cellStyle name="差 2" xfId="1112" xr:uid="{00000000-0005-0000-0000-00000D040000}"/>
    <cellStyle name="差_0004-0005.SAP付款申请表和采购申请表A 2007-12-21" xfId="1113" xr:uid="{00000000-0005-0000-0000-00000E040000}"/>
    <cellStyle name="差_0004-0005.SAP付款申请表和采购申请表A 2007-12-21_7S问题项改善报告" xfId="1114" xr:uid="{00000000-0005-0000-0000-00000F040000}"/>
    <cellStyle name="差_0004-0005.SAP付款申请表和采购申请表A 2007-12-21_品质一二课整合的表单20090421" xfId="1116" xr:uid="{00000000-0005-0000-0000-000010040000}"/>
    <cellStyle name="差_0004-0005.SAP付款申请表和采购申请表A 2007-12-21_品质一二课整合的表单20090421_7S问题项改善报告" xfId="1117" xr:uid="{00000000-0005-0000-0000-000011040000}"/>
    <cellStyle name="差_0004-0005.SAP付款申请表和采购申请表A 2007-12-21_品质一二课整合的表单20090421_品质课表格记录2" xfId="1122" xr:uid="{00000000-0005-0000-0000-000012040000}"/>
    <cellStyle name="差_0004-0005.SAP付款申请表和采购申请表A 2007-12-21_品质一二课整合的表单20090421_品质课表格记录2_7S问题项改善报告" xfId="1123" xr:uid="{00000000-0005-0000-0000-000013040000}"/>
    <cellStyle name="差_0004-0005.SAP付款申请表和采购申请表A 2007-12-21_品质一二课整合的表单20090421_品质课表格记录2_品质部表单1" xfId="1124" xr:uid="{00000000-0005-0000-0000-000014040000}"/>
    <cellStyle name="差_0004-0005.SAP付款申请表和采购申请表A 2007-12-21_品质一二课整合的表单20090421_品质部表单1" xfId="1118" xr:uid="{00000000-0005-0000-0000-000015040000}"/>
    <cellStyle name="差_0004-0005.SAP付款申请表和采购申请表A 2007-12-21_品质一二课整合的表单20090421_品质部表格记录2" xfId="1119" xr:uid="{00000000-0005-0000-0000-000016040000}"/>
    <cellStyle name="差_0004-0005.SAP付款申请表和采购申请表A 2007-12-21_品质一二课整合的表单20090421_品质部表格记录2_7S问题项改善报告" xfId="1120" xr:uid="{00000000-0005-0000-0000-000017040000}"/>
    <cellStyle name="差_0004-0005.SAP付款申请表和采购申请表A 2007-12-21_品质一二课整合的表单20090421_品质部表格记录2_品质部表单1" xfId="1121" xr:uid="{00000000-0005-0000-0000-000018040000}"/>
    <cellStyle name="差_0004-0005.SAP付款申请表和采购申请表A 2007-12-21_品质一二课整合的表单20090421_注塑首件尾件检验报告（修订后）" xfId="1125" xr:uid="{00000000-0005-0000-0000-000019040000}"/>
    <cellStyle name="差_0004-0005.SAP付款申请表和采购申请表A 2007-12-21_品质一二课整合的表单20090421_注塑首件尾件检验报告（修订后）_7S问题项改善报告" xfId="1126" xr:uid="{00000000-0005-0000-0000-00001A040000}"/>
    <cellStyle name="差_0004-0005.SAP付款申请表和采购申请表A 2007-12-21_品质一二课整合的表单20090421_注塑首件尾件检验报告（修订后）_品质部表单1" xfId="1127" xr:uid="{00000000-0005-0000-0000-00001B040000}"/>
    <cellStyle name="差_0004-0005.SAP付款申请表和采购申请表A 2007-12-21_品质部表单1" xfId="1115" xr:uid="{00000000-0005-0000-0000-00001C040000}"/>
    <cellStyle name="差_01.品质异常反馈单" xfId="1128" xr:uid="{00000000-0005-0000-0000-00001D040000}"/>
    <cellStyle name="差_2016年6月稽核报告（誉嘉）" xfId="1129" xr:uid="{00000000-0005-0000-0000-00001E040000}"/>
    <cellStyle name="差_2016年度质量目标统计情况" xfId="1130" xr:uid="{00000000-0005-0000-0000-00001F040000}"/>
    <cellStyle name="差_3.各车间7S检查总表" xfId="1131" xr:uid="{00000000-0005-0000-0000-000020040000}"/>
    <cellStyle name="差_7S问题项改善报告" xfId="1132" xr:uid="{00000000-0005-0000-0000-000021040000}"/>
    <cellStyle name="差_A088B-10格吸塑盒（金利昌）" xfId="1133" xr:uid="{00000000-0005-0000-0000-000022040000}"/>
    <cellStyle name="差_A088B-10格吸塑盒（金利昌）_7S问题项改善报告" xfId="1134" xr:uid="{00000000-0005-0000-0000-000023040000}"/>
    <cellStyle name="差_A088B-10格吸塑盒（金利昌）_品质部表单1" xfId="1135" xr:uid="{00000000-0005-0000-0000-000024040000}"/>
    <cellStyle name="差_FAI报告空白格式" xfId="1136" xr:uid="{00000000-0005-0000-0000-000025040000}"/>
    <cellStyle name="差_QA-8D报告" xfId="1137" xr:uid="{00000000-0005-0000-0000-000026040000}"/>
    <cellStyle name="差_丝喷部喷涂工艺记录表" xfId="1162" xr:uid="{00000000-0005-0000-0000-000027040000}"/>
    <cellStyle name="差_会议记录(1)" xfId="1143" xr:uid="{00000000-0005-0000-0000-000028040000}"/>
    <cellStyle name="差_供应商来料返工记录表" xfId="1142" xr:uid="{00000000-0005-0000-0000-000029040000}"/>
    <cellStyle name="差_副本QA-8D报告(1)" xfId="1141" xr:uid="{00000000-0005-0000-0000-00002A040000}"/>
    <cellStyle name="差_品质一二课整合的表单20090421" xfId="1149" xr:uid="{00000000-0005-0000-0000-00002B040000}"/>
    <cellStyle name="差_品质一二课整合的表单20090421_7S问题项改善报告" xfId="1150" xr:uid="{00000000-0005-0000-0000-00002C040000}"/>
    <cellStyle name="差_品质一二课整合的表单20090421_品质课表格记录2" xfId="1155" xr:uid="{00000000-0005-0000-0000-00002D040000}"/>
    <cellStyle name="差_品质一二课整合的表单20090421_品质课表格记录2_7S问题项改善报告" xfId="1156" xr:uid="{00000000-0005-0000-0000-00002E040000}"/>
    <cellStyle name="差_品质一二课整合的表单20090421_品质课表格记录2_品质部表单1" xfId="1157" xr:uid="{00000000-0005-0000-0000-00002F040000}"/>
    <cellStyle name="差_品质一二课整合的表单20090421_品质部表单1" xfId="1151" xr:uid="{00000000-0005-0000-0000-000030040000}"/>
    <cellStyle name="差_品质一二课整合的表单20090421_品质部表格记录2" xfId="1152" xr:uid="{00000000-0005-0000-0000-000031040000}"/>
    <cellStyle name="差_品质一二课整合的表单20090421_品质部表格记录2_7S问题项改善报告" xfId="1153" xr:uid="{00000000-0005-0000-0000-000032040000}"/>
    <cellStyle name="差_品质一二课整合的表单20090421_品质部表格记录2_品质部表单1" xfId="1154" xr:uid="{00000000-0005-0000-0000-000033040000}"/>
    <cellStyle name="差_品质一二课整合的表单20090421_注塑首件尾件检验报告（修订后）" xfId="1158" xr:uid="{00000000-0005-0000-0000-000034040000}"/>
    <cellStyle name="差_品质一二课整合的表单20090421_注塑首件尾件检验报告（修订后）_7S问题项改善报告" xfId="1159" xr:uid="{00000000-0005-0000-0000-000035040000}"/>
    <cellStyle name="差_品质一二课整合的表单20090421_注塑首件尾件检验报告（修订后）_品质部表单1" xfId="1160" xr:uid="{00000000-0005-0000-0000-000036040000}"/>
    <cellStyle name="差_品质部表单1" xfId="1145" xr:uid="{00000000-0005-0000-0000-000037040000}"/>
    <cellStyle name="差_品质部表单2" xfId="1146" xr:uid="{00000000-0005-0000-0000-000038040000}"/>
    <cellStyle name="差_品质部表单3（81-149）" xfId="1147" xr:uid="{00000000-0005-0000-0000-000039040000}"/>
    <cellStyle name="差_品质部表单4（150-）" xfId="1148" xr:uid="{00000000-0005-0000-0000-00003A040000}"/>
    <cellStyle name="差_客户投诉汇总表" xfId="1144" xr:uid="{00000000-0005-0000-0000-00003B040000}"/>
    <cellStyle name="差_承认文" xfId="1138" xr:uid="{00000000-0005-0000-0000-00003C040000}"/>
    <cellStyle name="差_承认文_7S问题项改善报告" xfId="1139" xr:uid="{00000000-0005-0000-0000-00003D040000}"/>
    <cellStyle name="差_承认文_品质部表单1" xfId="1140" xr:uid="{00000000-0005-0000-0000-00003E040000}"/>
    <cellStyle name="差_熔融指数测试报告" xfId="1161" xr:uid="{00000000-0005-0000-0000-00003F040000}"/>
    <cellStyle name="差_组装热熔CTQ点检表" xfId="1164" xr:uid="{00000000-0005-0000-0000-000040040000}"/>
    <cellStyle name="差_自动线烤炉温度检查表" xfId="1163" xr:uid="{00000000-0005-0000-0000-000041040000}"/>
    <cellStyle name="常规 10" xfId="314" xr:uid="{00000000-0005-0000-0000-000042040000}"/>
    <cellStyle name="常规 10 2" xfId="942" xr:uid="{00000000-0005-0000-0000-000043040000}"/>
    <cellStyle name="常规 10 3" xfId="1257" xr:uid="{00000000-0005-0000-0000-000044040000}"/>
    <cellStyle name="常规 10 4" xfId="938" xr:uid="{00000000-0005-0000-0000-000045040000}"/>
    <cellStyle name="常规 11" xfId="943" xr:uid="{00000000-0005-0000-0000-000046040000}"/>
    <cellStyle name="常规 11 2" xfId="142" xr:uid="{00000000-0005-0000-0000-000047040000}"/>
    <cellStyle name="常规 11 3" xfId="143" xr:uid="{00000000-0005-0000-0000-000048040000}"/>
    <cellStyle name="常规 11 4" xfId="144" xr:uid="{00000000-0005-0000-0000-000049040000}"/>
    <cellStyle name="常规 11 5" xfId="145" xr:uid="{00000000-0005-0000-0000-00004A040000}"/>
    <cellStyle name="常规 11 6" xfId="146" xr:uid="{00000000-0005-0000-0000-00004B040000}"/>
    <cellStyle name="常规 11 7" xfId="147" xr:uid="{00000000-0005-0000-0000-00004C040000}"/>
    <cellStyle name="常规 11 8" xfId="148" xr:uid="{00000000-0005-0000-0000-00004D040000}"/>
    <cellStyle name="常规 11 9" xfId="149" xr:uid="{00000000-0005-0000-0000-00004E040000}"/>
    <cellStyle name="常规 12 2" xfId="150" xr:uid="{00000000-0005-0000-0000-00004F040000}"/>
    <cellStyle name="常规 12 3" xfId="151" xr:uid="{00000000-0005-0000-0000-000050040000}"/>
    <cellStyle name="常规 12 4" xfId="152" xr:uid="{00000000-0005-0000-0000-000051040000}"/>
    <cellStyle name="常规 12 5" xfId="153" xr:uid="{00000000-0005-0000-0000-000052040000}"/>
    <cellStyle name="常规 12 6" xfId="154" xr:uid="{00000000-0005-0000-0000-000053040000}"/>
    <cellStyle name="常规 12 7" xfId="155" xr:uid="{00000000-0005-0000-0000-000054040000}"/>
    <cellStyle name="常规 12 8" xfId="156" xr:uid="{00000000-0005-0000-0000-000055040000}"/>
    <cellStyle name="常规 12 9" xfId="157" xr:uid="{00000000-0005-0000-0000-000056040000}"/>
    <cellStyle name="常规 13 2" xfId="158" xr:uid="{00000000-0005-0000-0000-000057040000}"/>
    <cellStyle name="常规 13 3" xfId="159" xr:uid="{00000000-0005-0000-0000-000058040000}"/>
    <cellStyle name="常规 13 4" xfId="160" xr:uid="{00000000-0005-0000-0000-000059040000}"/>
    <cellStyle name="常规 13 5" xfId="161" xr:uid="{00000000-0005-0000-0000-00005A040000}"/>
    <cellStyle name="常规 13 6" xfId="162" xr:uid="{00000000-0005-0000-0000-00005B040000}"/>
    <cellStyle name="常规 13 7" xfId="163" xr:uid="{00000000-0005-0000-0000-00005C040000}"/>
    <cellStyle name="常规 13 8" xfId="164" xr:uid="{00000000-0005-0000-0000-00005D040000}"/>
    <cellStyle name="常规 13 9" xfId="165" xr:uid="{00000000-0005-0000-0000-00005E040000}"/>
    <cellStyle name="常规 14" xfId="315" xr:uid="{00000000-0005-0000-0000-00005F040000}"/>
    <cellStyle name="常规 14 2" xfId="166" xr:uid="{00000000-0005-0000-0000-000060040000}"/>
    <cellStyle name="常规 14 3" xfId="167" xr:uid="{00000000-0005-0000-0000-000061040000}"/>
    <cellStyle name="常规 14 4" xfId="168" xr:uid="{00000000-0005-0000-0000-000062040000}"/>
    <cellStyle name="常规 14 5" xfId="169" xr:uid="{00000000-0005-0000-0000-000063040000}"/>
    <cellStyle name="常规 14 6" xfId="170" xr:uid="{00000000-0005-0000-0000-000064040000}"/>
    <cellStyle name="常规 14 7" xfId="171" xr:uid="{00000000-0005-0000-0000-000065040000}"/>
    <cellStyle name="常规 14 8" xfId="172" xr:uid="{00000000-0005-0000-0000-000066040000}"/>
    <cellStyle name="常规 14 9" xfId="173" xr:uid="{00000000-0005-0000-0000-000067040000}"/>
    <cellStyle name="常规 15" xfId="316" xr:uid="{00000000-0005-0000-0000-000068040000}"/>
    <cellStyle name="常规 16" xfId="317" xr:uid="{00000000-0005-0000-0000-000069040000}"/>
    <cellStyle name="常规 2" xfId="94" xr:uid="{00000000-0005-0000-0000-00006A040000}"/>
    <cellStyle name="常规 2 10" xfId="174" xr:uid="{00000000-0005-0000-0000-00006B040000}"/>
    <cellStyle name="常规 2 11" xfId="175" xr:uid="{00000000-0005-0000-0000-00006C040000}"/>
    <cellStyle name="常规 2 12" xfId="176" xr:uid="{00000000-0005-0000-0000-00006D040000}"/>
    <cellStyle name="常规 2 13" xfId="1165" xr:uid="{00000000-0005-0000-0000-00006E040000}"/>
    <cellStyle name="常规 2 2" xfId="177" xr:uid="{00000000-0005-0000-0000-00006F040000}"/>
    <cellStyle name="常规 2 3" xfId="178" xr:uid="{00000000-0005-0000-0000-000070040000}"/>
    <cellStyle name="常规 2 4" xfId="179" xr:uid="{00000000-0005-0000-0000-000071040000}"/>
    <cellStyle name="常规 2 5" xfId="180" xr:uid="{00000000-0005-0000-0000-000072040000}"/>
    <cellStyle name="常规 2 6" xfId="181" xr:uid="{00000000-0005-0000-0000-000073040000}"/>
    <cellStyle name="常规 2 7" xfId="182" xr:uid="{00000000-0005-0000-0000-000074040000}"/>
    <cellStyle name="常规 2 8" xfId="183" xr:uid="{00000000-0005-0000-0000-000075040000}"/>
    <cellStyle name="常规 2 9" xfId="184" xr:uid="{00000000-0005-0000-0000-000076040000}"/>
    <cellStyle name="常规 3" xfId="185" xr:uid="{00000000-0005-0000-0000-000077040000}"/>
    <cellStyle name="常规 3 10" xfId="186" xr:uid="{00000000-0005-0000-0000-000078040000}"/>
    <cellStyle name="常规 3 11" xfId="187" xr:uid="{00000000-0005-0000-0000-000079040000}"/>
    <cellStyle name="常规 3 12" xfId="305" xr:uid="{00000000-0005-0000-0000-00007A040000}"/>
    <cellStyle name="常规 3 13" xfId="1166" xr:uid="{00000000-0005-0000-0000-00007B040000}"/>
    <cellStyle name="常规 3 2" xfId="188" xr:uid="{00000000-0005-0000-0000-00007C040000}"/>
    <cellStyle name="常规 3 3" xfId="189" xr:uid="{00000000-0005-0000-0000-00007D040000}"/>
    <cellStyle name="常规 3 4" xfId="190" xr:uid="{00000000-0005-0000-0000-00007E040000}"/>
    <cellStyle name="常规 3 5" xfId="191" xr:uid="{00000000-0005-0000-0000-00007F040000}"/>
    <cellStyle name="常规 3 6" xfId="192" xr:uid="{00000000-0005-0000-0000-000080040000}"/>
    <cellStyle name="常规 3 7" xfId="193" xr:uid="{00000000-0005-0000-0000-000081040000}"/>
    <cellStyle name="常规 3 8" xfId="194" xr:uid="{00000000-0005-0000-0000-000082040000}"/>
    <cellStyle name="常规 3 9" xfId="195" xr:uid="{00000000-0005-0000-0000-000083040000}"/>
    <cellStyle name="常规 4" xfId="241" xr:uid="{00000000-0005-0000-0000-000084040000}"/>
    <cellStyle name="常规 4 2" xfId="298" xr:uid="{00000000-0005-0000-0000-000085040000}"/>
    <cellStyle name="常规 4 2 2" xfId="939" xr:uid="{00000000-0005-0000-0000-000086040000}"/>
    <cellStyle name="常规 4 2 3" xfId="1254" xr:uid="{00000000-0005-0000-0000-000087040000}"/>
    <cellStyle name="常规 4 2 4" xfId="935" xr:uid="{00000000-0005-0000-0000-000088040000}"/>
    <cellStyle name="常规 4 3" xfId="299" xr:uid="{00000000-0005-0000-0000-000089040000}"/>
    <cellStyle name="常规 4 3 2" xfId="940" xr:uid="{00000000-0005-0000-0000-00008A040000}"/>
    <cellStyle name="常规 4 3 3" xfId="1255" xr:uid="{00000000-0005-0000-0000-00008B040000}"/>
    <cellStyle name="常规 4 3 4" xfId="936" xr:uid="{00000000-0005-0000-0000-00008C040000}"/>
    <cellStyle name="常规 4 4" xfId="300" xr:uid="{00000000-0005-0000-0000-00008D040000}"/>
    <cellStyle name="常规 4 4 2" xfId="941" xr:uid="{00000000-0005-0000-0000-00008E040000}"/>
    <cellStyle name="常规 4 4 3" xfId="1256" xr:uid="{00000000-0005-0000-0000-00008F040000}"/>
    <cellStyle name="常规 4 4 4" xfId="937" xr:uid="{00000000-0005-0000-0000-000090040000}"/>
    <cellStyle name="常规 4 5" xfId="1167" xr:uid="{00000000-0005-0000-0000-000091040000}"/>
    <cellStyle name="常规 5" xfId="196" xr:uid="{00000000-0005-0000-0000-000092040000}"/>
    <cellStyle name="常规 5 10" xfId="197" xr:uid="{00000000-0005-0000-0000-000093040000}"/>
    <cellStyle name="常规 5 11" xfId="198" xr:uid="{00000000-0005-0000-0000-000094040000}"/>
    <cellStyle name="常规 5 12" xfId="1168" xr:uid="{00000000-0005-0000-0000-000095040000}"/>
    <cellStyle name="常规 5 2" xfId="199" xr:uid="{00000000-0005-0000-0000-000096040000}"/>
    <cellStyle name="常规 5 3" xfId="200" xr:uid="{00000000-0005-0000-0000-000097040000}"/>
    <cellStyle name="常规 5 4" xfId="201" xr:uid="{00000000-0005-0000-0000-000098040000}"/>
    <cellStyle name="常规 5 5" xfId="202" xr:uid="{00000000-0005-0000-0000-000099040000}"/>
    <cellStyle name="常规 5 6" xfId="203" xr:uid="{00000000-0005-0000-0000-00009A040000}"/>
    <cellStyle name="常规 5 7" xfId="204" xr:uid="{00000000-0005-0000-0000-00009B040000}"/>
    <cellStyle name="常规 5 8" xfId="205" xr:uid="{00000000-0005-0000-0000-00009C040000}"/>
    <cellStyle name="常规 5 9" xfId="206" xr:uid="{00000000-0005-0000-0000-00009D040000}"/>
    <cellStyle name="常规 6" xfId="207" xr:uid="{00000000-0005-0000-0000-00009E040000}"/>
    <cellStyle name="常规 6 10" xfId="208" xr:uid="{00000000-0005-0000-0000-00009F040000}"/>
    <cellStyle name="常规 6 11" xfId="209" xr:uid="{00000000-0005-0000-0000-0000A0040000}"/>
    <cellStyle name="常规 6 12" xfId="1169" xr:uid="{00000000-0005-0000-0000-0000A1040000}"/>
    <cellStyle name="常规 6 2" xfId="210" xr:uid="{00000000-0005-0000-0000-0000A2040000}"/>
    <cellStyle name="常规 6 3" xfId="211" xr:uid="{00000000-0005-0000-0000-0000A3040000}"/>
    <cellStyle name="常规 6 4" xfId="212" xr:uid="{00000000-0005-0000-0000-0000A4040000}"/>
    <cellStyle name="常规 6 5" xfId="213" xr:uid="{00000000-0005-0000-0000-0000A5040000}"/>
    <cellStyle name="常规 6 6" xfId="214" xr:uid="{00000000-0005-0000-0000-0000A6040000}"/>
    <cellStyle name="常规 6 7" xfId="215" xr:uid="{00000000-0005-0000-0000-0000A7040000}"/>
    <cellStyle name="常规 6 8" xfId="216" xr:uid="{00000000-0005-0000-0000-0000A8040000}"/>
    <cellStyle name="常规 6 9" xfId="217" xr:uid="{00000000-0005-0000-0000-0000A9040000}"/>
    <cellStyle name="常规 7" xfId="218" xr:uid="{00000000-0005-0000-0000-0000AA040000}"/>
    <cellStyle name="常规 7 10" xfId="219" xr:uid="{00000000-0005-0000-0000-0000AB040000}"/>
    <cellStyle name="常规 7 11" xfId="220" xr:uid="{00000000-0005-0000-0000-0000AC040000}"/>
    <cellStyle name="常规 7 12" xfId="1170" xr:uid="{00000000-0005-0000-0000-0000AD040000}"/>
    <cellStyle name="常规 7 2" xfId="221" xr:uid="{00000000-0005-0000-0000-0000AE040000}"/>
    <cellStyle name="常规 7 3" xfId="222" xr:uid="{00000000-0005-0000-0000-0000AF040000}"/>
    <cellStyle name="常规 7 4" xfId="223" xr:uid="{00000000-0005-0000-0000-0000B0040000}"/>
    <cellStyle name="常规 7 5" xfId="224" xr:uid="{00000000-0005-0000-0000-0000B1040000}"/>
    <cellStyle name="常规 7 6" xfId="225" xr:uid="{00000000-0005-0000-0000-0000B2040000}"/>
    <cellStyle name="常规 7 7" xfId="226" xr:uid="{00000000-0005-0000-0000-0000B3040000}"/>
    <cellStyle name="常规 7 8" xfId="227" xr:uid="{00000000-0005-0000-0000-0000B4040000}"/>
    <cellStyle name="常规 7 9" xfId="228" xr:uid="{00000000-0005-0000-0000-0000B5040000}"/>
    <cellStyle name="常规 8" xfId="229" xr:uid="{00000000-0005-0000-0000-0000B6040000}"/>
    <cellStyle name="常规 8 10" xfId="230" xr:uid="{00000000-0005-0000-0000-0000B7040000}"/>
    <cellStyle name="常规 8 11" xfId="231" xr:uid="{00000000-0005-0000-0000-0000B8040000}"/>
    <cellStyle name="常规 8 12" xfId="1171" xr:uid="{00000000-0005-0000-0000-0000B9040000}"/>
    <cellStyle name="常规 8 2" xfId="232" xr:uid="{00000000-0005-0000-0000-0000BA040000}"/>
    <cellStyle name="常规 8 3" xfId="233" xr:uid="{00000000-0005-0000-0000-0000BB040000}"/>
    <cellStyle name="常规 8 4" xfId="234" xr:uid="{00000000-0005-0000-0000-0000BC040000}"/>
    <cellStyle name="常规 8 5" xfId="235" xr:uid="{00000000-0005-0000-0000-0000BD040000}"/>
    <cellStyle name="常规 8 6" xfId="236" xr:uid="{00000000-0005-0000-0000-0000BE040000}"/>
    <cellStyle name="常规 8 7" xfId="237" xr:uid="{00000000-0005-0000-0000-0000BF040000}"/>
    <cellStyle name="常规 8 8" xfId="238" xr:uid="{00000000-0005-0000-0000-0000C0040000}"/>
    <cellStyle name="常规 8 9" xfId="239" xr:uid="{00000000-0005-0000-0000-0000C1040000}"/>
    <cellStyle name="常规 9" xfId="242" xr:uid="{00000000-0005-0000-0000-0000C2040000}"/>
    <cellStyle name="常规 9 2" xfId="1172" xr:uid="{00000000-0005-0000-0000-0000C3040000}"/>
    <cellStyle name="强调文字颜色 1 2" xfId="1240" xr:uid="{00000000-0005-0000-0000-0000C4040000}"/>
    <cellStyle name="强调文字颜色 2 2" xfId="1241" xr:uid="{00000000-0005-0000-0000-0000C5040000}"/>
    <cellStyle name="强调文字颜色 3 2" xfId="1242" xr:uid="{00000000-0005-0000-0000-0000C6040000}"/>
    <cellStyle name="强调文字颜色 4 2" xfId="1243" xr:uid="{00000000-0005-0000-0000-0000C7040000}"/>
    <cellStyle name="强调文字颜色 5 2" xfId="1244" xr:uid="{00000000-0005-0000-0000-0000C8040000}"/>
    <cellStyle name="强调文字颜色 6 2" xfId="1245" xr:uid="{00000000-0005-0000-0000-0000C9040000}"/>
    <cellStyle name="标题 1 2" xfId="1108" xr:uid="{00000000-0005-0000-0000-0000CA040000}"/>
    <cellStyle name="标题 2 2" xfId="1109" xr:uid="{00000000-0005-0000-0000-0000CB040000}"/>
    <cellStyle name="标题 3 2" xfId="1110" xr:uid="{00000000-0005-0000-0000-0000CC040000}"/>
    <cellStyle name="标题 4 2" xfId="1111" xr:uid="{00000000-0005-0000-0000-0000CD040000}"/>
    <cellStyle name="标题 5" xfId="1107" xr:uid="{00000000-0005-0000-0000-0000CE040000}"/>
    <cellStyle name="样式 1" xfId="1251" xr:uid="{00000000-0005-0000-0000-0000CF040000}"/>
    <cellStyle name="桁区切り [0.00]_kinslayer" xfId="1226" xr:uid="{00000000-0005-0000-0000-0000D0040000}"/>
    <cellStyle name="桁区切り_kinslayer" xfId="1227" xr:uid="{00000000-0005-0000-0000-0000D1040000}"/>
    <cellStyle name="检查单元格 2" xfId="1234" xr:uid="{00000000-0005-0000-0000-0000D2040000}"/>
    <cellStyle name="標準_069-0711-D (3)" xfId="1" xr:uid="{00000000-0005-0000-0000-0000D3040000}"/>
    <cellStyle name="汇总 2" xfId="1228" xr:uid="{00000000-0005-0000-0000-0000D4040000}"/>
    <cellStyle name="注释 2" xfId="1252" xr:uid="{00000000-0005-0000-0000-0000D5040000}"/>
    <cellStyle name="百分比 2" xfId="137" xr:uid="{00000000-0005-0000-0000-0000D6040000}"/>
    <cellStyle name="百分比 2 2" xfId="138" xr:uid="{00000000-0005-0000-0000-0000D7040000}"/>
    <cellStyle name="百分比 2 3" xfId="139" xr:uid="{00000000-0005-0000-0000-0000D8040000}"/>
    <cellStyle name="百分比 2 4" xfId="140" xr:uid="{00000000-0005-0000-0000-0000D9040000}"/>
    <cellStyle name="百分比 2 5" xfId="141" xr:uid="{00000000-0005-0000-0000-0000DA040000}"/>
    <cellStyle name="百分比 2 6" xfId="1106" xr:uid="{00000000-0005-0000-0000-0000DB040000}"/>
    <cellStyle name="百分比 3" xfId="246" xr:uid="{00000000-0005-0000-0000-0000DC040000}"/>
    <cellStyle name="解释性文本 2" xfId="1235" xr:uid="{00000000-0005-0000-0000-0000DD040000}"/>
    <cellStyle name="警告文本 2" xfId="1236" xr:uid="{00000000-0005-0000-0000-0000DE040000}"/>
    <cellStyle name="计算 2" xfId="1233" xr:uid="{00000000-0005-0000-0000-0000DF040000}"/>
    <cellStyle name="貨幣 [0]_981117b" xfId="1230" xr:uid="{00000000-0005-0000-0000-0000E0040000}"/>
    <cellStyle name="貨幣_981117b" xfId="1232" xr:uid="{00000000-0005-0000-0000-0000E1040000}"/>
    <cellStyle name="貨幣[0]_Sheet1" xfId="1231" xr:uid="{00000000-0005-0000-0000-0000E2040000}"/>
    <cellStyle name="货币[0] 2" xfId="1229" xr:uid="{00000000-0005-0000-0000-0000E3040000}"/>
    <cellStyle name="输入 2" xfId="1248" xr:uid="{00000000-0005-0000-0000-0000E4040000}"/>
    <cellStyle name="输出 2" xfId="1247" xr:uid="{00000000-0005-0000-0000-0000E5040000}"/>
    <cellStyle name="适中" xfId="339" xr:uid="{00000000-0005-0000-0000-0000E6040000}"/>
    <cellStyle name="适中 2" xfId="1246" xr:uid="{00000000-0005-0000-0000-0000E7040000}"/>
    <cellStyle name="通貨 [0.00]_kinslayer" xfId="1249" xr:uid="{00000000-0005-0000-0000-0000E8040000}"/>
    <cellStyle name="通貨_kinslayer" xfId="1250" xr:uid="{00000000-0005-0000-0000-0000E9040000}"/>
    <cellStyle name="链接单元格 2" xfId="1237" xr:uid="{00000000-0005-0000-0000-0000EA040000}"/>
  </cellStyles>
  <dxfs count="9"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</font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</dxfs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390524</xdr:colOff>
      <xdr:row>32</xdr:row>
      <xdr:rowOff>47624</xdr:rowOff>
    </xdr:from>
    <xdr:to>
      <xdr:col>13</xdr:col>
      <xdr:colOff>616356</xdr:colOff>
      <xdr:row>76</xdr:row>
      <xdr:rowOff>28574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A2D38BE6-249B-4C6B-B604-1D61FEB8B1DC}"/>
            </a:ext>
          </a:extLst>
        </xdr:cNvPr>
        <xdr:cNvGrpSpPr/>
      </xdr:nvGrpSpPr>
      <xdr:grpSpPr>
        <a:xfrm>
          <a:off x="390524" y="6677024"/>
          <a:ext cx="10449332" cy="8413750"/>
          <a:chOff x="409574" y="7305674"/>
          <a:chExt cx="10522357" cy="7591425"/>
        </a:xfrm>
      </xdr:grpSpPr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10890181-3BE9-4D5C-A690-C9F161E0E0F6}"/>
              </a:ext>
            </a:extLst>
          </xdr:cNvPr>
          <xdr:cNvGrpSpPr/>
        </xdr:nvGrpSpPr>
        <xdr:grpSpPr>
          <a:xfrm>
            <a:off x="409574" y="7305674"/>
            <a:ext cx="10522357" cy="7591425"/>
            <a:chOff x="542924" y="5886449"/>
            <a:chExt cx="10522357" cy="7591425"/>
          </a:xfrm>
        </xdr:grpSpPr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E3867622-CEC9-4311-8C7D-39960A9768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42924" y="5886449"/>
              <a:ext cx="10522357" cy="7591425"/>
            </a:xfrm>
            <a:prstGeom prst="rect">
              <a:avLst/>
            </a:prstGeom>
          </xdr:spPr>
        </xdr:pic>
        <xdr:sp macro="" textlink="">
          <xdr:nvSpPr>
            <xdr:cNvPr id="6" name="文本框 5">
              <a:extLst>
                <a:ext uri="{FF2B5EF4-FFF2-40B4-BE49-F238E27FC236}">
                  <a16:creationId xmlns:a16="http://schemas.microsoft.com/office/drawing/2014/main" id="{BE67C0B3-20F4-4786-A12C-5CA8BE3B9D87}"/>
                </a:ext>
              </a:extLst>
            </xdr:cNvPr>
            <xdr:cNvSpPr txBox="1"/>
          </xdr:nvSpPr>
          <xdr:spPr>
            <a:xfrm>
              <a:off x="5210175" y="6210300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1</a:t>
              </a:r>
              <a:endParaRPr lang="zh-CN" altLang="en-US" sz="1100"/>
            </a:p>
          </xdr:txBody>
        </xdr:sp>
        <xdr:sp macro="" textlink="">
          <xdr:nvSpPr>
            <xdr:cNvPr id="7" name="文本框 6">
              <a:extLst>
                <a:ext uri="{FF2B5EF4-FFF2-40B4-BE49-F238E27FC236}">
                  <a16:creationId xmlns:a16="http://schemas.microsoft.com/office/drawing/2014/main" id="{0AF3E21D-3E00-4E11-BB93-B86E4E6C72F7}"/>
                </a:ext>
              </a:extLst>
            </xdr:cNvPr>
            <xdr:cNvSpPr txBox="1"/>
          </xdr:nvSpPr>
          <xdr:spPr>
            <a:xfrm>
              <a:off x="3695700" y="6438900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8" name="文本框 7">
              <a:extLst>
                <a:ext uri="{FF2B5EF4-FFF2-40B4-BE49-F238E27FC236}">
                  <a16:creationId xmlns:a16="http://schemas.microsoft.com/office/drawing/2014/main" id="{5695B055-E61B-4555-A806-49896A5B1ED4}"/>
                </a:ext>
              </a:extLst>
            </xdr:cNvPr>
            <xdr:cNvSpPr txBox="1"/>
          </xdr:nvSpPr>
          <xdr:spPr>
            <a:xfrm>
              <a:off x="3981450" y="7848600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3</a:t>
              </a:r>
              <a:endParaRPr lang="zh-CN" altLang="en-US" sz="1100"/>
            </a:p>
          </xdr:txBody>
        </xdr:sp>
        <xdr:sp macro="" textlink="">
          <xdr:nvSpPr>
            <xdr:cNvPr id="9" name="文本框 8">
              <a:extLst>
                <a:ext uri="{FF2B5EF4-FFF2-40B4-BE49-F238E27FC236}">
                  <a16:creationId xmlns:a16="http://schemas.microsoft.com/office/drawing/2014/main" id="{1E1DC0CB-53AB-4101-B1DD-AA11F0FD333F}"/>
                </a:ext>
              </a:extLst>
            </xdr:cNvPr>
            <xdr:cNvSpPr txBox="1"/>
          </xdr:nvSpPr>
          <xdr:spPr>
            <a:xfrm>
              <a:off x="2219325" y="7658100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2" name="文本框 11">
              <a:extLst>
                <a:ext uri="{FF2B5EF4-FFF2-40B4-BE49-F238E27FC236}">
                  <a16:creationId xmlns:a16="http://schemas.microsoft.com/office/drawing/2014/main" id="{9933EFA6-1F6C-41B6-894F-B3BA401B9910}"/>
                </a:ext>
              </a:extLst>
            </xdr:cNvPr>
            <xdr:cNvSpPr txBox="1"/>
          </xdr:nvSpPr>
          <xdr:spPr>
            <a:xfrm>
              <a:off x="4200525" y="8591550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5</a:t>
              </a:r>
              <a:endParaRPr lang="zh-CN" altLang="en-US" sz="1100"/>
            </a:p>
          </xdr:txBody>
        </xdr:sp>
        <xdr:sp macro="" textlink="">
          <xdr:nvSpPr>
            <xdr:cNvPr id="13" name="文本框 12">
              <a:extLst>
                <a:ext uri="{FF2B5EF4-FFF2-40B4-BE49-F238E27FC236}">
                  <a16:creationId xmlns:a16="http://schemas.microsoft.com/office/drawing/2014/main" id="{D9C51EA9-0EEE-467A-9315-6E8F86E75E76}"/>
                </a:ext>
              </a:extLst>
            </xdr:cNvPr>
            <xdr:cNvSpPr txBox="1"/>
          </xdr:nvSpPr>
          <xdr:spPr>
            <a:xfrm>
              <a:off x="9906000" y="8515350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6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3D7DC034-8047-4A63-92EA-3E0DE7144C4A}"/>
                </a:ext>
              </a:extLst>
            </xdr:cNvPr>
            <xdr:cNvSpPr txBox="1"/>
          </xdr:nvSpPr>
          <xdr:spPr>
            <a:xfrm>
              <a:off x="9639300" y="6467475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7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CA1DC4B1-40F9-4F76-9EB6-F90883721CB3}"/>
                </a:ext>
              </a:extLst>
            </xdr:cNvPr>
            <xdr:cNvSpPr txBox="1"/>
          </xdr:nvSpPr>
          <xdr:spPr>
            <a:xfrm>
              <a:off x="6534150" y="8943975"/>
              <a:ext cx="571500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8-1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EE92F379-A1A2-47D9-A1DA-504F0A21F971}"/>
                </a:ext>
              </a:extLst>
            </xdr:cNvPr>
            <xdr:cNvSpPr txBox="1"/>
          </xdr:nvSpPr>
          <xdr:spPr>
            <a:xfrm>
              <a:off x="2609850" y="9725025"/>
              <a:ext cx="276225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9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7AD45BC6-2F0F-4093-8DC8-1000F0065053}"/>
                </a:ext>
              </a:extLst>
            </xdr:cNvPr>
            <xdr:cNvSpPr txBox="1"/>
          </xdr:nvSpPr>
          <xdr:spPr>
            <a:xfrm>
              <a:off x="781051" y="9934576"/>
              <a:ext cx="476250" cy="28575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11</a:t>
              </a:r>
              <a:endParaRPr lang="zh-CN" altLang="en-US" sz="1100"/>
            </a:p>
          </xdr:txBody>
        </xdr:sp>
        <xdr:sp macro="" textlink="">
          <xdr:nvSpPr>
            <xdr:cNvPr id="19" name="文本框 18">
              <a:extLst>
                <a:ext uri="{FF2B5EF4-FFF2-40B4-BE49-F238E27FC236}">
                  <a16:creationId xmlns:a16="http://schemas.microsoft.com/office/drawing/2014/main" id="{8F3FDABD-0B4A-42E2-A509-BFA58FC378F7}"/>
                </a:ext>
              </a:extLst>
            </xdr:cNvPr>
            <xdr:cNvSpPr txBox="1"/>
          </xdr:nvSpPr>
          <xdr:spPr>
            <a:xfrm>
              <a:off x="8296276" y="11268076"/>
              <a:ext cx="476250" cy="28575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12</a:t>
              </a:r>
              <a:endParaRPr lang="zh-CN" altLang="en-US" sz="1100"/>
            </a:p>
          </xdr:txBody>
        </xdr:sp>
        <xdr:sp macro="" textlink="">
          <xdr:nvSpPr>
            <xdr:cNvPr id="20" name="文本框 19">
              <a:extLst>
                <a:ext uri="{FF2B5EF4-FFF2-40B4-BE49-F238E27FC236}">
                  <a16:creationId xmlns:a16="http://schemas.microsoft.com/office/drawing/2014/main" id="{D5425688-7A20-4ADD-9C0A-AA63AF10BB28}"/>
                </a:ext>
              </a:extLst>
            </xdr:cNvPr>
            <xdr:cNvSpPr txBox="1"/>
          </xdr:nvSpPr>
          <xdr:spPr>
            <a:xfrm>
              <a:off x="6677026" y="12887326"/>
              <a:ext cx="476250" cy="28575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13</a:t>
              </a:r>
              <a:endParaRPr lang="zh-CN" altLang="en-US" sz="1100"/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2FA8BEA7-1581-4D04-888B-1C6456226B73}"/>
                </a:ext>
              </a:extLst>
            </xdr:cNvPr>
            <xdr:cNvSpPr txBox="1"/>
          </xdr:nvSpPr>
          <xdr:spPr>
            <a:xfrm>
              <a:off x="5772151" y="11687176"/>
              <a:ext cx="476250" cy="28575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14</a:t>
              </a:r>
              <a:endParaRPr lang="zh-CN" altLang="en-US" sz="1100"/>
            </a:p>
          </xdr:txBody>
        </xdr:sp>
        <xdr:sp macro="" textlink="">
          <xdr:nvSpPr>
            <xdr:cNvPr id="27" name="文本框 26">
              <a:extLst>
                <a:ext uri="{FF2B5EF4-FFF2-40B4-BE49-F238E27FC236}">
                  <a16:creationId xmlns:a16="http://schemas.microsoft.com/office/drawing/2014/main" id="{1F375FAC-1462-461B-ADCA-0DAFCD0151CA}"/>
                </a:ext>
              </a:extLst>
            </xdr:cNvPr>
            <xdr:cNvSpPr txBox="1"/>
          </xdr:nvSpPr>
          <xdr:spPr>
            <a:xfrm>
              <a:off x="5048251" y="10829926"/>
              <a:ext cx="476250" cy="28575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10</a:t>
              </a:r>
              <a:endParaRPr lang="zh-CN" altLang="en-US" sz="1100"/>
            </a:p>
          </xdr:txBody>
        </xdr:sp>
        <xdr:sp macro="" textlink="">
          <xdr:nvSpPr>
            <xdr:cNvPr id="28" name="文本框 27">
              <a:extLst>
                <a:ext uri="{FF2B5EF4-FFF2-40B4-BE49-F238E27FC236}">
                  <a16:creationId xmlns:a16="http://schemas.microsoft.com/office/drawing/2014/main" id="{694BAA7E-5AA0-498A-977C-A1731978421C}"/>
                </a:ext>
              </a:extLst>
            </xdr:cNvPr>
            <xdr:cNvSpPr txBox="1"/>
          </xdr:nvSpPr>
          <xdr:spPr>
            <a:xfrm>
              <a:off x="6429375" y="10201275"/>
              <a:ext cx="571500" cy="266700"/>
            </a:xfrm>
            <a:prstGeom prst="ellipse">
              <a:avLst/>
            </a:prstGeom>
            <a:noFill/>
            <a:ln w="9525" cmpd="sng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8-2</a:t>
              </a:r>
              <a:endParaRPr lang="zh-CN" altLang="en-US" sz="1100"/>
            </a:p>
          </xdr:txBody>
        </xdr:sp>
      </xdr:grpSp>
      <xdr:pic>
        <xdr:nvPicPr>
          <xdr:cNvPr id="4" name="图片 3">
            <a:extLst>
              <a:ext uri="{FF2B5EF4-FFF2-40B4-BE49-F238E27FC236}">
                <a16:creationId xmlns:a16="http://schemas.microsoft.com/office/drawing/2014/main" id="{84ED9DAD-742C-45BE-AFFE-958259E0B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848100" y="9029700"/>
            <a:ext cx="685800" cy="19448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02"/>
  <sheetViews>
    <sheetView tabSelected="1" topLeftCell="A28" workbookViewId="0">
      <selection activeCell="P53" sqref="P53"/>
    </sheetView>
  </sheetViews>
  <sheetFormatPr baseColWidth="10" defaultColWidth="8.6640625" defaultRowHeight="15"/>
  <cols>
    <col min="1" max="1" width="5.33203125" style="13" customWidth="1"/>
    <col min="2" max="2" width="9.33203125" style="13" customWidth="1"/>
    <col min="3" max="3" width="20.33203125" style="65" customWidth="1"/>
    <col min="4" max="6" width="6.33203125" style="13" customWidth="1"/>
    <col min="7" max="7" width="8.6640625" style="13" customWidth="1"/>
    <col min="8" max="9" width="15.6640625" style="66" customWidth="1"/>
    <col min="10" max="10" width="15.1640625" style="66" customWidth="1"/>
    <col min="11" max="13" width="8.33203125" style="13" customWidth="1"/>
    <col min="14" max="14" width="8.6640625" style="13" customWidth="1"/>
    <col min="15" max="15" width="8" style="13" customWidth="1"/>
    <col min="16" max="16" width="7" style="13" customWidth="1"/>
    <col min="17" max="19" width="5.83203125" style="13" customWidth="1"/>
    <col min="20" max="20" width="38.83203125" style="72" customWidth="1"/>
    <col min="21" max="21" width="13.33203125" style="13" customWidth="1"/>
    <col min="22" max="16384" width="8.6640625" style="13"/>
  </cols>
  <sheetData>
    <row r="1" spans="1:21" ht="18">
      <c r="A1" s="16" t="s">
        <v>4</v>
      </c>
      <c r="C1" s="17"/>
      <c r="D1" s="3"/>
      <c r="E1" s="3"/>
      <c r="F1" s="3"/>
      <c r="G1" s="3"/>
      <c r="H1" s="18"/>
      <c r="I1" s="18"/>
      <c r="J1" s="18"/>
      <c r="K1" s="3"/>
      <c r="L1" s="3"/>
      <c r="M1" s="3"/>
      <c r="N1" s="3"/>
      <c r="O1" s="19"/>
      <c r="P1" s="19"/>
      <c r="Q1" s="3"/>
      <c r="R1" s="3"/>
      <c r="S1" s="3"/>
      <c r="T1" s="67"/>
      <c r="U1" s="3"/>
    </row>
    <row r="2" spans="1:21" s="27" customFormat="1" ht="13">
      <c r="A2" s="20"/>
      <c r="B2" s="21" t="s">
        <v>0</v>
      </c>
      <c r="C2" s="86" t="s">
        <v>46</v>
      </c>
      <c r="D2" s="86"/>
      <c r="E2" s="22"/>
      <c r="F2" s="22" t="s">
        <v>5</v>
      </c>
      <c r="G2" s="89" t="s">
        <v>44</v>
      </c>
      <c r="H2" s="89"/>
      <c r="I2" s="23"/>
      <c r="J2" s="24" t="s">
        <v>6</v>
      </c>
      <c r="K2" s="25" t="s">
        <v>41</v>
      </c>
      <c r="L2" s="25"/>
      <c r="M2" s="24"/>
      <c r="N2" s="24" t="s">
        <v>7</v>
      </c>
      <c r="O2" s="25"/>
      <c r="P2" s="25"/>
      <c r="Q2" s="23"/>
      <c r="R2" s="21" t="s">
        <v>8</v>
      </c>
      <c r="S2" s="25" t="s">
        <v>9</v>
      </c>
      <c r="T2" s="25"/>
      <c r="U2" s="26" t="s">
        <v>10</v>
      </c>
    </row>
    <row r="3" spans="1:21" s="27" customFormat="1" ht="13">
      <c r="A3" s="28"/>
      <c r="B3" s="29" t="s">
        <v>1</v>
      </c>
      <c r="C3" s="86" t="s">
        <v>42</v>
      </c>
      <c r="D3" s="86"/>
      <c r="E3" s="30"/>
      <c r="F3" s="30" t="s">
        <v>11</v>
      </c>
      <c r="G3" s="92" t="s">
        <v>44</v>
      </c>
      <c r="H3" s="92"/>
      <c r="I3" s="31"/>
      <c r="J3" s="32" t="s">
        <v>12</v>
      </c>
      <c r="K3" s="33" t="s">
        <v>45</v>
      </c>
      <c r="L3" s="33"/>
      <c r="M3" s="32"/>
      <c r="N3" s="32" t="s">
        <v>13</v>
      </c>
      <c r="O3" s="25"/>
      <c r="P3" s="33"/>
      <c r="Q3" s="31"/>
      <c r="R3" s="29" t="s">
        <v>14</v>
      </c>
      <c r="S3" s="25"/>
      <c r="T3" s="25"/>
      <c r="U3" s="34"/>
    </row>
    <row r="4" spans="1:21" s="27" customFormat="1" ht="13">
      <c r="A4" s="35"/>
      <c r="B4" s="36" t="s">
        <v>2</v>
      </c>
      <c r="C4" s="86" t="s">
        <v>47</v>
      </c>
      <c r="D4" s="86"/>
      <c r="E4" s="38"/>
      <c r="F4" s="38" t="s">
        <v>15</v>
      </c>
      <c r="G4" s="86" t="s">
        <v>43</v>
      </c>
      <c r="H4" s="86"/>
      <c r="I4" s="39"/>
      <c r="J4" s="40" t="s">
        <v>16</v>
      </c>
      <c r="K4" s="80" t="s">
        <v>48</v>
      </c>
      <c r="L4" s="41"/>
      <c r="M4" s="40"/>
      <c r="N4" s="40" t="s">
        <v>16</v>
      </c>
      <c r="O4" s="80"/>
      <c r="P4" s="41"/>
      <c r="Q4" s="39"/>
      <c r="R4" s="1"/>
      <c r="S4" s="41"/>
      <c r="T4" s="73"/>
      <c r="U4" s="37"/>
    </row>
    <row r="5" spans="1:21" s="3" customFormat="1" ht="19.5" customHeight="1">
      <c r="A5" s="87"/>
      <c r="B5" s="88"/>
      <c r="C5" s="88"/>
      <c r="D5" s="42"/>
      <c r="E5" s="43"/>
      <c r="F5" s="43"/>
      <c r="G5" s="43"/>
      <c r="H5" s="44"/>
      <c r="I5" s="44"/>
      <c r="J5" s="44"/>
      <c r="K5" s="45"/>
      <c r="L5" s="45"/>
      <c r="M5" s="45"/>
      <c r="N5" s="46"/>
      <c r="O5" s="47"/>
      <c r="P5" s="42"/>
      <c r="Q5" s="42"/>
      <c r="R5" s="42"/>
      <c r="S5" s="48"/>
      <c r="T5" s="74"/>
      <c r="U5" s="49"/>
    </row>
    <row r="6" spans="1:21" s="3" customFormat="1" ht="14" customHeight="1">
      <c r="A6" s="93" t="s">
        <v>17</v>
      </c>
      <c r="B6" s="93"/>
      <c r="C6" s="93"/>
      <c r="D6" s="93"/>
      <c r="E6" s="93"/>
      <c r="F6" s="93"/>
      <c r="G6" s="93"/>
      <c r="H6" s="93" t="s">
        <v>18</v>
      </c>
      <c r="I6" s="93"/>
      <c r="J6" s="94"/>
      <c r="K6" s="93" t="s">
        <v>19</v>
      </c>
      <c r="L6" s="93"/>
      <c r="M6" s="93"/>
      <c r="N6" s="93"/>
      <c r="O6" s="93"/>
      <c r="P6" s="93"/>
      <c r="Q6" s="93"/>
      <c r="R6" s="93"/>
      <c r="S6" s="93"/>
      <c r="T6" s="75" t="s">
        <v>20</v>
      </c>
      <c r="U6" s="2"/>
    </row>
    <row r="7" spans="1:21" s="3" customFormat="1" ht="15" customHeight="1">
      <c r="A7" s="50"/>
      <c r="B7" s="50"/>
      <c r="C7" s="51"/>
      <c r="D7" s="50"/>
      <c r="E7" s="50"/>
      <c r="F7" s="50"/>
      <c r="G7" s="52" t="s">
        <v>21</v>
      </c>
      <c r="H7" s="90" t="s">
        <v>22</v>
      </c>
      <c r="I7" s="91"/>
      <c r="J7" s="91"/>
      <c r="K7" s="90" t="s">
        <v>23</v>
      </c>
      <c r="L7" s="91"/>
      <c r="M7" s="91"/>
      <c r="N7" s="53"/>
      <c r="O7" s="54" t="s">
        <v>24</v>
      </c>
      <c r="P7" s="53"/>
      <c r="Q7" s="54" t="s">
        <v>25</v>
      </c>
      <c r="R7" s="53"/>
      <c r="S7" s="53"/>
      <c r="T7" s="68" t="s">
        <v>26</v>
      </c>
      <c r="U7" s="55" t="s">
        <v>27</v>
      </c>
    </row>
    <row r="8" spans="1:21" ht="17.25" customHeight="1">
      <c r="A8" s="15" t="s">
        <v>73</v>
      </c>
      <c r="B8" s="15" t="s">
        <v>28</v>
      </c>
      <c r="C8" s="56" t="s">
        <v>29</v>
      </c>
      <c r="D8" s="15" t="s">
        <v>30</v>
      </c>
      <c r="E8" s="57" t="s">
        <v>31</v>
      </c>
      <c r="F8" s="57" t="s">
        <v>32</v>
      </c>
      <c r="G8" s="15" t="s">
        <v>33</v>
      </c>
      <c r="H8" s="81">
        <v>1</v>
      </c>
      <c r="I8" s="81">
        <v>2</v>
      </c>
      <c r="J8" s="81">
        <v>3</v>
      </c>
      <c r="K8" s="58">
        <v>1</v>
      </c>
      <c r="L8" s="58">
        <v>2</v>
      </c>
      <c r="M8" s="58">
        <v>3</v>
      </c>
      <c r="N8" s="54" t="s">
        <v>3</v>
      </c>
      <c r="O8" s="15" t="s">
        <v>34</v>
      </c>
      <c r="P8" s="15" t="s">
        <v>35</v>
      </c>
      <c r="Q8" s="15" t="s">
        <v>36</v>
      </c>
      <c r="R8" s="15" t="s">
        <v>37</v>
      </c>
      <c r="S8" s="15" t="s">
        <v>38</v>
      </c>
      <c r="T8" s="69" t="s">
        <v>39</v>
      </c>
      <c r="U8" s="59" t="s">
        <v>40</v>
      </c>
    </row>
    <row r="9" spans="1:21" ht="17.25" customHeight="1">
      <c r="A9" s="4">
        <v>1</v>
      </c>
      <c r="B9" s="5">
        <v>1</v>
      </c>
      <c r="C9" s="60" t="s">
        <v>64</v>
      </c>
      <c r="D9" s="61">
        <v>15</v>
      </c>
      <c r="E9" s="61">
        <v>0.3</v>
      </c>
      <c r="F9" s="62">
        <v>0.3</v>
      </c>
      <c r="G9" s="6" t="s">
        <v>49</v>
      </c>
      <c r="H9" s="7">
        <v>15</v>
      </c>
      <c r="I9" s="7">
        <v>15</v>
      </c>
      <c r="J9" s="7">
        <v>15</v>
      </c>
      <c r="K9" s="8">
        <f t="shared" ref="K9:M11" si="0">IF(ISBLANK($D9),"",IF(ISERR(H9/H9)=TRUE,"BAD INSP",H9-$D9))</f>
        <v>0</v>
      </c>
      <c r="L9" s="8">
        <f t="shared" si="0"/>
        <v>0</v>
      </c>
      <c r="M9" s="8">
        <f t="shared" si="0"/>
        <v>0</v>
      </c>
      <c r="N9" s="8">
        <f>IF(ISERR(H9/H9)=TRUE," ",AVERAGE(H9:J9))</f>
        <v>15</v>
      </c>
      <c r="O9" s="9">
        <f>IF(ISBLANK($D9),"",IF(ISNUMBER(E9)=FALSE,"BAD TOL", IF(E9=0,"N/A",IF(ISERR(H9/H9)=TRUE,"BAD INSP",IF(AND(ISNUMBER($H9),ISNUMBER($I9),ISNUMBER($J9))=FALSE,"BAD INSP",IF(MAX($H9:$J9)&lt;$D9,0,(MAX($H9:$J9)-$D9)/$E9))))))</f>
        <v>0</v>
      </c>
      <c r="P9" s="10">
        <f>IF(ISBLANK($D9),"",IF(ISNUMBER(F9)=FALSE,"BAD TOL",IF(F9=0,"N/A",IF(ISERR(H9/H9)=TRUE,"BAD INSP",IF(AND(ISNUMBER($H9),ISNUMBER($I9),ISNUMBER($J9))=FALSE,"BAD INSP",IF(MIN(H9:J9)&gt;$D9,0,($D9-MIN(H9:J9))/F9))))))</f>
        <v>0</v>
      </c>
      <c r="Q9" s="11" t="str">
        <f>IF(ISBLANK($D9),"",IF(ISNUMBER($O9)=TRUE,IF($O9&gt;0.651,IF($O9&gt;1.001,"Reject","Alert")," "),IF(AND(E9=0, ISNUMBER(E9)),IF(MAX(H9:J9)&gt;(D9+E9),"Reject",IF(MAX(H9:J9)=(D9+E9),"Alert","")),"Reject")))</f>
        <v xml:space="preserve"> </v>
      </c>
      <c r="R9" s="11" t="str">
        <f>IF(ISBLANK($D9),"",IF(ISNUMBER($P9)=TRUE,IF($P9&gt;0.651,IF($P9&gt;1.001,"Reject","Alert")," "),IF(AND(F9=0, ISNUMBER(F9)),IF(MIN(H9:J9)&lt;(D9-F9),"Reject",IF(MIN(H9:J9)=(D9-F9),"Alert","")),"Reject")))</f>
        <v xml:space="preserve"> </v>
      </c>
      <c r="S9" s="11" t="str">
        <f>IF(OR(Q9="Reject",R9="Reject"),"Reject",IF(OR(Q9="Alert",R9="Alert"),"Alert", ""))</f>
        <v/>
      </c>
      <c r="T9" s="77"/>
      <c r="U9" s="12"/>
    </row>
    <row r="10" spans="1:21" ht="17.25" customHeight="1">
      <c r="A10" s="4">
        <v>2</v>
      </c>
      <c r="B10" s="83" t="s">
        <v>50</v>
      </c>
      <c r="C10" s="60" t="s">
        <v>66</v>
      </c>
      <c r="D10" s="61">
        <v>19</v>
      </c>
      <c r="E10" s="61">
        <v>0.3</v>
      </c>
      <c r="F10" s="62">
        <v>0.3</v>
      </c>
      <c r="G10" s="6" t="s">
        <v>74</v>
      </c>
      <c r="H10" s="7">
        <v>19.125</v>
      </c>
      <c r="I10" s="7">
        <v>19.260999999999999</v>
      </c>
      <c r="J10" s="7">
        <v>19.248000000000001</v>
      </c>
      <c r="K10" s="8">
        <f t="shared" ref="K10" si="1">IF(ISBLANK($D10),"",IF(ISERR(H10/H10)=TRUE,"BAD INSP",H10-$D10))</f>
        <v>0.125</v>
      </c>
      <c r="L10" s="8">
        <f t="shared" ref="L10" si="2">IF(ISBLANK($D10),"",IF(ISERR(I10/I10)=TRUE,"BAD INSP",I10-$D10))</f>
        <v>0.26099999999999923</v>
      </c>
      <c r="M10" s="8">
        <f t="shared" ref="M10" si="3">IF(ISBLANK($D10),"",IF(ISERR(J10/J10)=TRUE,"BAD INSP",J10-$D10))</f>
        <v>0.24800000000000111</v>
      </c>
      <c r="N10" s="8">
        <f>IF(ISERR(H10/H10)=TRUE," ",AVERAGE(H10:J10))</f>
        <v>19.211333333333332</v>
      </c>
      <c r="O10" s="9">
        <f>IF(ISBLANK($D10),"",IF(ISNUMBER(E10)=FALSE,"BAD TOL", IF(E10=0,"N/A",IF(ISERR(H10/H10)=TRUE,"BAD INSP",IF(AND(ISNUMBER($H10),ISNUMBER($I10),ISNUMBER($J10))=FALSE,"BAD INSP",IF(MAX($H10:$J10)&lt;$D10,0,(MAX($H10:$J10)-$D10)/$E10))))))</f>
        <v>0.86999999999999744</v>
      </c>
      <c r="P10" s="10">
        <f>IF(ISBLANK($D10),"",IF(ISNUMBER(F10)=FALSE,"BAD TOL",IF(F10=0,"N/A",IF(ISERR(H10/H10)=TRUE,"BAD INSP",IF(AND(ISNUMBER($H10),ISNUMBER($I10),ISNUMBER($J10))=FALSE,"BAD INSP",IF(MIN(H10:J10)&gt;$D10,0,($D10-MIN(H10:J10))/F10))))))</f>
        <v>0</v>
      </c>
      <c r="Q10" s="11" t="str">
        <f>IF(ISBLANK($D10),"",IF(ISNUMBER($O10)=TRUE,IF($O10&gt;0.651,IF($O10&gt;1.001,"Reject","Alert")," "),IF(AND(E10=0, ISNUMBER(E10)),IF(MAX(H10:J10)&gt;(D10+E10),"Reject",IF(MAX(H10:J10)=(D10+E10),"Alert","")),"Reject")))</f>
        <v>Alert</v>
      </c>
      <c r="R10" s="11" t="str">
        <f>IF(ISBLANK($D10),"",IF(ISNUMBER($P10)=TRUE,IF($P10&gt;0.651,IF($P10&gt;1.001,"Reject","Alert")," "),IF(AND(F10=0, ISNUMBER(F10)),IF(MIN(H10:J10)&lt;(D10-F10),"Reject",IF(MIN(H10:J10)=(D10-F10),"Alert","")),"Reject")))</f>
        <v xml:space="preserve"> </v>
      </c>
      <c r="S10" s="11" t="str">
        <f>IF(OR(Q10="Reject",R10="Reject"),"Reject",IF(OR(Q10="Alert",R10="Alert"),"Alert", ""))</f>
        <v>Alert</v>
      </c>
      <c r="T10" s="77"/>
      <c r="U10" s="12"/>
    </row>
    <row r="11" spans="1:21" ht="17.25" customHeight="1">
      <c r="A11" s="4">
        <v>3</v>
      </c>
      <c r="B11" s="83" t="s">
        <v>51</v>
      </c>
      <c r="C11" s="60" t="s">
        <v>65</v>
      </c>
      <c r="D11" s="61">
        <v>19</v>
      </c>
      <c r="E11" s="61">
        <v>0.3</v>
      </c>
      <c r="F11" s="62">
        <v>0.3</v>
      </c>
      <c r="G11" s="6" t="s">
        <v>74</v>
      </c>
      <c r="H11" s="7">
        <v>19.102</v>
      </c>
      <c r="I11" s="7">
        <v>19.292999999999999</v>
      </c>
      <c r="J11" s="7">
        <v>19.22</v>
      </c>
      <c r="K11" s="8">
        <f t="shared" si="0"/>
        <v>0.10200000000000031</v>
      </c>
      <c r="L11" s="8">
        <f t="shared" si="0"/>
        <v>0.29299999999999926</v>
      </c>
      <c r="M11" s="8">
        <f t="shared" si="0"/>
        <v>0.21999999999999886</v>
      </c>
      <c r="N11" s="8">
        <f>IF(ISERR(H11/H11)=TRUE," ",AVERAGE(H11:J11))</f>
        <v>19.204999999999998</v>
      </c>
      <c r="O11" s="9">
        <f>IF(ISBLANK($D11),"",IF(ISNUMBER(E11)=FALSE,"BAD TOL", IF(E11=0,"N/A",IF(ISERR(H11/H11)=TRUE,"BAD INSP",IF(AND(ISNUMBER($H11),ISNUMBER($I11),ISNUMBER($J11))=FALSE,"BAD INSP",IF(MAX($H11:$J11)&lt;$D11,0,(MAX($H11:$J11)-$D11)/$E11))))))</f>
        <v>0.97666666666666424</v>
      </c>
      <c r="P11" s="10">
        <f>IF(ISBLANK($D11),"",IF(ISNUMBER(F11)=FALSE,"BAD TOL",IF(F11=0,"N/A",IF(ISERR(H11/H11)=TRUE,"BAD INSP",IF(AND(ISNUMBER($H11),ISNUMBER($I11),ISNUMBER($J11))=FALSE,"BAD INSP",IF(MIN(H11:J11)&gt;$D11,0,($D11-MIN(H11:J11))/F11))))))</f>
        <v>0</v>
      </c>
      <c r="Q11" s="11" t="str">
        <f>IF(ISBLANK($D11),"",IF(ISNUMBER($O11)=TRUE,IF($O11&gt;0.651,IF($O11&gt;1.001,"Reject","Alert")," "),IF(AND(E11=0, ISNUMBER(E11)),IF(MAX(H11:J11)&gt;(D11+E11),"Reject",IF(MAX(H11:J11)=(D11+E11),"Alert","")),"Reject")))</f>
        <v>Alert</v>
      </c>
      <c r="R11" s="11" t="str">
        <f>IF(ISBLANK($D11),"",IF(ISNUMBER($P11)=TRUE,IF($P11&gt;0.651,IF($P11&gt;1.001,"Reject","Alert")," "),IF(AND(F11=0, ISNUMBER(F11)),IF(MIN(H11:J11)&lt;(D11-F11),"Reject",IF(MIN(H11:J11)=(D11-F11),"Alert","")),"Reject")))</f>
        <v xml:space="preserve"> </v>
      </c>
      <c r="S11" s="11" t="str">
        <f>IF(OR(Q11="Reject",R11="Reject"),"Reject",IF(OR(Q11="Alert",R11="Alert"),"Alert", ""))</f>
        <v>Alert</v>
      </c>
      <c r="T11" s="78"/>
      <c r="U11" s="12"/>
    </row>
    <row r="12" spans="1:21" ht="17.25" customHeight="1">
      <c r="A12" s="4">
        <v>4</v>
      </c>
      <c r="B12" s="84" t="s">
        <v>52</v>
      </c>
      <c r="C12" s="60" t="s">
        <v>67</v>
      </c>
      <c r="D12" s="61">
        <v>22</v>
      </c>
      <c r="E12" s="61">
        <v>0.3</v>
      </c>
      <c r="F12" s="62">
        <v>0.3</v>
      </c>
      <c r="G12" s="6" t="s">
        <v>74</v>
      </c>
      <c r="H12" s="85">
        <v>21.731999999999999</v>
      </c>
      <c r="I12" s="85">
        <v>21.7</v>
      </c>
      <c r="J12" s="85">
        <v>21.786999999999999</v>
      </c>
      <c r="K12" s="8">
        <f t="shared" ref="K12" si="4">IF(ISBLANK($D12),"",IF(ISERR(H12/H12)=TRUE,"BAD INSP",H12-$D12))</f>
        <v>-0.26800000000000068</v>
      </c>
      <c r="L12" s="8">
        <f t="shared" ref="L12" si="5">IF(ISBLANK($D12),"",IF(ISERR(I12/I12)=TRUE,"BAD INSP",I12-$D12))</f>
        <v>-0.30000000000000071</v>
      </c>
      <c r="M12" s="8">
        <f t="shared" ref="M12" si="6">IF(ISBLANK($D12),"",IF(ISERR(J12/J12)=TRUE,"BAD INSP",J12-$D12))</f>
        <v>-0.21300000000000097</v>
      </c>
      <c r="N12" s="8">
        <f>IF(ISERR(H12/H12)=TRUE," ",AVERAGE(H12:J12))</f>
        <v>21.739666666666665</v>
      </c>
      <c r="O12" s="9">
        <f>IF(ISBLANK($D12),"",IF(ISNUMBER(E12)=FALSE,"BAD TOL", IF(E12=0,"N/A",IF(ISERR(H12/H12)=TRUE,"BAD INSP",IF(AND(ISNUMBER($H12),ISNUMBER($I12),ISNUMBER($J12))=FALSE,"BAD INSP",IF(MAX($H12:$J12)&lt;$D12,0,(MAX($H12:$J12)-$D12)/$E12))))))</f>
        <v>0</v>
      </c>
      <c r="P12" s="10">
        <f>IF(ISBLANK($D12),"",IF(ISNUMBER(F12)=FALSE,"BAD TOL",IF(F12=0,"N/A",IF(ISERR(H12/H12)=TRUE,"BAD INSP",IF(AND(ISNUMBER($H12),ISNUMBER($I12),ISNUMBER($J12))=FALSE,"BAD INSP",IF(MIN(H12:J12)&gt;$D12,0,($D12-MIN(H12:J12))/F12))))))</f>
        <v>1.0000000000000024</v>
      </c>
      <c r="Q12" s="11" t="str">
        <f t="shared" ref="Q12:Q17" si="7">IF(ISBLANK($D12),"",IF(ISNUMBER($O12)=TRUE,IF($O12&gt;0.651,IF($O12&gt;1.001,"Reject","Alert")," "),IF(AND(E12=0, ISNUMBER(E12)),IF(MAX(H12:J12)&gt;(D12+E12),"Reject",IF(MAX(H12:J12)=(D12+E12),"Alert","")),"Reject")))</f>
        <v xml:space="preserve"> </v>
      </c>
      <c r="R12" s="11" t="str">
        <f t="shared" ref="R12:R17" si="8">IF(ISBLANK($D12),"",IF(ISNUMBER($P12)=TRUE,IF($P12&gt;0.651,IF($P12&gt;1.001,"Reject","Alert")," "),IF(AND(F12=0, ISNUMBER(F12)),IF(MIN(H12:J12)&lt;(D12-F12),"Reject",IF(MIN(H12:J12)=(D12-F12),"Alert","")),"Reject")))</f>
        <v>Alert</v>
      </c>
      <c r="S12" s="11" t="str">
        <f t="shared" ref="S12:S17" si="9">IF(OR(Q12="Reject",R12="Reject"),"Reject",IF(OR(Q12="Alert",R12="Alert"),"Alert", ""))</f>
        <v>Alert</v>
      </c>
      <c r="T12" s="78"/>
      <c r="U12" s="12"/>
    </row>
    <row r="13" spans="1:21" ht="17.25" customHeight="1">
      <c r="A13" s="4">
        <v>5</v>
      </c>
      <c r="B13" s="84" t="s">
        <v>53</v>
      </c>
      <c r="C13" s="60" t="s">
        <v>68</v>
      </c>
      <c r="D13" s="61">
        <v>22</v>
      </c>
      <c r="E13" s="61">
        <v>0.3</v>
      </c>
      <c r="F13" s="62">
        <v>0.3</v>
      </c>
      <c r="G13" s="6" t="s">
        <v>74</v>
      </c>
      <c r="H13" s="7">
        <v>21.847999999999999</v>
      </c>
      <c r="I13" s="7">
        <v>22.05</v>
      </c>
      <c r="J13" s="7">
        <v>22.145</v>
      </c>
      <c r="K13" s="8">
        <f t="shared" ref="K13" si="10">IF(ISBLANK($D13),"",IF(ISERR(H13/H13)=TRUE,"BAD INSP",H13-$D13))</f>
        <v>-0.15200000000000102</v>
      </c>
      <c r="L13" s="8">
        <f t="shared" ref="L13" si="11">IF(ISBLANK($D13),"",IF(ISERR(I13/I13)=TRUE,"BAD INSP",I13-$D13))</f>
        <v>5.0000000000000711E-2</v>
      </c>
      <c r="M13" s="8">
        <f t="shared" ref="M13" si="12">IF(ISBLANK($D13),"",IF(ISERR(J13/J13)=TRUE,"BAD INSP",J13-$D13))</f>
        <v>0.14499999999999957</v>
      </c>
      <c r="N13" s="8">
        <f t="shared" ref="N13" si="13">IF(ISERR(H13/H13)=TRUE," ",AVERAGE(H13:J13))</f>
        <v>22.01433333333333</v>
      </c>
      <c r="O13" s="9">
        <f t="shared" ref="O13" si="14">IF(ISBLANK($D13),"",IF(ISNUMBER(E13)=FALSE,"BAD TOL", IF(E13=0,"N/A",IF(ISERR(H13/H13)=TRUE,"BAD INSP",IF(AND(ISNUMBER($H13),ISNUMBER($I13),ISNUMBER($J13))=FALSE,"BAD INSP",IF(MAX($H13:$J13)&lt;$D13,0,(MAX($H13:$J13)-$D13)/$E13))))))</f>
        <v>0.48333333333333195</v>
      </c>
      <c r="P13" s="10">
        <f t="shared" ref="P13" si="15">IF(ISBLANK($D13),"",IF(ISNUMBER(F13)=FALSE,"BAD TOL",IF(F13=0,"N/A",IF(ISERR(H13/H13)=TRUE,"BAD INSP",IF(AND(ISNUMBER($H13),ISNUMBER($I13),ISNUMBER($J13))=FALSE,"BAD INSP",IF(MIN(H13:J13)&gt;$D13,0,($D13-MIN(H13:J13))/F13))))))</f>
        <v>0.50666666666667015</v>
      </c>
      <c r="Q13" s="11" t="str">
        <f t="shared" ref="Q13" si="16">IF(ISBLANK($D13),"",IF(ISNUMBER($O13)=TRUE,IF($O13&gt;0.651,IF($O13&gt;1.001,"Reject","Alert")," "),IF(AND(E13=0, ISNUMBER(E13)),IF(MAX(H13:J13)&gt;(D13+E13),"Reject",IF(MAX(H13:J13)=(D13+E13),"Alert","")),"Reject")))</f>
        <v xml:space="preserve"> </v>
      </c>
      <c r="R13" s="11" t="str">
        <f t="shared" ref="R13" si="17">IF(ISBLANK($D13),"",IF(ISNUMBER($P13)=TRUE,IF($P13&gt;0.651,IF($P13&gt;1.001,"Reject","Alert")," "),IF(AND(F13=0, ISNUMBER(F13)),IF(MIN(H13:J13)&lt;(D13-F13),"Reject",IF(MIN(H13:J13)=(D13-F13),"Alert","")),"Reject")))</f>
        <v xml:space="preserve"> </v>
      </c>
      <c r="S13" s="11" t="str">
        <f t="shared" ref="S13" si="18">IF(OR(Q13="Reject",R13="Reject"),"Reject",IF(OR(Q13="Alert",R13="Alert"),"Alert", ""))</f>
        <v/>
      </c>
      <c r="T13" s="79"/>
      <c r="U13" s="12"/>
    </row>
    <row r="14" spans="1:21" ht="17.25" customHeight="1">
      <c r="A14" s="4">
        <v>6</v>
      </c>
      <c r="B14" s="84" t="s">
        <v>54</v>
      </c>
      <c r="C14" s="63" t="s">
        <v>70</v>
      </c>
      <c r="D14" s="61">
        <v>43</v>
      </c>
      <c r="E14" s="61">
        <v>0.3</v>
      </c>
      <c r="F14" s="62">
        <v>0.8</v>
      </c>
      <c r="G14" s="6" t="s">
        <v>49</v>
      </c>
      <c r="H14" s="7">
        <v>43</v>
      </c>
      <c r="I14" s="7">
        <v>43</v>
      </c>
      <c r="J14" s="7">
        <v>43</v>
      </c>
      <c r="K14" s="8">
        <f t="shared" ref="K14:M17" si="19">IF(ISBLANK($D14),"",IF(ISERR(H14/H14)=TRUE,"BAD INSP",H14-$D14))</f>
        <v>0</v>
      </c>
      <c r="L14" s="8">
        <f t="shared" si="19"/>
        <v>0</v>
      </c>
      <c r="M14" s="8">
        <f t="shared" si="19"/>
        <v>0</v>
      </c>
      <c r="N14" s="8">
        <f t="shared" ref="N14:N18" si="20">IF(ISERR(H14/H14)=TRUE," ",AVERAGE(H14:J14))</f>
        <v>43</v>
      </c>
      <c r="O14" s="9">
        <f t="shared" ref="O14:O17" si="21">IF(ISBLANK($D14),"",IF(ISNUMBER(E14)=FALSE,"BAD TOL", IF(E14=0,"N/A",IF(ISERR(H14/H14)=TRUE,"BAD INSP",IF(AND(ISNUMBER($H14),ISNUMBER($I14),ISNUMBER($J14))=FALSE,"BAD INSP",IF(MAX($H14:$J14)&lt;$D14,0,(MAX($H14:$J14)-$D14)/$E14))))))</f>
        <v>0</v>
      </c>
      <c r="P14" s="10">
        <f t="shared" ref="P14:P17" si="22">IF(ISBLANK($D14),"",IF(ISNUMBER(F14)=FALSE,"BAD TOL",IF(F14=0,"N/A",IF(ISERR(H14/H14)=TRUE,"BAD INSP",IF(AND(ISNUMBER($H14),ISNUMBER($I14),ISNUMBER($J14))=FALSE,"BAD INSP",IF(MIN(H14:J14)&gt;$D14,0,($D14-MIN(H14:J14))/F14))))))</f>
        <v>0</v>
      </c>
      <c r="Q14" s="11" t="str">
        <f t="shared" si="7"/>
        <v xml:space="preserve"> </v>
      </c>
      <c r="R14" s="11" t="str">
        <f t="shared" si="8"/>
        <v xml:space="preserve"> </v>
      </c>
      <c r="S14" s="11" t="str">
        <f t="shared" si="9"/>
        <v/>
      </c>
      <c r="T14" s="77"/>
      <c r="U14" s="12"/>
    </row>
    <row r="15" spans="1:21" ht="17.25" customHeight="1">
      <c r="A15" s="4">
        <v>7</v>
      </c>
      <c r="B15" s="84" t="s">
        <v>55</v>
      </c>
      <c r="C15" s="63" t="s">
        <v>69</v>
      </c>
      <c r="D15" s="61">
        <v>43</v>
      </c>
      <c r="E15" s="61">
        <v>0.3</v>
      </c>
      <c r="F15" s="62">
        <v>0.8</v>
      </c>
      <c r="G15" s="6" t="s">
        <v>49</v>
      </c>
      <c r="H15" s="7">
        <v>43</v>
      </c>
      <c r="I15" s="7">
        <v>43</v>
      </c>
      <c r="J15" s="7">
        <v>43</v>
      </c>
      <c r="K15" s="8">
        <f t="shared" si="19"/>
        <v>0</v>
      </c>
      <c r="L15" s="8">
        <f t="shared" si="19"/>
        <v>0</v>
      </c>
      <c r="M15" s="8">
        <f t="shared" si="19"/>
        <v>0</v>
      </c>
      <c r="N15" s="8">
        <f t="shared" si="20"/>
        <v>43</v>
      </c>
      <c r="O15" s="9">
        <f t="shared" si="21"/>
        <v>0</v>
      </c>
      <c r="P15" s="10">
        <f t="shared" si="22"/>
        <v>0</v>
      </c>
      <c r="Q15" s="11" t="str">
        <f t="shared" si="7"/>
        <v xml:space="preserve"> </v>
      </c>
      <c r="R15" s="11" t="str">
        <f t="shared" si="8"/>
        <v xml:space="preserve"> </v>
      </c>
      <c r="S15" s="11" t="str">
        <f t="shared" si="9"/>
        <v/>
      </c>
      <c r="T15" s="78"/>
      <c r="U15" s="12"/>
    </row>
    <row r="16" spans="1:21" ht="17.25" customHeight="1">
      <c r="A16" s="4">
        <v>8</v>
      </c>
      <c r="B16" s="84" t="s">
        <v>56</v>
      </c>
      <c r="C16" s="63" t="s">
        <v>71</v>
      </c>
      <c r="D16" s="61">
        <v>70</v>
      </c>
      <c r="E16" s="61">
        <v>0.3</v>
      </c>
      <c r="F16" s="62">
        <v>0.8</v>
      </c>
      <c r="G16" s="6" t="s">
        <v>49</v>
      </c>
      <c r="H16" s="7">
        <v>70</v>
      </c>
      <c r="I16" s="7">
        <v>70</v>
      </c>
      <c r="J16" s="7">
        <v>70</v>
      </c>
      <c r="K16" s="8">
        <f t="shared" si="19"/>
        <v>0</v>
      </c>
      <c r="L16" s="8">
        <f t="shared" si="19"/>
        <v>0</v>
      </c>
      <c r="M16" s="8">
        <f t="shared" si="19"/>
        <v>0</v>
      </c>
      <c r="N16" s="8">
        <f t="shared" si="20"/>
        <v>70</v>
      </c>
      <c r="O16" s="9">
        <f t="shared" si="21"/>
        <v>0</v>
      </c>
      <c r="P16" s="10">
        <f t="shared" si="22"/>
        <v>0</v>
      </c>
      <c r="Q16" s="11" t="str">
        <f t="shared" si="7"/>
        <v xml:space="preserve"> </v>
      </c>
      <c r="R16" s="11" t="str">
        <f t="shared" si="8"/>
        <v xml:space="preserve"> </v>
      </c>
      <c r="S16" s="11" t="str">
        <f t="shared" si="9"/>
        <v/>
      </c>
      <c r="T16" s="78"/>
      <c r="U16" s="12"/>
    </row>
    <row r="17" spans="1:21" ht="17.25" customHeight="1">
      <c r="A17" s="4">
        <v>9</v>
      </c>
      <c r="B17" s="84" t="s">
        <v>57</v>
      </c>
      <c r="C17" s="63" t="s">
        <v>72</v>
      </c>
      <c r="D17" s="61">
        <v>70</v>
      </c>
      <c r="E17" s="61">
        <v>0.3</v>
      </c>
      <c r="F17" s="62">
        <v>0.8</v>
      </c>
      <c r="G17" s="6" t="s">
        <v>49</v>
      </c>
      <c r="H17" s="7">
        <v>70</v>
      </c>
      <c r="I17" s="7">
        <v>70</v>
      </c>
      <c r="J17" s="7">
        <v>70</v>
      </c>
      <c r="K17" s="8">
        <f t="shared" si="19"/>
        <v>0</v>
      </c>
      <c r="L17" s="8">
        <f t="shared" si="19"/>
        <v>0</v>
      </c>
      <c r="M17" s="8">
        <f t="shared" si="19"/>
        <v>0</v>
      </c>
      <c r="N17" s="8">
        <f t="shared" si="20"/>
        <v>70</v>
      </c>
      <c r="O17" s="9">
        <f t="shared" si="21"/>
        <v>0</v>
      </c>
      <c r="P17" s="10">
        <f t="shared" si="22"/>
        <v>0</v>
      </c>
      <c r="Q17" s="11" t="str">
        <f t="shared" si="7"/>
        <v xml:space="preserve"> </v>
      </c>
      <c r="R17" s="11" t="str">
        <f t="shared" si="8"/>
        <v xml:space="preserve"> </v>
      </c>
      <c r="S17" s="11" t="str">
        <f t="shared" si="9"/>
        <v/>
      </c>
      <c r="T17" s="79"/>
      <c r="U17" s="12"/>
    </row>
    <row r="18" spans="1:21" ht="17.25" customHeight="1">
      <c r="A18" s="4">
        <v>10</v>
      </c>
      <c r="B18" s="84" t="s">
        <v>58</v>
      </c>
      <c r="C18" s="63"/>
      <c r="D18" s="61">
        <v>1</v>
      </c>
      <c r="E18" s="61">
        <v>0.5</v>
      </c>
      <c r="F18" s="62">
        <v>0.5</v>
      </c>
      <c r="G18" s="6" t="s">
        <v>74</v>
      </c>
      <c r="H18" s="7">
        <v>1.1499999999999999</v>
      </c>
      <c r="I18" s="7">
        <v>1.101</v>
      </c>
      <c r="J18" s="7">
        <v>1.2250000000000001</v>
      </c>
      <c r="K18" s="8">
        <f t="shared" ref="K18" si="23">IF(ISBLANK($D18),"",IF(ISERR(H18/H18)=TRUE,"BAD INSP",H18-$D18))</f>
        <v>0.14999999999999991</v>
      </c>
      <c r="L18" s="8">
        <f t="shared" ref="L18" si="24">IF(ISBLANK($D18),"",IF(ISERR(I18/I18)=TRUE,"BAD INSP",I18-$D18))</f>
        <v>0.10099999999999998</v>
      </c>
      <c r="M18" s="8">
        <f t="shared" ref="M18" si="25">IF(ISBLANK($D18),"",IF(ISERR(J18/J18)=TRUE,"BAD INSP",J18-$D18))</f>
        <v>0.22500000000000009</v>
      </c>
      <c r="N18" s="8">
        <f t="shared" si="20"/>
        <v>1.1586666666666667</v>
      </c>
      <c r="O18" s="9">
        <f t="shared" ref="O18" si="26">IF(ISBLANK($D18),"",IF(ISNUMBER(E18)=FALSE,"BAD TOL", IF(E18=0,"N/A",IF(ISERR(H18/H18)=TRUE,"BAD INSP",IF(AND(ISNUMBER($H18),ISNUMBER($I18),ISNUMBER($J18))=FALSE,"BAD INSP",IF(MAX($H18:$J18)&lt;$D18,0,(MAX($H18:$J18)-$D18)/$E18))))))</f>
        <v>0.45000000000000018</v>
      </c>
      <c r="P18" s="10">
        <f t="shared" ref="P18" si="27">IF(ISBLANK($D18),"",IF(ISNUMBER(F18)=FALSE,"BAD TOL",IF(F18=0,"N/A",IF(ISERR(H18/H18)=TRUE,"BAD INSP",IF(AND(ISNUMBER($H18),ISNUMBER($I18),ISNUMBER($J18))=FALSE,"BAD INSP",IF(MIN(H18:J18)&gt;$D18,0,($D18-MIN(H18:J18))/F18))))))</f>
        <v>0</v>
      </c>
      <c r="Q18" s="11" t="str">
        <f t="shared" ref="Q18" si="28">IF(ISBLANK($D18),"",IF(ISNUMBER($O18)=TRUE,IF($O18&gt;0.651,IF($O18&gt;1.001,"Reject","Alert")," "),IF(AND(E18=0, ISNUMBER(E18)),IF(MAX(H18:J18)&gt;(D18+E18),"Reject",IF(MAX(H18:J18)=(D18+E18),"Alert","")),"Reject")))</f>
        <v xml:space="preserve"> </v>
      </c>
      <c r="R18" s="11" t="str">
        <f t="shared" ref="R18" si="29">IF(ISBLANK($D18),"",IF(ISNUMBER($P18)=TRUE,IF($P18&gt;0.651,IF($P18&gt;1.001,"Reject","Alert")," "),IF(AND(F18=0, ISNUMBER(F18)),IF(MIN(H18:J18)&lt;(D18-F18),"Reject",IF(MIN(H18:J18)=(D18-F18),"Alert","")),"Reject")))</f>
        <v xml:space="preserve"> </v>
      </c>
      <c r="S18" s="11" t="str">
        <f t="shared" ref="S18" si="30">IF(OR(Q18="Reject",R18="Reject"),"Reject",IF(OR(Q18="Alert",R18="Alert"),"Alert", ""))</f>
        <v/>
      </c>
      <c r="T18" s="70"/>
      <c r="U18" s="12"/>
    </row>
    <row r="19" spans="1:21" ht="17.25" customHeight="1">
      <c r="A19" s="4">
        <v>11</v>
      </c>
      <c r="B19" s="84" t="s">
        <v>59</v>
      </c>
      <c r="C19" s="63"/>
      <c r="D19" s="61">
        <v>1</v>
      </c>
      <c r="E19" s="61">
        <v>0.5</v>
      </c>
      <c r="F19" s="62">
        <v>0.5</v>
      </c>
      <c r="G19" s="6" t="s">
        <v>74</v>
      </c>
      <c r="H19" s="7">
        <v>1.157</v>
      </c>
      <c r="I19" s="7">
        <v>1.2</v>
      </c>
      <c r="J19" s="7">
        <v>1.2230000000000001</v>
      </c>
      <c r="K19" s="8">
        <f t="shared" ref="K19:K28" si="31">IF(ISBLANK($D19),"",IF(ISERR(H19/H19)=TRUE,"BAD INSP",H19-$D19))</f>
        <v>0.15700000000000003</v>
      </c>
      <c r="L19" s="8">
        <f t="shared" ref="L19:L28" si="32">IF(ISBLANK($D19),"",IF(ISERR(I19/I19)=TRUE,"BAD INSP",I19-$D19))</f>
        <v>0.19999999999999996</v>
      </c>
      <c r="M19" s="8">
        <f t="shared" ref="M19:M28" si="33">IF(ISBLANK($D19),"",IF(ISERR(J19/J19)=TRUE,"BAD INSP",J19-$D19))</f>
        <v>0.22300000000000009</v>
      </c>
      <c r="N19" s="8">
        <f t="shared" ref="N19:N28" si="34">IF(ISERR(H19/H19)=TRUE," ",AVERAGE(H19:J19))</f>
        <v>1.1933333333333334</v>
      </c>
      <c r="O19" s="9">
        <f t="shared" ref="O19:O28" si="35">IF(ISBLANK($D19),"",IF(ISNUMBER(E19)=FALSE,"BAD TOL", IF(E19=0,"N/A",IF(ISERR(H19/H19)=TRUE,"BAD INSP",IF(AND(ISNUMBER($H19),ISNUMBER($I19),ISNUMBER($J19))=FALSE,"BAD INSP",IF(MAX($H19:$J19)&lt;$D19,0,(MAX($H19:$J19)-$D19)/$E19))))))</f>
        <v>0.44600000000000017</v>
      </c>
      <c r="P19" s="10">
        <f t="shared" ref="P19:P28" si="36">IF(ISBLANK($D19),"",IF(ISNUMBER(F19)=FALSE,"BAD TOL",IF(F19=0,"N/A",IF(ISERR(H19/H19)=TRUE,"BAD INSP",IF(AND(ISNUMBER($H19),ISNUMBER($I19),ISNUMBER($J19))=FALSE,"BAD INSP",IF(MIN(H19:J19)&gt;$D19,0,($D19-MIN(H19:J19))/F19))))))</f>
        <v>0</v>
      </c>
      <c r="Q19" s="11" t="str">
        <f t="shared" ref="Q19:Q28" si="37">IF(ISBLANK($D19),"",IF(ISNUMBER($O19)=TRUE,IF($O19&gt;0.651,IF($O19&gt;1.001,"Reject","Alert")," "),IF(AND(E19=0, ISNUMBER(E19)),IF(MAX(H19:J19)&gt;(D19+E19),"Reject",IF(MAX(H19:J19)=(D19+E19),"Alert","")),"Reject")))</f>
        <v xml:space="preserve"> </v>
      </c>
      <c r="R19" s="11" t="str">
        <f t="shared" ref="R19:R28" si="38">IF(ISBLANK($D19),"",IF(ISNUMBER($P19)=TRUE,IF($P19&gt;0.651,IF($P19&gt;1.001,"Reject","Alert")," "),IF(AND(F19=0, ISNUMBER(F19)),IF(MIN(H19:J19)&lt;(D19-F19),"Reject",IF(MIN(H19:J19)=(D19-F19),"Alert","")),"Reject")))</f>
        <v xml:space="preserve"> </v>
      </c>
      <c r="S19" s="11" t="str">
        <f t="shared" ref="S19:S28" si="39">IF(OR(Q19="Reject",R19="Reject"),"Reject",IF(OR(Q19="Alert",R19="Alert"),"Alert", ""))</f>
        <v/>
      </c>
      <c r="T19" s="76"/>
      <c r="U19" s="14"/>
    </row>
    <row r="20" spans="1:21" ht="17.25" customHeight="1">
      <c r="A20" s="4">
        <v>12</v>
      </c>
      <c r="B20" s="84" t="s">
        <v>60</v>
      </c>
      <c r="C20" s="63"/>
      <c r="D20" s="61">
        <v>1</v>
      </c>
      <c r="E20" s="61">
        <v>0.5</v>
      </c>
      <c r="F20" s="62">
        <v>0.5</v>
      </c>
      <c r="G20" s="6" t="s">
        <v>74</v>
      </c>
      <c r="H20" s="7">
        <v>1.08</v>
      </c>
      <c r="I20" s="7">
        <v>0.89200000000000002</v>
      </c>
      <c r="J20" s="7">
        <v>0.998</v>
      </c>
      <c r="K20" s="8">
        <f t="shared" si="31"/>
        <v>8.0000000000000071E-2</v>
      </c>
      <c r="L20" s="8">
        <f t="shared" si="32"/>
        <v>-0.10799999999999998</v>
      </c>
      <c r="M20" s="8">
        <f t="shared" si="33"/>
        <v>-2.0000000000000018E-3</v>
      </c>
      <c r="N20" s="8">
        <f t="shared" si="34"/>
        <v>0.98999999999999988</v>
      </c>
      <c r="O20" s="9">
        <f t="shared" si="35"/>
        <v>0.16000000000000014</v>
      </c>
      <c r="P20" s="10">
        <f t="shared" si="36"/>
        <v>0.21599999999999997</v>
      </c>
      <c r="Q20" s="11" t="str">
        <f t="shared" si="37"/>
        <v xml:space="preserve"> </v>
      </c>
      <c r="R20" s="11" t="str">
        <f t="shared" si="38"/>
        <v xml:space="preserve"> </v>
      </c>
      <c r="S20" s="11" t="str">
        <f t="shared" si="39"/>
        <v/>
      </c>
      <c r="T20" s="76"/>
      <c r="U20" s="14"/>
    </row>
    <row r="21" spans="1:21" ht="17.25" customHeight="1">
      <c r="A21" s="4">
        <v>13</v>
      </c>
      <c r="B21" s="84" t="s">
        <v>61</v>
      </c>
      <c r="C21" s="63"/>
      <c r="D21" s="61">
        <v>1</v>
      </c>
      <c r="E21" s="61">
        <v>0.5</v>
      </c>
      <c r="F21" s="62">
        <v>0.5</v>
      </c>
      <c r="G21" s="6" t="s">
        <v>74</v>
      </c>
      <c r="H21" s="7">
        <v>1.252</v>
      </c>
      <c r="I21" s="7">
        <v>1.165</v>
      </c>
      <c r="J21" s="7">
        <v>1.0249999999999999</v>
      </c>
      <c r="K21" s="8">
        <f t="shared" si="31"/>
        <v>0.252</v>
      </c>
      <c r="L21" s="8">
        <f t="shared" si="32"/>
        <v>0.16500000000000004</v>
      </c>
      <c r="M21" s="8">
        <f t="shared" si="33"/>
        <v>2.4999999999999911E-2</v>
      </c>
      <c r="N21" s="8">
        <f t="shared" si="34"/>
        <v>1.1473333333333333</v>
      </c>
      <c r="O21" s="9">
        <f t="shared" si="35"/>
        <v>0.504</v>
      </c>
      <c r="P21" s="10">
        <f t="shared" si="36"/>
        <v>0</v>
      </c>
      <c r="Q21" s="11" t="str">
        <f t="shared" si="37"/>
        <v xml:space="preserve"> </v>
      </c>
      <c r="R21" s="11" t="str">
        <f t="shared" si="38"/>
        <v xml:space="preserve"> </v>
      </c>
      <c r="S21" s="11" t="str">
        <f t="shared" si="39"/>
        <v/>
      </c>
      <c r="T21" s="76"/>
      <c r="U21" s="14"/>
    </row>
    <row r="22" spans="1:21" ht="17.25" customHeight="1">
      <c r="A22" s="4">
        <v>14</v>
      </c>
      <c r="B22" s="84" t="s">
        <v>62</v>
      </c>
      <c r="C22" s="63"/>
      <c r="D22" s="61">
        <v>1.5</v>
      </c>
      <c r="E22" s="61">
        <v>0.5</v>
      </c>
      <c r="F22" s="62">
        <v>0.5</v>
      </c>
      <c r="G22" s="6" t="s">
        <v>74</v>
      </c>
      <c r="H22" s="7">
        <v>1.61</v>
      </c>
      <c r="I22" s="7">
        <v>1.726</v>
      </c>
      <c r="J22" s="7">
        <v>1.7609999999999999</v>
      </c>
      <c r="K22" s="8">
        <f t="shared" si="31"/>
        <v>0.1100000000000001</v>
      </c>
      <c r="L22" s="8">
        <f t="shared" si="32"/>
        <v>0.22599999999999998</v>
      </c>
      <c r="M22" s="8">
        <f t="shared" si="33"/>
        <v>0.2609999999999999</v>
      </c>
      <c r="N22" s="8">
        <f t="shared" si="34"/>
        <v>1.6990000000000001</v>
      </c>
      <c r="O22" s="9">
        <f t="shared" si="35"/>
        <v>0.5219999999999998</v>
      </c>
      <c r="P22" s="10">
        <f t="shared" si="36"/>
        <v>0</v>
      </c>
      <c r="Q22" s="11" t="str">
        <f t="shared" si="37"/>
        <v xml:space="preserve"> </v>
      </c>
      <c r="R22" s="11" t="str">
        <f t="shared" si="38"/>
        <v xml:space="preserve"> </v>
      </c>
      <c r="S22" s="11" t="str">
        <f t="shared" si="39"/>
        <v/>
      </c>
      <c r="T22" s="76"/>
      <c r="U22" s="14"/>
    </row>
    <row r="23" spans="1:21" ht="17.25" customHeight="1">
      <c r="A23" s="4">
        <v>15</v>
      </c>
      <c r="B23" s="84" t="s">
        <v>63</v>
      </c>
      <c r="C23" s="63"/>
      <c r="D23" s="61">
        <v>1.5</v>
      </c>
      <c r="E23" s="61">
        <v>0.5</v>
      </c>
      <c r="F23" s="62">
        <v>0.5</v>
      </c>
      <c r="G23" s="6" t="s">
        <v>74</v>
      </c>
      <c r="H23" s="7">
        <v>1.5289999999999999</v>
      </c>
      <c r="I23" s="7">
        <v>1.704</v>
      </c>
      <c r="J23" s="7">
        <v>1.425</v>
      </c>
      <c r="K23" s="8">
        <f t="shared" si="31"/>
        <v>2.8999999999999915E-2</v>
      </c>
      <c r="L23" s="8">
        <f t="shared" si="32"/>
        <v>0.20399999999999996</v>
      </c>
      <c r="M23" s="8">
        <f t="shared" si="33"/>
        <v>-7.4999999999999956E-2</v>
      </c>
      <c r="N23" s="8">
        <f t="shared" si="34"/>
        <v>1.5526666666666664</v>
      </c>
      <c r="O23" s="9">
        <f t="shared" si="35"/>
        <v>0.40799999999999992</v>
      </c>
      <c r="P23" s="10">
        <f t="shared" si="36"/>
        <v>0.14999999999999991</v>
      </c>
      <c r="Q23" s="11" t="str">
        <f t="shared" si="37"/>
        <v xml:space="preserve"> </v>
      </c>
      <c r="R23" s="11" t="str">
        <f t="shared" si="38"/>
        <v xml:space="preserve"> </v>
      </c>
      <c r="S23" s="11" t="str">
        <f t="shared" si="39"/>
        <v/>
      </c>
      <c r="T23" s="76"/>
      <c r="U23" s="14"/>
    </row>
    <row r="24" spans="1:21" ht="17.25" customHeight="1">
      <c r="A24" s="4">
        <v>16</v>
      </c>
      <c r="B24" s="82">
        <v>9</v>
      </c>
      <c r="C24" s="63"/>
      <c r="D24" s="61">
        <v>42</v>
      </c>
      <c r="E24" s="61">
        <v>0.3</v>
      </c>
      <c r="F24" s="62">
        <v>0.3</v>
      </c>
      <c r="G24" s="6" t="s">
        <v>49</v>
      </c>
      <c r="H24" s="7">
        <v>42</v>
      </c>
      <c r="I24" s="7">
        <v>42</v>
      </c>
      <c r="J24" s="7">
        <v>42</v>
      </c>
      <c r="K24" s="8">
        <f t="shared" si="31"/>
        <v>0</v>
      </c>
      <c r="L24" s="8">
        <f t="shared" si="32"/>
        <v>0</v>
      </c>
      <c r="M24" s="8">
        <f t="shared" si="33"/>
        <v>0</v>
      </c>
      <c r="N24" s="8">
        <f t="shared" si="34"/>
        <v>42</v>
      </c>
      <c r="O24" s="9">
        <f t="shared" si="35"/>
        <v>0</v>
      </c>
      <c r="P24" s="10">
        <f t="shared" si="36"/>
        <v>0</v>
      </c>
      <c r="Q24" s="11" t="str">
        <f t="shared" si="37"/>
        <v xml:space="preserve"> </v>
      </c>
      <c r="R24" s="11" t="str">
        <f t="shared" si="38"/>
        <v xml:space="preserve"> </v>
      </c>
      <c r="S24" s="11" t="str">
        <f t="shared" si="39"/>
        <v/>
      </c>
      <c r="T24" s="76"/>
      <c r="U24" s="14"/>
    </row>
    <row r="25" spans="1:21" ht="17.25" customHeight="1">
      <c r="A25" s="4">
        <v>17</v>
      </c>
      <c r="B25" s="82">
        <v>10</v>
      </c>
      <c r="C25" s="63"/>
      <c r="D25" s="61">
        <v>152</v>
      </c>
      <c r="E25" s="61">
        <v>0.3</v>
      </c>
      <c r="F25" s="62">
        <v>0.3</v>
      </c>
      <c r="G25" s="6" t="s">
        <v>49</v>
      </c>
      <c r="H25" s="7">
        <v>152</v>
      </c>
      <c r="I25" s="7">
        <v>152</v>
      </c>
      <c r="J25" s="7">
        <v>152</v>
      </c>
      <c r="K25" s="8">
        <f t="shared" si="31"/>
        <v>0</v>
      </c>
      <c r="L25" s="8">
        <f t="shared" si="32"/>
        <v>0</v>
      </c>
      <c r="M25" s="8">
        <f t="shared" si="33"/>
        <v>0</v>
      </c>
      <c r="N25" s="8">
        <f t="shared" si="34"/>
        <v>152</v>
      </c>
      <c r="O25" s="9">
        <f t="shared" si="35"/>
        <v>0</v>
      </c>
      <c r="P25" s="10">
        <f t="shared" si="36"/>
        <v>0</v>
      </c>
      <c r="Q25" s="11" t="str">
        <f t="shared" si="37"/>
        <v xml:space="preserve"> </v>
      </c>
      <c r="R25" s="11" t="str">
        <f t="shared" si="38"/>
        <v xml:space="preserve"> </v>
      </c>
      <c r="S25" s="11" t="str">
        <f t="shared" si="39"/>
        <v/>
      </c>
      <c r="T25" s="76"/>
      <c r="U25" s="14"/>
    </row>
    <row r="26" spans="1:21" ht="17.25" customHeight="1">
      <c r="A26" s="4">
        <v>18</v>
      </c>
      <c r="B26" s="82">
        <v>11</v>
      </c>
      <c r="C26" s="63"/>
      <c r="D26" s="61">
        <v>45</v>
      </c>
      <c r="E26" s="61">
        <v>0</v>
      </c>
      <c r="F26" s="62">
        <v>0</v>
      </c>
      <c r="G26" s="6" t="s">
        <v>49</v>
      </c>
      <c r="H26" s="7">
        <v>45</v>
      </c>
      <c r="I26" s="7">
        <v>45</v>
      </c>
      <c r="J26" s="7">
        <v>45</v>
      </c>
      <c r="K26" s="8">
        <f t="shared" si="31"/>
        <v>0</v>
      </c>
      <c r="L26" s="8">
        <f t="shared" si="32"/>
        <v>0</v>
      </c>
      <c r="M26" s="8">
        <f t="shared" si="33"/>
        <v>0</v>
      </c>
      <c r="N26" s="8">
        <f t="shared" si="34"/>
        <v>45</v>
      </c>
      <c r="O26" s="9" t="str">
        <f t="shared" si="35"/>
        <v>N/A</v>
      </c>
      <c r="P26" s="10" t="str">
        <f t="shared" si="36"/>
        <v>N/A</v>
      </c>
      <c r="Q26" s="11" t="str">
        <f t="shared" si="37"/>
        <v>Alert</v>
      </c>
      <c r="R26" s="11" t="str">
        <f t="shared" si="38"/>
        <v>Alert</v>
      </c>
      <c r="S26" s="11" t="str">
        <f t="shared" si="39"/>
        <v>Alert</v>
      </c>
      <c r="T26" s="76"/>
      <c r="U26" s="14"/>
    </row>
    <row r="27" spans="1:21" ht="17.25" customHeight="1">
      <c r="A27" s="4">
        <v>19</v>
      </c>
      <c r="B27" s="82">
        <v>12</v>
      </c>
      <c r="C27" s="63"/>
      <c r="D27" s="61">
        <v>295.60000000000002</v>
      </c>
      <c r="E27" s="61">
        <v>1</v>
      </c>
      <c r="F27" s="62">
        <v>1</v>
      </c>
      <c r="G27" s="6" t="s">
        <v>49</v>
      </c>
      <c r="H27" s="7">
        <v>295</v>
      </c>
      <c r="I27" s="7">
        <v>295</v>
      </c>
      <c r="J27" s="7">
        <v>295</v>
      </c>
      <c r="K27" s="8">
        <f t="shared" si="31"/>
        <v>-0.60000000000002274</v>
      </c>
      <c r="L27" s="8">
        <f t="shared" si="32"/>
        <v>-0.60000000000002274</v>
      </c>
      <c r="M27" s="8">
        <f t="shared" si="33"/>
        <v>-0.60000000000002274</v>
      </c>
      <c r="N27" s="8">
        <f t="shared" si="34"/>
        <v>295</v>
      </c>
      <c r="O27" s="9">
        <f t="shared" si="35"/>
        <v>0</v>
      </c>
      <c r="P27" s="10">
        <f t="shared" si="36"/>
        <v>0.60000000000002274</v>
      </c>
      <c r="Q27" s="11" t="str">
        <f t="shared" si="37"/>
        <v xml:space="preserve"> </v>
      </c>
      <c r="R27" s="11" t="str">
        <f t="shared" si="38"/>
        <v xml:space="preserve"> </v>
      </c>
      <c r="S27" s="11" t="str">
        <f t="shared" si="39"/>
        <v/>
      </c>
      <c r="T27" s="76"/>
      <c r="U27" s="14"/>
    </row>
    <row r="28" spans="1:21" ht="17.25" customHeight="1">
      <c r="A28" s="4">
        <v>20</v>
      </c>
      <c r="B28" s="82">
        <v>13</v>
      </c>
      <c r="C28" s="63"/>
      <c r="D28" s="61">
        <v>662</v>
      </c>
      <c r="E28" s="61">
        <v>3</v>
      </c>
      <c r="F28" s="62">
        <v>3</v>
      </c>
      <c r="G28" s="6" t="s">
        <v>49</v>
      </c>
      <c r="H28" s="7">
        <v>659</v>
      </c>
      <c r="I28" s="7">
        <v>659</v>
      </c>
      <c r="J28" s="7">
        <v>666</v>
      </c>
      <c r="K28" s="8">
        <f t="shared" si="31"/>
        <v>-3</v>
      </c>
      <c r="L28" s="8">
        <f t="shared" si="32"/>
        <v>-3</v>
      </c>
      <c r="M28" s="8">
        <f t="shared" si="33"/>
        <v>4</v>
      </c>
      <c r="N28" s="8">
        <f t="shared" si="34"/>
        <v>661.33333333333337</v>
      </c>
      <c r="O28" s="9">
        <f t="shared" si="35"/>
        <v>1.3333333333333333</v>
      </c>
      <c r="P28" s="10">
        <f t="shared" si="36"/>
        <v>1</v>
      </c>
      <c r="Q28" s="11" t="str">
        <f t="shared" si="37"/>
        <v>Reject</v>
      </c>
      <c r="R28" s="11" t="str">
        <f t="shared" si="38"/>
        <v>Alert</v>
      </c>
      <c r="S28" s="11" t="str">
        <f t="shared" si="39"/>
        <v>Reject</v>
      </c>
      <c r="T28" s="76"/>
      <c r="U28" s="14"/>
    </row>
    <row r="29" spans="1:21">
      <c r="A29" s="4">
        <v>21</v>
      </c>
      <c r="B29" s="66">
        <v>14</v>
      </c>
      <c r="D29" s="61">
        <v>70</v>
      </c>
      <c r="E29" s="61">
        <v>1</v>
      </c>
      <c r="F29" s="62">
        <v>1</v>
      </c>
      <c r="G29" s="6" t="s">
        <v>49</v>
      </c>
      <c r="H29" s="7">
        <v>70</v>
      </c>
      <c r="I29" s="7">
        <v>70</v>
      </c>
      <c r="J29" s="7">
        <v>70</v>
      </c>
      <c r="K29" s="8">
        <f t="shared" ref="K29" si="40">IF(ISBLANK($D29),"",IF(ISERR(H29/H29)=TRUE,"BAD INSP",H29-$D29))</f>
        <v>0</v>
      </c>
      <c r="L29" s="8">
        <f t="shared" ref="L29" si="41">IF(ISBLANK($D29),"",IF(ISERR(I29/I29)=TRUE,"BAD INSP",I29-$D29))</f>
        <v>0</v>
      </c>
      <c r="M29" s="8">
        <f t="shared" ref="M29" si="42">IF(ISBLANK($D29),"",IF(ISERR(J29/J29)=TRUE,"BAD INSP",J29-$D29))</f>
        <v>0</v>
      </c>
      <c r="N29" s="8">
        <f t="shared" ref="N29" si="43">IF(ISERR(H29/H29)=TRUE," ",AVERAGE(H29:J29))</f>
        <v>70</v>
      </c>
      <c r="O29" s="9">
        <f t="shared" ref="O29" si="44">IF(ISBLANK($D29),"",IF(ISNUMBER(E29)=FALSE,"BAD TOL", IF(E29=0,"N/A",IF(ISERR(H29/H29)=TRUE,"BAD INSP",IF(AND(ISNUMBER($H29),ISNUMBER($I29),ISNUMBER($J29))=FALSE,"BAD INSP",IF(MAX($H29:$J29)&lt;$D29,0,(MAX($H29:$J29)-$D29)/$E29))))))</f>
        <v>0</v>
      </c>
      <c r="P29" s="10">
        <f t="shared" ref="P29" si="45">IF(ISBLANK($D29),"",IF(ISNUMBER(F29)=FALSE,"BAD TOL",IF(F29=0,"N/A",IF(ISERR(H29/H29)=TRUE,"BAD INSP",IF(AND(ISNUMBER($H29),ISNUMBER($I29),ISNUMBER($J29))=FALSE,"BAD INSP",IF(MIN(H29:J29)&gt;$D29,0,($D29-MIN(H29:J29))/F29))))))</f>
        <v>0</v>
      </c>
      <c r="Q29" s="11" t="str">
        <f t="shared" ref="Q29" si="46">IF(ISBLANK($D29),"",IF(ISNUMBER($O29)=TRUE,IF($O29&gt;0.651,IF($O29&gt;1.001,"Reject","Alert")," "),IF(AND(E29=0, ISNUMBER(E29)),IF(MAX(H29:J29)&gt;(D29+E29),"Reject",IF(MAX(H29:J29)=(D29+E29),"Alert","")),"Reject")))</f>
        <v xml:space="preserve"> </v>
      </c>
      <c r="R29" s="11" t="str">
        <f t="shared" ref="R29" si="47">IF(ISBLANK($D29),"",IF(ISNUMBER($P29)=TRUE,IF($P29&gt;0.651,IF($P29&gt;1.001,"Reject","Alert")," "),IF(AND(F29=0, ISNUMBER(F29)),IF(MIN(H29:J29)&lt;(D29-F29),"Reject",IF(MIN(H29:J29)=(D29-F29),"Alert","")),"Reject")))</f>
        <v xml:space="preserve"> </v>
      </c>
      <c r="S29" s="11" t="str">
        <f t="shared" ref="S29" si="48">IF(OR(Q29="Reject",R29="Reject"),"Reject",IF(OR(Q29="Alert",R29="Alert"),"Alert", ""))</f>
        <v/>
      </c>
      <c r="T29" s="71"/>
    </row>
    <row r="30" spans="1:21">
      <c r="T30" s="71"/>
    </row>
    <row r="31" spans="1:21">
      <c r="T31" s="71"/>
    </row>
    <row r="32" spans="1:21">
      <c r="T32" s="71"/>
    </row>
    <row r="33" spans="3:20">
      <c r="T33" s="71"/>
    </row>
    <row r="34" spans="3:20">
      <c r="T34" s="71"/>
    </row>
    <row r="35" spans="3:20">
      <c r="T35" s="71"/>
    </row>
    <row r="36" spans="3:20">
      <c r="T36" s="71"/>
    </row>
    <row r="37" spans="3:20">
      <c r="T37" s="71"/>
    </row>
    <row r="38" spans="3:20">
      <c r="T38" s="71"/>
    </row>
    <row r="39" spans="3:20">
      <c r="T39" s="71"/>
    </row>
    <row r="40" spans="3:20">
      <c r="C40" s="13"/>
      <c r="H40" s="13"/>
      <c r="I40" s="13"/>
      <c r="J40" s="13"/>
      <c r="T40" s="71"/>
    </row>
    <row r="41" spans="3:20">
      <c r="C41" s="13"/>
      <c r="H41" s="13"/>
      <c r="I41" s="13"/>
      <c r="J41" s="13"/>
      <c r="T41" s="71"/>
    </row>
    <row r="42" spans="3:20">
      <c r="C42" s="13"/>
      <c r="H42" s="13"/>
      <c r="I42" s="13"/>
      <c r="J42" s="13"/>
      <c r="T42" s="71"/>
    </row>
    <row r="43" spans="3:20">
      <c r="C43" s="13"/>
      <c r="H43" s="13"/>
      <c r="I43" s="13"/>
      <c r="J43" s="13"/>
      <c r="T43" s="71"/>
    </row>
    <row r="44" spans="3:20">
      <c r="C44" s="13"/>
      <c r="H44" s="13"/>
      <c r="I44" s="13"/>
      <c r="J44" s="13"/>
      <c r="T44" s="71"/>
    </row>
    <row r="45" spans="3:20">
      <c r="C45" s="13"/>
      <c r="H45" s="13"/>
      <c r="I45" s="13"/>
      <c r="J45" s="13"/>
      <c r="T45" s="71"/>
    </row>
    <row r="46" spans="3:20">
      <c r="C46" s="13"/>
      <c r="H46" s="13"/>
      <c r="I46" s="13"/>
      <c r="J46" s="13"/>
      <c r="T46" s="71"/>
    </row>
    <row r="47" spans="3:20">
      <c r="C47" s="13"/>
      <c r="H47" s="13"/>
      <c r="I47" s="13"/>
      <c r="J47" s="13"/>
      <c r="T47" s="71"/>
    </row>
    <row r="48" spans="3:20">
      <c r="C48" s="13"/>
      <c r="H48" s="13"/>
      <c r="I48" s="13"/>
      <c r="J48" s="13"/>
      <c r="T48" s="71"/>
    </row>
    <row r="49" spans="3:20">
      <c r="C49" s="13"/>
      <c r="H49" s="13"/>
      <c r="I49" s="13"/>
      <c r="J49" s="13"/>
      <c r="T49" s="71"/>
    </row>
    <row r="50" spans="3:20">
      <c r="C50" s="13"/>
      <c r="H50" s="13"/>
      <c r="I50" s="13"/>
      <c r="J50" s="13"/>
      <c r="T50" s="71"/>
    </row>
    <row r="51" spans="3:20">
      <c r="C51" s="13"/>
      <c r="H51" s="13"/>
      <c r="I51" s="13"/>
      <c r="J51" s="13"/>
      <c r="T51" s="71"/>
    </row>
    <row r="52" spans="3:20">
      <c r="C52" s="13"/>
      <c r="H52" s="13"/>
      <c r="I52" s="13"/>
      <c r="J52" s="13"/>
      <c r="T52" s="71"/>
    </row>
    <row r="53" spans="3:20">
      <c r="C53" s="13"/>
      <c r="H53" s="13"/>
      <c r="I53" s="13"/>
      <c r="J53" s="13"/>
      <c r="T53" s="71"/>
    </row>
    <row r="54" spans="3:20">
      <c r="C54" s="13"/>
      <c r="H54" s="13"/>
      <c r="I54" s="13"/>
      <c r="J54" s="13"/>
      <c r="T54" s="71"/>
    </row>
    <row r="55" spans="3:20">
      <c r="C55" s="13"/>
      <c r="H55" s="13"/>
      <c r="I55" s="13"/>
      <c r="J55" s="13"/>
      <c r="T55" s="71"/>
    </row>
    <row r="56" spans="3:20" ht="19">
      <c r="C56" s="64"/>
      <c r="H56" s="13"/>
      <c r="I56" s="13"/>
      <c r="J56" s="13"/>
      <c r="T56" s="71"/>
    </row>
    <row r="57" spans="3:20">
      <c r="T57" s="71"/>
    </row>
    <row r="58" spans="3:20">
      <c r="T58" s="71"/>
    </row>
    <row r="59" spans="3:20">
      <c r="T59" s="71"/>
    </row>
    <row r="60" spans="3:20">
      <c r="T60" s="71"/>
    </row>
    <row r="61" spans="3:20">
      <c r="T61" s="71"/>
    </row>
    <row r="62" spans="3:20">
      <c r="T62" s="71"/>
    </row>
    <row r="63" spans="3:20">
      <c r="T63" s="71"/>
    </row>
    <row r="64" spans="3:20">
      <c r="T64" s="71"/>
    </row>
    <row r="65" spans="3:20">
      <c r="T65" s="71"/>
    </row>
    <row r="66" spans="3:20">
      <c r="T66" s="71"/>
    </row>
    <row r="67" spans="3:20">
      <c r="T67" s="71"/>
    </row>
    <row r="68" spans="3:20">
      <c r="T68" s="71"/>
    </row>
    <row r="69" spans="3:20">
      <c r="T69" s="71"/>
    </row>
    <row r="70" spans="3:20">
      <c r="T70" s="71"/>
    </row>
    <row r="71" spans="3:20">
      <c r="T71" s="71"/>
    </row>
    <row r="72" spans="3:20">
      <c r="C72" s="13"/>
      <c r="H72" s="13"/>
      <c r="I72" s="13"/>
      <c r="J72" s="13"/>
      <c r="T72" s="71"/>
    </row>
    <row r="73" spans="3:20">
      <c r="C73" s="13"/>
      <c r="H73" s="13"/>
      <c r="I73" s="13"/>
      <c r="J73" s="13"/>
      <c r="T73" s="71"/>
    </row>
    <row r="74" spans="3:20">
      <c r="C74" s="13"/>
      <c r="H74" s="13"/>
      <c r="I74" s="13"/>
      <c r="J74" s="13"/>
      <c r="T74" s="71"/>
    </row>
    <row r="75" spans="3:20">
      <c r="C75" s="13"/>
      <c r="H75" s="13"/>
      <c r="I75" s="13"/>
      <c r="J75" s="13"/>
      <c r="T75" s="71"/>
    </row>
    <row r="76" spans="3:20">
      <c r="C76" s="13"/>
      <c r="H76" s="13"/>
      <c r="I76" s="13"/>
      <c r="J76" s="13"/>
      <c r="T76" s="71"/>
    </row>
    <row r="77" spans="3:20">
      <c r="C77" s="13"/>
      <c r="H77" s="13"/>
      <c r="I77" s="13"/>
      <c r="J77" s="13"/>
      <c r="T77" s="71"/>
    </row>
    <row r="78" spans="3:20">
      <c r="C78" s="13"/>
      <c r="H78" s="13"/>
      <c r="I78" s="13"/>
      <c r="J78" s="13"/>
      <c r="T78" s="71"/>
    </row>
    <row r="79" spans="3:20">
      <c r="C79" s="13"/>
      <c r="H79" s="13"/>
      <c r="I79" s="13"/>
      <c r="J79" s="13"/>
      <c r="T79" s="71"/>
    </row>
    <row r="80" spans="3:20">
      <c r="C80" s="13"/>
      <c r="H80" s="13"/>
      <c r="I80" s="13"/>
      <c r="J80" s="13"/>
      <c r="T80" s="71"/>
    </row>
    <row r="81" spans="3:20">
      <c r="C81" s="13"/>
      <c r="H81" s="13"/>
      <c r="I81" s="13"/>
      <c r="J81" s="13"/>
      <c r="T81" s="71"/>
    </row>
    <row r="82" spans="3:20">
      <c r="C82" s="13"/>
      <c r="H82" s="13"/>
      <c r="I82" s="13"/>
      <c r="J82" s="13"/>
      <c r="T82" s="71"/>
    </row>
    <row r="83" spans="3:20">
      <c r="C83" s="13"/>
      <c r="H83" s="13"/>
      <c r="I83" s="13"/>
      <c r="J83" s="13"/>
      <c r="T83" s="71"/>
    </row>
    <row r="84" spans="3:20">
      <c r="C84" s="13"/>
      <c r="H84" s="13"/>
      <c r="I84" s="13"/>
      <c r="J84" s="13"/>
      <c r="T84" s="71"/>
    </row>
    <row r="85" spans="3:20">
      <c r="C85" s="13"/>
      <c r="H85" s="13"/>
      <c r="I85" s="13"/>
      <c r="J85" s="13"/>
      <c r="T85" s="71"/>
    </row>
    <row r="86" spans="3:20">
      <c r="C86" s="13"/>
      <c r="H86" s="13"/>
      <c r="I86" s="13"/>
      <c r="J86" s="13"/>
      <c r="T86" s="71"/>
    </row>
    <row r="87" spans="3:20">
      <c r="C87" s="13"/>
      <c r="H87" s="13"/>
      <c r="I87" s="13"/>
      <c r="J87" s="13"/>
      <c r="T87" s="71"/>
    </row>
    <row r="88" spans="3:20">
      <c r="C88" s="13"/>
      <c r="H88" s="13"/>
      <c r="I88" s="13"/>
      <c r="J88" s="13"/>
      <c r="T88" s="71"/>
    </row>
    <row r="89" spans="3:20">
      <c r="C89" s="13"/>
      <c r="H89" s="13"/>
      <c r="I89" s="13"/>
      <c r="J89" s="13"/>
      <c r="T89" s="71"/>
    </row>
    <row r="90" spans="3:20">
      <c r="C90" s="13"/>
      <c r="H90" s="13"/>
      <c r="I90" s="13"/>
      <c r="J90" s="13"/>
      <c r="T90" s="71"/>
    </row>
    <row r="91" spans="3:20">
      <c r="C91" s="13"/>
      <c r="H91" s="13"/>
      <c r="I91" s="13"/>
      <c r="J91" s="13"/>
      <c r="T91" s="71"/>
    </row>
    <row r="92" spans="3:20">
      <c r="C92" s="13"/>
      <c r="H92" s="13"/>
      <c r="I92" s="13"/>
      <c r="J92" s="13"/>
      <c r="T92" s="71"/>
    </row>
    <row r="93" spans="3:20">
      <c r="C93" s="13"/>
      <c r="H93" s="13"/>
      <c r="I93" s="13"/>
      <c r="J93" s="13"/>
      <c r="T93" s="71"/>
    </row>
    <row r="94" spans="3:20">
      <c r="C94" s="13"/>
      <c r="H94" s="13"/>
      <c r="I94" s="13"/>
      <c r="J94" s="13"/>
      <c r="T94" s="71"/>
    </row>
    <row r="95" spans="3:20">
      <c r="C95" s="13"/>
      <c r="H95" s="13"/>
      <c r="I95" s="13"/>
      <c r="J95" s="13"/>
      <c r="T95" s="71"/>
    </row>
    <row r="96" spans="3:20">
      <c r="C96" s="13"/>
      <c r="H96" s="13"/>
      <c r="I96" s="13"/>
      <c r="J96" s="13"/>
      <c r="T96" s="71"/>
    </row>
    <row r="97" spans="3:20">
      <c r="C97" s="13"/>
      <c r="H97" s="13"/>
      <c r="I97" s="13"/>
      <c r="J97" s="13"/>
      <c r="T97" s="71"/>
    </row>
    <row r="98" spans="3:20">
      <c r="C98" s="13"/>
      <c r="H98" s="13"/>
      <c r="I98" s="13"/>
      <c r="J98" s="13"/>
      <c r="T98" s="71"/>
    </row>
    <row r="99" spans="3:20">
      <c r="C99" s="13"/>
      <c r="H99" s="13"/>
      <c r="I99" s="13"/>
      <c r="J99" s="13"/>
      <c r="T99" s="71"/>
    </row>
    <row r="100" spans="3:20">
      <c r="C100" s="13"/>
      <c r="H100" s="13"/>
      <c r="I100" s="13"/>
      <c r="J100" s="13"/>
      <c r="T100" s="71"/>
    </row>
    <row r="101" spans="3:20">
      <c r="C101" s="13"/>
      <c r="H101" s="13"/>
      <c r="I101" s="13"/>
      <c r="J101" s="13"/>
      <c r="T101" s="71"/>
    </row>
    <row r="102" spans="3:20">
      <c r="C102" s="13"/>
      <c r="H102" s="13"/>
      <c r="I102" s="13"/>
      <c r="J102" s="13"/>
      <c r="T102" s="71"/>
    </row>
  </sheetData>
  <mergeCells count="12">
    <mergeCell ref="C3:D3"/>
    <mergeCell ref="A5:C5"/>
    <mergeCell ref="G2:H2"/>
    <mergeCell ref="H7:J7"/>
    <mergeCell ref="K7:M7"/>
    <mergeCell ref="G3:H3"/>
    <mergeCell ref="G4:H4"/>
    <mergeCell ref="K6:S6"/>
    <mergeCell ref="A6:G6"/>
    <mergeCell ref="H6:J6"/>
    <mergeCell ref="C2:D2"/>
    <mergeCell ref="C4:D4"/>
  </mergeCells>
  <phoneticPr fontId="36" type="noConversion"/>
  <conditionalFormatting sqref="Q9:S29">
    <cfRule type="cellIs" dxfId="8" priority="37" stopIfTrue="1" operator="equal">
      <formula>"reject"</formula>
    </cfRule>
  </conditionalFormatting>
  <conditionalFormatting sqref="K9:M9 K14:M29">
    <cfRule type="cellIs" dxfId="7" priority="35" stopIfTrue="1" operator="greaterThan">
      <formula>$E9</formula>
    </cfRule>
    <cfRule type="cellIs" dxfId="6" priority="36" stopIfTrue="1" operator="lessThan">
      <formula>-$F9</formula>
    </cfRule>
  </conditionalFormatting>
  <conditionalFormatting sqref="K11:M12">
    <cfRule type="cellIs" dxfId="5" priority="27" stopIfTrue="1" operator="greaterThan">
      <formula>$E11</formula>
    </cfRule>
    <cfRule type="cellIs" dxfId="4" priority="28" stopIfTrue="1" operator="lessThan">
      <formula>-$F11</formula>
    </cfRule>
  </conditionalFormatting>
  <conditionalFormatting sqref="K13:M13">
    <cfRule type="cellIs" dxfId="3" priority="24" stopIfTrue="1" operator="greaterThan">
      <formula>$E13</formula>
    </cfRule>
    <cfRule type="cellIs" dxfId="2" priority="25" stopIfTrue="1" operator="lessThan">
      <formula>-$F13</formula>
    </cfRule>
  </conditionalFormatting>
  <conditionalFormatting sqref="K10:M10">
    <cfRule type="cellIs" dxfId="1" priority="7" stopIfTrue="1" operator="greaterThan">
      <formula>$E10</formula>
    </cfRule>
    <cfRule type="cellIs" dxfId="0" priority="8" stopIfTrue="1" operator="lessThan">
      <formula>-$F10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landscape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Head band</vt:lpstr>
      <vt:lpstr>'Head band'!Print_Area</vt:lpstr>
    </vt:vector>
  </TitlesOfParts>
  <Company>Apple,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 Kim</dc:creator>
  <cp:lastModifiedBy>Microsoft Office User</cp:lastModifiedBy>
  <cp:lastPrinted>2017-05-22T01:45:06Z</cp:lastPrinted>
  <dcterms:created xsi:type="dcterms:W3CDTF">2008-05-31T01:27:16Z</dcterms:created>
  <dcterms:modified xsi:type="dcterms:W3CDTF">2019-07-23T03:18:24Z</dcterms:modified>
</cp:coreProperties>
</file>