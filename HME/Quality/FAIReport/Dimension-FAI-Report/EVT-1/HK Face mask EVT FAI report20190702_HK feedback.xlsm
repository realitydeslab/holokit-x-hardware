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HXY\Desktop\HK HME\10-Quality\FAI CPK\1-EVT FAI\TR EVT FAI\"/>
    </mc:Choice>
  </mc:AlternateContent>
  <bookViews>
    <workbookView xWindow="0" yWindow="0" windowWidth="25598" windowHeight="15998" tabRatio="803"/>
  </bookViews>
  <sheets>
    <sheet name="Head band" sheetId="61" r:id="rId1"/>
    <sheet name="眼睛孔位数据测量" sheetId="62" r:id="rId2"/>
  </sheets>
  <definedNames>
    <definedName name="DISTINTERVAL" localSheetId="0">OFFSET(#REF!,1,0,#REF!,1)</definedName>
    <definedName name="DISTINTERVAL">OFFSET(#REF!,1,0,#REF!,1)</definedName>
    <definedName name="DISTINTERVAL1" localSheetId="0">OFFSET(#REF!,1,0,#REF!,1)</definedName>
    <definedName name="DISTINTERVAL1">OFFSET(#REF!,1,0,#REF!,1)</definedName>
    <definedName name="GroupInterval" localSheetId="0">OFFSET(#REF!,1,0,#REF!,1)</definedName>
    <definedName name="GroupInterval">OFFSET(#REF!,1,0,#REF!,1)</definedName>
    <definedName name="GroupInterval1" localSheetId="0">OFFSET(#REF!,1,0,#REF!,1)</definedName>
    <definedName name="GroupInterval1">OFFSET(#REF!,1,0,#REF!,1)</definedName>
    <definedName name="Histogram" localSheetId="0">OFFSET(#REF!,1,0,#REF!,1)</definedName>
    <definedName name="Histogram">OFFSET(#REF!,1,0,#REF!,1)</definedName>
    <definedName name="Histogram1" localSheetId="0">OFFSET(#REF!,1,0,#REF!,1)</definedName>
    <definedName name="Histogram1">OFFSET(#REF!,1,0,#REF!,1)</definedName>
    <definedName name="NORMDIST" localSheetId="0">OFFSET(#REF!,1,0,#REF!,1)</definedName>
    <definedName name="NORMDIST">OFFSET(#REF!,1,0,#REF!,1)</definedName>
    <definedName name="NORMDIST1" localSheetId="0">OFFSET(#REF!,1,0,#REF!,1)</definedName>
    <definedName name="NORMDIST1">OFFSET(#REF!,1,0,#REF!,1)</definedName>
    <definedName name="_xlnm.Print_Area" localSheetId="0">'Head band'!$A$1:$U$17</definedName>
  </definedNames>
  <calcPr calcId="152511"/>
  <customWorkbookViews>
    <customWorkbookView name="Zhang Zhengjun - Personal View" guid="{05A1B552-4CBE-0449-9BDE-AF4BEEEA0B22}" mergeInterval="0" personalView="1" yWindow="105" windowWidth="1428" windowHeight="728" tabRatio="584" activeSheetId="6"/>
    <customWorkbookView name="Robert York - Personal View" guid="{971DFF50-E2D6-A94D-B32C-4DBE6112B19F}" mergeInterval="0" personalView="1" xWindow="105" yWindow="210" windowWidth="974" windowHeight="522" tabRatio="584" activeSheetId="1"/>
    <customWorkbookView name="Ji Kim - Personal View" guid="{7F83E96C-9D43-5446-8F0B-917FE1EF3DB5}" mergeInterval="0" personalView="1" xWindow="105" yWindow="210" windowWidth="974" windowHeight="522" tabRatio="584" activeSheetId="2" showFormulaBar="0" showComments="commIndAndComment"/>
    <customWorkbookView name="Martin Wong - Personal View" guid="{6130BAA2-550F-11DD-9262-0017F2D249BE}" mergeInterval="0" personalView="1" xWindow="188" yWindow="318" windowWidth="1176" windowHeight="603" tabRatio="58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9" i="62" l="1"/>
  <c r="G20" i="62"/>
  <c r="G21" i="62"/>
  <c r="G18" i="62"/>
  <c r="E21" i="62"/>
  <c r="F21" i="62"/>
  <c r="D21" i="62"/>
  <c r="E20" i="62"/>
  <c r="F20" i="62"/>
  <c r="D20" i="62"/>
  <c r="E19" i="62"/>
  <c r="F19" i="62"/>
  <c r="D19" i="62"/>
  <c r="E18" i="62"/>
  <c r="F18" i="62"/>
  <c r="D18" i="62"/>
  <c r="F17" i="62" l="1"/>
  <c r="E17" i="62"/>
  <c r="D17" i="62"/>
  <c r="F16" i="62"/>
  <c r="E16" i="62"/>
  <c r="D16" i="62"/>
  <c r="F15" i="62"/>
  <c r="E15" i="62"/>
  <c r="D15" i="62"/>
  <c r="F14" i="62"/>
  <c r="E14" i="62"/>
  <c r="D14" i="62"/>
  <c r="R29" i="61"/>
  <c r="Q29" i="61"/>
  <c r="S29" i="61" s="1"/>
  <c r="P29" i="61"/>
  <c r="O29" i="61"/>
  <c r="N29" i="61"/>
  <c r="M29" i="61"/>
  <c r="L29" i="61"/>
  <c r="K29" i="61"/>
  <c r="P28" i="61"/>
  <c r="R28" i="61" s="1"/>
  <c r="O28" i="61"/>
  <c r="Q28" i="61" s="1"/>
  <c r="N28" i="61"/>
  <c r="M28" i="61"/>
  <c r="L28" i="61"/>
  <c r="K28" i="61"/>
  <c r="P27" i="61"/>
  <c r="R27" i="61" s="1"/>
  <c r="O27" i="61"/>
  <c r="Q27" i="61" s="1"/>
  <c r="N27" i="61"/>
  <c r="M27" i="61"/>
  <c r="L27" i="61"/>
  <c r="K27" i="61"/>
  <c r="P26" i="61"/>
  <c r="R26" i="61" s="1"/>
  <c r="O26" i="61"/>
  <c r="Q26" i="61" s="1"/>
  <c r="N26" i="61"/>
  <c r="M26" i="61"/>
  <c r="L26" i="61"/>
  <c r="K26" i="61"/>
  <c r="P25" i="61"/>
  <c r="R25" i="61" s="1"/>
  <c r="O25" i="61"/>
  <c r="Q25" i="61" s="1"/>
  <c r="N25" i="61"/>
  <c r="M25" i="61"/>
  <c r="L25" i="61"/>
  <c r="K25" i="61"/>
  <c r="P24" i="61"/>
  <c r="R24" i="61" s="1"/>
  <c r="O24" i="61"/>
  <c r="Q24" i="61" s="1"/>
  <c r="N24" i="61"/>
  <c r="M24" i="61"/>
  <c r="L24" i="61"/>
  <c r="K24" i="61"/>
  <c r="P23" i="61"/>
  <c r="R23" i="61" s="1"/>
  <c r="O23" i="61"/>
  <c r="Q23" i="61" s="1"/>
  <c r="N23" i="61"/>
  <c r="M23" i="61"/>
  <c r="L23" i="61"/>
  <c r="K23" i="61"/>
  <c r="P22" i="61"/>
  <c r="R22" i="61" s="1"/>
  <c r="O22" i="61"/>
  <c r="Q22" i="61" s="1"/>
  <c r="N22" i="61"/>
  <c r="M22" i="61"/>
  <c r="L22" i="61"/>
  <c r="K22" i="61"/>
  <c r="P21" i="61"/>
  <c r="R21" i="61" s="1"/>
  <c r="O21" i="61"/>
  <c r="Q21" i="61" s="1"/>
  <c r="N21" i="61"/>
  <c r="M21" i="61"/>
  <c r="L21" i="61"/>
  <c r="K21" i="61"/>
  <c r="R20" i="61"/>
  <c r="S20" i="61" s="1"/>
  <c r="Q20" i="61"/>
  <c r="P20" i="61"/>
  <c r="O20" i="61"/>
  <c r="N20" i="61"/>
  <c r="M20" i="61"/>
  <c r="L20" i="61"/>
  <c r="K20" i="61"/>
  <c r="S19" i="61"/>
  <c r="R19" i="61"/>
  <c r="Q19" i="61"/>
  <c r="P19" i="61"/>
  <c r="O19" i="61"/>
  <c r="N19" i="61"/>
  <c r="M19" i="61"/>
  <c r="L19" i="61"/>
  <c r="K19" i="61"/>
  <c r="R18" i="61"/>
  <c r="Q18" i="61"/>
  <c r="S18" i="61" s="1"/>
  <c r="P18" i="61"/>
  <c r="O18" i="61"/>
  <c r="N18" i="61"/>
  <c r="M18" i="61"/>
  <c r="L18" i="61"/>
  <c r="K18" i="61"/>
  <c r="R17" i="61"/>
  <c r="Q17" i="61"/>
  <c r="S17" i="61" s="1"/>
  <c r="P17" i="61"/>
  <c r="O17" i="61"/>
  <c r="N17" i="61"/>
  <c r="M17" i="61"/>
  <c r="L17" i="61"/>
  <c r="K17" i="61"/>
  <c r="R16" i="61"/>
  <c r="S16" i="61" s="1"/>
  <c r="Q16" i="61"/>
  <c r="P16" i="61"/>
  <c r="O16" i="61"/>
  <c r="N16" i="61"/>
  <c r="M16" i="61"/>
  <c r="L16" i="61"/>
  <c r="K16" i="61"/>
  <c r="S15" i="61"/>
  <c r="R15" i="61"/>
  <c r="Q15" i="61"/>
  <c r="P15" i="61"/>
  <c r="O15" i="61"/>
  <c r="N15" i="61"/>
  <c r="M15" i="61"/>
  <c r="L15" i="61"/>
  <c r="K15" i="61"/>
  <c r="R14" i="61"/>
  <c r="Q14" i="61"/>
  <c r="S14" i="61" s="1"/>
  <c r="P14" i="61"/>
  <c r="O14" i="61"/>
  <c r="N14" i="61"/>
  <c r="M14" i="61"/>
  <c r="L14" i="61"/>
  <c r="K14" i="61"/>
  <c r="R13" i="61"/>
  <c r="Q13" i="61"/>
  <c r="S13" i="61" s="1"/>
  <c r="P13" i="61"/>
  <c r="O13" i="61"/>
  <c r="N13" i="61"/>
  <c r="M13" i="61"/>
  <c r="L13" i="61"/>
  <c r="K13" i="61"/>
  <c r="R12" i="61"/>
  <c r="P12" i="61"/>
  <c r="O12" i="61"/>
  <c r="Q12" i="61" s="1"/>
  <c r="S12" i="61" s="1"/>
  <c r="N12" i="61"/>
  <c r="M12" i="61"/>
  <c r="L12" i="61"/>
  <c r="K12" i="61"/>
  <c r="P11" i="61"/>
  <c r="R11" i="61" s="1"/>
  <c r="O11" i="61"/>
  <c r="Q11" i="61" s="1"/>
  <c r="N11" i="61"/>
  <c r="M11" i="61"/>
  <c r="L11" i="61"/>
  <c r="K11" i="61"/>
  <c r="Q10" i="61"/>
  <c r="P10" i="61"/>
  <c r="R10" i="61" s="1"/>
  <c r="O10" i="61"/>
  <c r="N10" i="61"/>
  <c r="M10" i="61"/>
  <c r="L10" i="61"/>
  <c r="K10" i="61"/>
  <c r="R9" i="61"/>
  <c r="Q9" i="61"/>
  <c r="S9" i="61" s="1"/>
  <c r="P9" i="61"/>
  <c r="O9" i="61"/>
  <c r="N9" i="61"/>
  <c r="M9" i="61"/>
  <c r="L9" i="61"/>
  <c r="K9" i="61"/>
  <c r="S27" i="61" l="1"/>
  <c r="S25" i="61"/>
  <c r="S26" i="61"/>
  <c r="S24" i="61"/>
  <c r="S23" i="61"/>
  <c r="S21" i="61"/>
  <c r="S22" i="61"/>
  <c r="S28" i="61"/>
  <c r="S10" i="61"/>
  <c r="S11" i="61"/>
</calcChain>
</file>

<file path=xl/comments1.xml><?xml version="1.0" encoding="utf-8"?>
<comments xmlns="http://schemas.openxmlformats.org/spreadsheetml/2006/main">
  <authors>
    <author>Author</author>
  </authors>
  <commentList>
    <comment ref="G7" authorId="0" shapeId="0">
      <text>
        <r>
          <rPr>
            <b/>
            <sz val="9"/>
            <color indexed="81"/>
            <rFont val="Geneva"/>
            <family val="2"/>
          </rPr>
          <t>Method of inspection abbreviations: 
HG = Height gauge
MIC = Micrometer
DC = Dial Caliper
P = Protractor
OC = Optical Comparator
CG = Checking Gauge
CMM = Coordinate Measuring Machine</t>
        </r>
        <r>
          <rPr>
            <sz val="9"/>
            <color indexed="81"/>
            <rFont val="Geneva"/>
            <family val="2"/>
          </rPr>
          <t xml:space="preserve">
</t>
        </r>
        <r>
          <rPr>
            <b/>
            <sz val="9"/>
            <color indexed="81"/>
            <rFont val="Geneva"/>
            <family val="2"/>
          </rPr>
          <t>OMM = Optical Coordinate Measuring Machine
HT = Hardness Tester
TG = Thickness Gauge
VIS = Visual
PG = Plug Gauge
A=Callipers
FG=filler gauge</t>
        </r>
      </text>
    </comment>
  </commentList>
</comments>
</file>

<file path=xl/sharedStrings.xml><?xml version="1.0" encoding="utf-8"?>
<sst xmlns="http://schemas.openxmlformats.org/spreadsheetml/2006/main" count="119" uniqueCount="85">
  <si>
    <t>Part Number :</t>
  </si>
  <si>
    <t>Part Description :</t>
  </si>
  <si>
    <t>Revision :</t>
  </si>
  <si>
    <t>Mean</t>
  </si>
  <si>
    <t>Artoo FAI Data Sheet</t>
  </si>
  <si>
    <t>Tool # :</t>
  </si>
  <si>
    <t>Supplier :</t>
    <phoneticPr fontId="14" type="noConversion"/>
  </si>
  <si>
    <t>Reviewer :</t>
    <phoneticPr fontId="14" type="noConversion"/>
  </si>
  <si>
    <t>Page :</t>
  </si>
  <si>
    <t>1 of 1</t>
  </si>
  <si>
    <t xml:space="preserve"> </t>
  </si>
  <si>
    <t>Cavity # :</t>
  </si>
  <si>
    <t>Inspector :</t>
    <phoneticPr fontId="14" type="noConversion"/>
  </si>
  <si>
    <t>Approver :</t>
    <phoneticPr fontId="14" type="noConversion"/>
  </si>
  <si>
    <t>Report stage :</t>
  </si>
  <si>
    <t>Date :</t>
  </si>
  <si>
    <t>DRAWING SPECIFICATIONS</t>
    <phoneticPr fontId="9" type="noConversion"/>
  </si>
  <si>
    <t>INSPECTION RESULTS</t>
    <phoneticPr fontId="9" type="noConversion"/>
  </si>
  <si>
    <t>INSPECTION ANALYSIS</t>
    <phoneticPr fontId="9" type="noConversion"/>
  </si>
  <si>
    <t>COMMENTS &amp; DISPOSITIONS</t>
    <phoneticPr fontId="9" type="noConversion"/>
  </si>
  <si>
    <t>Inspection</t>
    <phoneticPr fontId="9" type="noConversion"/>
  </si>
  <si>
    <t>Sample Number</t>
    <phoneticPr fontId="14" type="noConversion"/>
  </si>
  <si>
    <t>Deviation from Nominal</t>
  </si>
  <si>
    <t>% Tolerance</t>
  </si>
  <si>
    <t>Alert/Reject</t>
  </si>
  <si>
    <t>Supplier</t>
  </si>
  <si>
    <t>PD</t>
    <phoneticPr fontId="9" type="noConversion"/>
  </si>
  <si>
    <t>FAI/SPC</t>
    <phoneticPr fontId="9" type="noConversion"/>
  </si>
  <si>
    <t>LOCATION</t>
  </si>
  <si>
    <t>NOMINAL</t>
  </si>
  <si>
    <t>+TOL</t>
  </si>
  <si>
    <t>-TOL</t>
  </si>
  <si>
    <t>Method</t>
    <phoneticPr fontId="9" type="noConversion"/>
  </si>
  <si>
    <t>UPPER</t>
  </si>
  <si>
    <t>LOWER</t>
  </si>
  <si>
    <t>HIGH</t>
  </si>
  <si>
    <t>LOW</t>
  </si>
  <si>
    <t>ADJUDGMENT</t>
    <phoneticPr fontId="9" type="noConversion"/>
  </si>
  <si>
    <t>Comment</t>
  </si>
  <si>
    <t>Disposition</t>
  </si>
  <si>
    <t>PCH</t>
  </si>
  <si>
    <t>TL</t>
  </si>
  <si>
    <t>N/A</t>
  </si>
  <si>
    <t>Steel ruler</t>
  </si>
  <si>
    <t>NO.</t>
    <phoneticPr fontId="36" type="noConversion"/>
  </si>
  <si>
    <t>OMM</t>
    <phoneticPr fontId="36" type="noConversion"/>
  </si>
  <si>
    <t>HK face mask</t>
    <phoneticPr fontId="36" type="noConversion"/>
  </si>
  <si>
    <t>1.0</t>
    <phoneticPr fontId="36" type="noConversion"/>
  </si>
  <si>
    <t>Li wen</t>
    <phoneticPr fontId="36" type="noConversion"/>
  </si>
  <si>
    <t>tang jing</t>
    <phoneticPr fontId="36" type="noConversion"/>
  </si>
  <si>
    <t>chen long</t>
    <phoneticPr fontId="36" type="noConversion"/>
  </si>
  <si>
    <t>2019-6-25</t>
    <phoneticPr fontId="36" type="noConversion"/>
  </si>
  <si>
    <t>Tool vendor :</t>
    <phoneticPr fontId="36" type="noConversion"/>
  </si>
  <si>
    <t>P1</t>
    <phoneticPr fontId="36" type="noConversion"/>
  </si>
  <si>
    <t>P2</t>
    <phoneticPr fontId="8" type="noConversion"/>
  </si>
  <si>
    <t>P3</t>
  </si>
  <si>
    <t>P4</t>
  </si>
  <si>
    <t>P5</t>
  </si>
  <si>
    <t>P6</t>
  </si>
  <si>
    <t>P7</t>
  </si>
  <si>
    <t>P8</t>
  </si>
  <si>
    <t>length</t>
    <phoneticPr fontId="36" type="noConversion"/>
  </si>
  <si>
    <t>Overall Length</t>
    <phoneticPr fontId="36" type="noConversion"/>
  </si>
  <si>
    <t>width</t>
    <phoneticPr fontId="36" type="noConversion"/>
  </si>
  <si>
    <r>
      <t xml:space="preserve">face mask hole </t>
    </r>
    <r>
      <rPr>
        <sz val="10"/>
        <rFont val="宋体"/>
        <family val="2"/>
        <charset val="134"/>
      </rPr>
      <t>（</t>
    </r>
    <r>
      <rPr>
        <sz val="10"/>
        <rFont val="Arial"/>
        <family val="2"/>
      </rPr>
      <t>right</t>
    </r>
    <r>
      <rPr>
        <sz val="10"/>
        <rFont val="宋体"/>
        <family val="2"/>
        <charset val="134"/>
      </rPr>
      <t>）</t>
    </r>
    <phoneticPr fontId="36" type="noConversion"/>
  </si>
  <si>
    <r>
      <t xml:space="preserve">face mask hole </t>
    </r>
    <r>
      <rPr>
        <sz val="10"/>
        <rFont val="宋体"/>
        <family val="2"/>
        <charset val="134"/>
      </rPr>
      <t>（</t>
    </r>
    <r>
      <rPr>
        <sz val="10"/>
        <rFont val="Arial"/>
        <family val="2"/>
      </rPr>
      <t>left</t>
    </r>
    <r>
      <rPr>
        <sz val="10"/>
        <rFont val="宋体"/>
        <family val="2"/>
        <charset val="134"/>
      </rPr>
      <t>）</t>
    </r>
    <phoneticPr fontId="36" type="noConversion"/>
  </si>
  <si>
    <t>量测位置</t>
  </si>
  <si>
    <t>规格  序号</t>
  </si>
  <si>
    <t>圆1（右）</t>
  </si>
  <si>
    <t>圆2（左）</t>
  </si>
  <si>
    <t>1#</t>
    <phoneticPr fontId="36" type="noConversion"/>
  </si>
  <si>
    <t>2#</t>
    <phoneticPr fontId="36" type="noConversion"/>
  </si>
  <si>
    <t>3#</t>
    <phoneticPr fontId="36" type="noConversion"/>
  </si>
  <si>
    <t>P1</t>
  </si>
  <si>
    <t>P2</t>
  </si>
  <si>
    <t>左右差值</t>
    <phoneticPr fontId="36" type="noConversion"/>
  </si>
  <si>
    <t>P4-P8</t>
    <phoneticPr fontId="36" type="noConversion"/>
  </si>
  <si>
    <t>P1-P7</t>
    <phoneticPr fontId="36" type="noConversion"/>
  </si>
  <si>
    <t>P2-P6</t>
    <phoneticPr fontId="36" type="noConversion"/>
  </si>
  <si>
    <t>P3-P5</t>
    <phoneticPr fontId="36" type="noConversion"/>
  </si>
  <si>
    <t>P5-P7</t>
  </si>
  <si>
    <t>P3-P1</t>
  </si>
  <si>
    <t>P6-P8</t>
  </si>
  <si>
    <t>P2-P4</t>
  </si>
  <si>
    <t>hole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</si>
</sst>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&quot;¥&quot;* #,##0_ ;_ &quot;¥&quot;* \-#,##0_ ;_ &quot;¥&quot;* &quot;-&quot;_ ;_ @_ "/>
    <numFmt numFmtId="165" formatCode="0.000"/>
    <numFmt numFmtId="166" formatCode="m/d;@"/>
    <numFmt numFmtId="167" formatCode="[$-409]d\-mmm;@"/>
    <numFmt numFmtId="168" formatCode="0_);[Red]\(0\)"/>
    <numFmt numFmtId="169" formatCode="#,##0.000;[Blue]\-#,##0.000"/>
    <numFmt numFmtId="170" formatCode="0.000_ "/>
    <numFmt numFmtId="171" formatCode="&quot;$&quot;#,##0.00"/>
    <numFmt numFmtId="172" formatCode="0.000000_);\(0.000000\)"/>
    <numFmt numFmtId="173" formatCode="#,##0;[Red]\(#,##0\);&quot;- &quot;"/>
    <numFmt numFmtId="174" formatCode="0%_);[Red]\(0%\)"/>
    <numFmt numFmtId="175" formatCode="0.00_)"/>
    <numFmt numFmtId="176" formatCode="0.0%"/>
    <numFmt numFmtId="177" formatCode="0%;[Red]\(0%\);&quot;- &quot;"/>
    <numFmt numFmtId="178" formatCode="_(&quot;R$&quot;* #,##0.00_);_(&quot;R$&quot;* \(#,##0.00\);_(&quot;R$&quot;* &quot;-&quot;??_);_(@_)"/>
    <numFmt numFmtId="179" formatCode="0.000000000000"/>
    <numFmt numFmtId="180" formatCode="_(&quot;R$&quot;* #,##0_);_(&quot;R$&quot;* \(#,##0\);_(&quot;R$&quot;* &quot;-&quot;_);_(@_)"/>
    <numFmt numFmtId="181" formatCode="#,##0.0,_);[Red]\(#,##0.0\)"/>
    <numFmt numFmtId="182" formatCode="&quot;\&quot;#,##0.00;[Red]&quot;\&quot;\-#,##0.00"/>
    <numFmt numFmtId="183" formatCode="#,##0,\ ;[Red]\(#,##0,\);&quot;&quot;"/>
    <numFmt numFmtId="184" formatCode="\ \ \ \ \ \ \ \ \ \ \ \ @"/>
    <numFmt numFmtId="185" formatCode="#,##0,_);[Red]\(#,##0,\);&quot;-  &quot;"/>
    <numFmt numFmtId="186" formatCode="&quot;\&quot;#,##0;[Red]&quot;\&quot;\-#,##0"/>
  </numFmts>
  <fonts count="77">
    <font>
      <sz val="10"/>
      <name val="Verdana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0"/>
      <name val="Verdana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1"/>
      <name val="Verdana"/>
      <family val="2"/>
    </font>
    <font>
      <u/>
      <sz val="10"/>
      <color theme="10"/>
      <name val="Verdana"/>
      <family val="2"/>
    </font>
    <font>
      <u/>
      <sz val="10"/>
      <color theme="11"/>
      <name val="Verdana"/>
      <family val="2"/>
    </font>
    <font>
      <b/>
      <sz val="9"/>
      <color theme="0" tint="-0.499984740745262"/>
      <name val="Arial"/>
      <family val="2"/>
    </font>
    <font>
      <sz val="9"/>
      <color theme="0" tint="-0.499984740745262"/>
      <name val="Arial"/>
      <family val="2"/>
    </font>
    <font>
      <sz val="12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</font>
    <font>
      <sz val="11"/>
      <color indexed="8"/>
      <name val="Calibri"/>
      <family val="2"/>
    </font>
    <font>
      <sz val="12"/>
      <color rgb="FF9C6500"/>
      <name val="Calibri"/>
      <family val="2"/>
      <scheme val="minor"/>
    </font>
    <font>
      <sz val="11"/>
      <color indexed="60"/>
      <name val="新細明體"/>
      <family val="1"/>
      <charset val="136"/>
    </font>
    <font>
      <sz val="14"/>
      <color theme="0" tint="-0.499984740745262"/>
      <name val="Arial"/>
      <family val="2"/>
    </font>
    <font>
      <sz val="10"/>
      <name val="Arial"/>
      <family val="2"/>
    </font>
    <font>
      <sz val="9"/>
      <name val="华文仿宋"/>
      <family val="3"/>
      <charset val="134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theme="0" tint="-0.499984740745262"/>
      <name val="Arial"/>
      <family val="2"/>
    </font>
    <font>
      <sz val="10"/>
      <color theme="3"/>
      <name val="Arial"/>
      <family val="2"/>
    </font>
    <font>
      <sz val="10"/>
      <color theme="0" tint="-0.499984740745262"/>
      <name val="Verdana"/>
      <family val="2"/>
    </font>
    <font>
      <i/>
      <sz val="10"/>
      <color theme="1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b/>
      <sz val="9"/>
      <color indexed="81"/>
      <name val="Geneva"/>
      <family val="2"/>
    </font>
    <font>
      <sz val="9"/>
      <color indexed="81"/>
      <name val="Geneva"/>
      <family val="2"/>
    </font>
    <font>
      <sz val="9"/>
      <name val="宋体"/>
      <family val="3"/>
      <charset val="134"/>
    </font>
    <font>
      <sz val="12"/>
      <name val="Arial"/>
      <family val="2"/>
    </font>
    <font>
      <sz val="12"/>
      <name val="Times New Roman"/>
      <family val="1"/>
    </font>
    <font>
      <sz val="10"/>
      <name val="Helv"/>
      <family val="2"/>
    </font>
    <font>
      <sz val="10"/>
      <color indexed="8"/>
      <name val="MS Sans Serif"/>
      <family val="2"/>
    </font>
    <font>
      <sz val="11"/>
      <color indexed="9"/>
      <name val="Calibri"/>
      <family val="2"/>
    </font>
    <font>
      <sz val="8"/>
      <name val="Times New Roman"/>
      <family val="1"/>
    </font>
    <font>
      <b/>
      <sz val="10"/>
      <name val="Helv"/>
      <family val="2"/>
    </font>
    <font>
      <sz val="10"/>
      <name val="MS Serif"/>
      <family val="1"/>
    </font>
    <font>
      <sz val="8"/>
      <name val="Arial"/>
      <family val="2"/>
    </font>
    <font>
      <b/>
      <sz val="12"/>
      <name val="Arial"/>
      <family val="2"/>
    </font>
    <font>
      <sz val="7"/>
      <name val="Small Fonts"/>
      <family val="2"/>
    </font>
    <font>
      <b/>
      <i/>
      <sz val="16"/>
      <name val="Helv"/>
      <family val="2"/>
    </font>
    <font>
      <sz val="11"/>
      <color indexed="8"/>
      <name val="宋体"/>
      <family val="3"/>
      <charset val="134"/>
    </font>
    <font>
      <b/>
      <sz val="18"/>
      <color indexed="56"/>
      <name val="Cambria"/>
      <family val="1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name val="ＭＳ Ｐゴシック"/>
      <family val="2"/>
      <charset val="134"/>
    </font>
    <font>
      <sz val="11"/>
      <color indexed="20"/>
      <name val="Calibri"/>
      <family val="2"/>
    </font>
    <font>
      <sz val="11"/>
      <color indexed="20"/>
      <name val="宋体"/>
      <family val="3"/>
      <charset val="134"/>
    </font>
    <font>
      <sz val="11"/>
      <color indexed="16"/>
      <name val="宋体"/>
      <family val="3"/>
      <charset val="134"/>
    </font>
    <font>
      <sz val="11"/>
      <color indexed="17"/>
      <name val="Calibri"/>
      <family val="2"/>
    </font>
    <font>
      <sz val="11"/>
      <color indexed="17"/>
      <name val="宋体"/>
      <family val="3"/>
      <charset val="134"/>
    </font>
    <font>
      <b/>
      <sz val="11"/>
      <color indexed="8"/>
      <name val="Calibri"/>
      <family val="2"/>
    </font>
    <font>
      <sz val="12"/>
      <name val="新細明體"/>
      <family val="1"/>
      <charset val="134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62"/>
      <name val="Calibri"/>
      <family val="2"/>
    </font>
    <font>
      <sz val="11"/>
      <name val="돋움"/>
      <family val="2"/>
      <charset val="134"/>
    </font>
    <font>
      <sz val="10"/>
      <name val="宋体"/>
      <family val="2"/>
      <charset val="134"/>
    </font>
    <font>
      <strike/>
      <sz val="10"/>
      <name val="Arial"/>
      <family val="2"/>
    </font>
    <font>
      <b/>
      <sz val="11"/>
      <color indexed="8"/>
      <name val="宋体"/>
      <family val="3"/>
      <charset val="134"/>
    </font>
    <font>
      <sz val="18"/>
      <color indexed="8"/>
      <name val="宋体"/>
      <family val="3"/>
      <charset val="134"/>
    </font>
    <font>
      <b/>
      <sz val="12"/>
      <color indexed="8"/>
      <name val="宋体"/>
      <family val="3"/>
      <charset val="134"/>
    </font>
    <font>
      <sz val="14"/>
      <color indexed="8"/>
      <name val="宋体"/>
      <family val="3"/>
      <charset val="134"/>
    </font>
  </fonts>
  <fills count="3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auto="1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medium">
        <color theme="0" tint="-0.249977111117893"/>
      </right>
      <top/>
      <bottom style="thin">
        <color theme="0" tint="-0.249977111117893"/>
      </bottom>
      <diagonal/>
    </border>
  </borders>
  <cellStyleXfs count="1259">
    <xf numFmtId="167" fontId="0" fillId="0" borderId="0"/>
    <xf numFmtId="167" fontId="5" fillId="0" borderId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5" fillId="0" borderId="0"/>
    <xf numFmtId="167" fontId="5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1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15" fillId="0" borderId="0"/>
    <xf numFmtId="167" fontId="16" fillId="0" borderId="0"/>
    <xf numFmtId="167" fontId="17" fillId="0" borderId="0">
      <alignment vertical="center"/>
    </xf>
    <xf numFmtId="167" fontId="18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67" fontId="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67" fontId="5" fillId="0" borderId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4" fillId="0" borderId="0">
      <alignment vertical="center"/>
    </xf>
    <xf numFmtId="167" fontId="4" fillId="0" borderId="0">
      <alignment vertical="center"/>
    </xf>
    <xf numFmtId="167" fontId="3" fillId="0" borderId="0">
      <alignment vertical="center"/>
    </xf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15" fillId="0" borderId="0"/>
    <xf numFmtId="43" fontId="15" fillId="0" borderId="0" applyFont="0" applyFill="0" applyBorder="0" applyAlignment="0" applyProtection="0"/>
    <xf numFmtId="167" fontId="19" fillId="2" borderId="0" applyNumberFormat="0" applyBorder="0" applyAlignment="0" applyProtection="0"/>
    <xf numFmtId="167" fontId="19" fillId="2" borderId="0" applyNumberFormat="0" applyBorder="0" applyAlignment="0" applyProtection="0"/>
    <xf numFmtId="167" fontId="19" fillId="2" borderId="0" applyNumberFormat="0" applyBorder="0" applyAlignment="0" applyProtection="0"/>
    <xf numFmtId="167" fontId="16" fillId="0" borderId="0"/>
    <xf numFmtId="167" fontId="15" fillId="0" borderId="0"/>
    <xf numFmtId="167" fontId="16" fillId="0" borderId="0">
      <alignment vertical="center"/>
    </xf>
    <xf numFmtId="167" fontId="16" fillId="0" borderId="0">
      <alignment vertical="center"/>
    </xf>
    <xf numFmtId="167" fontId="2" fillId="0" borderId="0">
      <alignment vertical="center"/>
    </xf>
    <xf numFmtId="166" fontId="16" fillId="0" borderId="0">
      <alignment vertical="center"/>
    </xf>
    <xf numFmtId="166" fontId="16" fillId="0" borderId="0">
      <alignment vertical="center"/>
    </xf>
    <xf numFmtId="166" fontId="16" fillId="0" borderId="0">
      <alignment vertical="center"/>
    </xf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0" fontId="16" fillId="0" borderId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0" fontId="20" fillId="3" borderId="0" applyNumberFormat="0" applyBorder="0" applyAlignment="0" applyProtection="0">
      <alignment vertical="center"/>
    </xf>
    <xf numFmtId="0" fontId="19" fillId="4" borderId="0" applyNumberFormat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1" fillId="0" borderId="0">
      <alignment vertical="center"/>
    </xf>
    <xf numFmtId="167" fontId="1" fillId="0" borderId="0">
      <alignment vertical="center"/>
    </xf>
    <xf numFmtId="167" fontId="1" fillId="0" borderId="0">
      <alignment vertical="center"/>
    </xf>
    <xf numFmtId="167" fontId="1" fillId="0" borderId="0">
      <alignment vertical="center"/>
    </xf>
    <xf numFmtId="167" fontId="1" fillId="0" borderId="0">
      <alignment vertical="center"/>
    </xf>
    <xf numFmtId="167" fontId="1" fillId="0" borderId="0">
      <alignment vertical="center"/>
    </xf>
    <xf numFmtId="167" fontId="1" fillId="0" borderId="0">
      <alignment vertical="center"/>
    </xf>
    <xf numFmtId="167" fontId="1" fillId="0" borderId="0">
      <alignment vertical="center"/>
    </xf>
    <xf numFmtId="0" fontId="13" fillId="0" borderId="0" applyProtection="0"/>
    <xf numFmtId="0" fontId="22" fillId="0" borderId="0"/>
    <xf numFmtId="0" fontId="22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2" fillId="0" borderId="0"/>
    <xf numFmtId="0" fontId="22" fillId="0" borderId="0"/>
    <xf numFmtId="0" fontId="38" fillId="0" borderId="0"/>
    <xf numFmtId="0" fontId="38" fillId="0" borderId="0"/>
    <xf numFmtId="0" fontId="22" fillId="0" borderId="0"/>
    <xf numFmtId="0" fontId="22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8" fillId="0" borderId="0"/>
    <xf numFmtId="0" fontId="38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2" fillId="0" borderId="0"/>
    <xf numFmtId="0" fontId="22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2" fillId="0" borderId="0"/>
    <xf numFmtId="0" fontId="22" fillId="0" borderId="0"/>
    <xf numFmtId="0" fontId="3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2" fillId="0" borderId="0"/>
    <xf numFmtId="0" fontId="22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9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9" fillId="0" borderId="0"/>
    <xf numFmtId="0" fontId="39" fillId="0" borderId="0"/>
    <xf numFmtId="0" fontId="38" fillId="0" borderId="0"/>
    <xf numFmtId="0" fontId="37" fillId="0" borderId="0"/>
    <xf numFmtId="0" fontId="13" fillId="0" borderId="0"/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39" fillId="0" borderId="0"/>
    <xf numFmtId="181" fontId="22" fillId="8" borderId="8">
      <alignment horizontal="center" vertical="center"/>
    </xf>
    <xf numFmtId="0" fontId="42" fillId="0" borderId="0">
      <alignment horizontal="center" wrapText="1"/>
      <protection locked="0"/>
    </xf>
    <xf numFmtId="172" fontId="22" fillId="0" borderId="0" applyFill="0" applyBorder="0" applyAlignment="0"/>
    <xf numFmtId="175" fontId="22" fillId="0" borderId="0" applyFill="0" applyBorder="0" applyAlignment="0"/>
    <xf numFmtId="176" fontId="22" fillId="0" borderId="0" applyFill="0" applyBorder="0" applyAlignment="0"/>
    <xf numFmtId="171" fontId="22" fillId="0" borderId="0" applyFill="0" applyBorder="0" applyAlignment="0"/>
    <xf numFmtId="177" fontId="22" fillId="0" borderId="0" applyFill="0" applyBorder="0" applyAlignment="0"/>
    <xf numFmtId="173" fontId="22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0" fontId="43" fillId="0" borderId="0"/>
    <xf numFmtId="173" fontId="22" fillId="0" borderId="0" applyFont="0" applyFill="0" applyBorder="0" applyAlignment="0" applyProtection="0"/>
    <xf numFmtId="179" fontId="22" fillId="0" borderId="0"/>
    <xf numFmtId="0" fontId="44" fillId="0" borderId="0" applyNumberFormat="0" applyAlignment="0">
      <alignment horizontal="left"/>
    </xf>
    <xf numFmtId="175" fontId="22" fillId="0" borderId="0" applyFont="0" applyFill="0" applyBorder="0" applyAlignment="0" applyProtection="0"/>
    <xf numFmtId="17" fontId="22" fillId="0" borderId="0" applyFont="0" applyFill="0" applyBorder="0" applyAlignment="0" applyProtection="0"/>
    <xf numFmtId="14" fontId="31" fillId="0" borderId="0" applyFill="0" applyBorder="0" applyAlignment="0"/>
    <xf numFmtId="183" fontId="22" fillId="0" borderId="9">
      <alignment vertical="center"/>
    </xf>
    <xf numFmtId="172" fontId="22" fillId="0" borderId="0" applyFill="0" applyBorder="0" applyAlignment="0"/>
    <xf numFmtId="175" fontId="22" fillId="0" borderId="0" applyFill="0" applyBorder="0" applyAlignment="0"/>
    <xf numFmtId="173" fontId="22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38" fontId="45" fillId="22" borderId="0" applyNumberFormat="0" applyBorder="0" applyAlignment="0" applyProtection="0"/>
    <xf numFmtId="0" fontId="46" fillId="0" borderId="10" applyNumberFormat="0" applyAlignment="0" applyProtection="0">
      <alignment horizontal="left" vertical="center"/>
    </xf>
    <xf numFmtId="0" fontId="46" fillId="0" borderId="11">
      <alignment horizontal="left" vertical="center"/>
    </xf>
    <xf numFmtId="10" fontId="45" fillId="23" borderId="12" applyNumberFormat="0" applyBorder="0" applyAlignment="0" applyProtection="0"/>
    <xf numFmtId="172" fontId="22" fillId="0" borderId="0" applyFill="0" applyBorder="0" applyAlignment="0"/>
    <xf numFmtId="175" fontId="22" fillId="0" borderId="0" applyFill="0" applyBorder="0" applyAlignment="0"/>
    <xf numFmtId="173" fontId="22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180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37" fontId="47" fillId="0" borderId="0"/>
    <xf numFmtId="175" fontId="48" fillId="0" borderId="0"/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177" fontId="22" fillId="0" borderId="0" applyFont="0" applyFill="0" applyBorder="0" applyAlignment="0" applyProtection="0"/>
    <xf numFmtId="184" fontId="22" fillId="0" borderId="0" applyFont="0" applyFill="0" applyBorder="0" applyAlignment="0" applyProtection="0"/>
    <xf numFmtId="10" fontId="22" fillId="0" borderId="0" applyFont="0" applyFill="0" applyBorder="0" applyAlignment="0" applyProtection="0"/>
    <xf numFmtId="172" fontId="22" fillId="0" borderId="0" applyFill="0" applyBorder="0" applyAlignment="0"/>
    <xf numFmtId="175" fontId="22" fillId="0" borderId="0" applyFill="0" applyBorder="0" applyAlignment="0"/>
    <xf numFmtId="173" fontId="22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0" fontId="25" fillId="0" borderId="0" applyNumberFormat="0" applyFill="0" applyBorder="0" applyAlignment="0" applyProtection="0"/>
    <xf numFmtId="49" fontId="31" fillId="0" borderId="0" applyFill="0" applyBorder="0" applyAlignment="0"/>
    <xf numFmtId="172" fontId="22" fillId="0" borderId="0" applyFill="0" applyBorder="0" applyAlignment="0"/>
    <xf numFmtId="185" fontId="22" fillId="0" borderId="0" applyFill="0" applyBorder="0" applyAlignment="0"/>
    <xf numFmtId="9" fontId="49" fillId="0" borderId="0" applyFon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2" fillId="0" borderId="14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24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13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13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40" fontId="54" fillId="0" borderId="0" applyFont="0" applyFill="0" applyBorder="0" applyAlignment="0" applyProtection="0"/>
    <xf numFmtId="38" fontId="54" fillId="0" borderId="0" applyFont="0" applyFill="0" applyBorder="0" applyAlignment="0" applyProtection="0"/>
    <xf numFmtId="0" fontId="60" fillId="0" borderId="16" applyNumberFormat="0" applyFill="0" applyAlignment="0" applyProtection="0">
      <alignment vertical="center"/>
    </xf>
    <xf numFmtId="164" fontId="13" fillId="0" borderId="0" applyFont="0" applyFill="0" applyBorder="0" applyAlignment="0" applyProtection="0"/>
    <xf numFmtId="42" fontId="61" fillId="0" borderId="0" applyFont="0" applyFill="0" applyBorder="0" applyAlignment="0" applyProtection="0"/>
    <xf numFmtId="0" fontId="38" fillId="0" borderId="0" applyFont="0" applyFill="0" applyBorder="0" applyAlignment="0" applyProtection="0"/>
    <xf numFmtId="44" fontId="61" fillId="0" borderId="0" applyFont="0" applyFill="0" applyBorder="0" applyAlignment="0" applyProtection="0"/>
    <xf numFmtId="0" fontId="62" fillId="22" borderId="17" applyNumberFormat="0" applyAlignment="0" applyProtection="0">
      <alignment vertical="center"/>
    </xf>
    <xf numFmtId="0" fontId="63" fillId="26" borderId="18" applyNumberFormat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6" fillId="0" borderId="19" applyNumberFormat="0" applyFill="0" applyAlignment="0" applyProtection="0">
      <alignment vertical="center"/>
    </xf>
    <xf numFmtId="41" fontId="61" fillId="0" borderId="0" applyFont="0" applyFill="0" applyBorder="0" applyAlignment="0" applyProtection="0"/>
    <xf numFmtId="170" fontId="38" fillId="0" borderId="0" applyFont="0" applyFill="0" applyBorder="0" applyAlignment="0" applyProtection="0"/>
    <xf numFmtId="0" fontId="41" fillId="27" borderId="0" applyNumberFormat="0" applyBorder="0" applyAlignment="0" applyProtection="0">
      <alignment vertical="center"/>
    </xf>
    <xf numFmtId="0" fontId="41" fillId="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1" fillId="28" borderId="0" applyNumberFormat="0" applyBorder="0" applyAlignment="0" applyProtection="0">
      <alignment vertical="center"/>
    </xf>
    <xf numFmtId="0" fontId="67" fillId="5" borderId="0" applyNumberFormat="0" applyBorder="0" applyAlignment="0" applyProtection="0">
      <alignment vertical="center"/>
    </xf>
    <xf numFmtId="0" fontId="68" fillId="22" borderId="20" applyNumberFormat="0" applyAlignment="0" applyProtection="0">
      <alignment vertical="center"/>
    </xf>
    <xf numFmtId="0" fontId="69" fillId="14" borderId="17" applyNumberFormat="0" applyAlignment="0" applyProtection="0">
      <alignment vertical="center"/>
    </xf>
    <xf numFmtId="182" fontId="54" fillId="0" borderId="0" applyFont="0" applyFill="0" applyBorder="0" applyAlignment="0" applyProtection="0"/>
    <xf numFmtId="186" fontId="54" fillId="0" borderId="0" applyFont="0" applyFill="0" applyBorder="0" applyAlignment="0" applyProtection="0"/>
    <xf numFmtId="0" fontId="38" fillId="0" borderId="0"/>
    <xf numFmtId="0" fontId="18" fillId="23" borderId="21" applyNumberFormat="0" applyFont="0" applyAlignment="0" applyProtection="0">
      <alignment vertical="center"/>
    </xf>
    <xf numFmtId="0" fontId="70" fillId="0" borderId="0"/>
    <xf numFmtId="167" fontId="1" fillId="0" borderId="0">
      <alignment vertical="center"/>
    </xf>
    <xf numFmtId="167" fontId="1" fillId="0" borderId="0">
      <alignment vertical="center"/>
    </xf>
    <xf numFmtId="167" fontId="1" fillId="0" borderId="0">
      <alignment vertical="center"/>
    </xf>
    <xf numFmtId="167" fontId="1" fillId="0" borderId="0">
      <alignment vertical="center"/>
    </xf>
    <xf numFmtId="0" fontId="1" fillId="0" borderId="0"/>
  </cellStyleXfs>
  <cellXfs count="103">
    <xf numFmtId="167" fontId="0" fillId="0" borderId="0" xfId="0"/>
    <xf numFmtId="0" fontId="12" fillId="0" borderId="5" xfId="334" applyFont="1" applyFill="1" applyBorder="1"/>
    <xf numFmtId="0" fontId="22" fillId="0" borderId="0" xfId="334" applyFont="1" applyFill="1" applyProtection="1">
      <protection locked="0"/>
    </xf>
    <xf numFmtId="0" fontId="16" fillId="0" borderId="0" xfId="334" applyFill="1" applyProtection="1">
      <protection locked="0"/>
    </xf>
    <xf numFmtId="0" fontId="21" fillId="0" borderId="0" xfId="334" applyFont="1" applyFill="1" applyProtection="1">
      <protection locked="0"/>
    </xf>
    <xf numFmtId="0" fontId="22" fillId="0" borderId="0" xfId="334" applyFont="1" applyFill="1" applyBorder="1" applyAlignment="1" applyProtection="1">
      <alignment horizontal="center" vertical="center"/>
      <protection locked="0"/>
    </xf>
    <xf numFmtId="0" fontId="22" fillId="0" borderId="0" xfId="334" applyFont="1" applyFill="1" applyAlignment="1" applyProtection="1">
      <alignment horizontal="center"/>
      <protection locked="0"/>
    </xf>
    <xf numFmtId="0" fontId="22" fillId="0" borderId="0" xfId="334" applyFont="1" applyFill="1" applyBorder="1"/>
    <xf numFmtId="0" fontId="6" fillId="0" borderId="1" xfId="334" applyFont="1" applyFill="1" applyBorder="1" applyProtection="1">
      <protection locked="0"/>
    </xf>
    <xf numFmtId="0" fontId="11" fillId="0" borderId="2" xfId="334" applyFont="1" applyFill="1" applyBorder="1" applyAlignment="1" applyProtection="1">
      <alignment horizontal="right"/>
      <protection locked="0"/>
    </xf>
    <xf numFmtId="0" fontId="11" fillId="0" borderId="2" xfId="334" applyFont="1" applyFill="1" applyBorder="1" applyAlignment="1">
      <alignment horizontal="right"/>
    </xf>
    <xf numFmtId="0" fontId="7" fillId="0" borderId="2" xfId="334" applyFont="1" applyFill="1" applyBorder="1" applyProtection="1">
      <protection locked="0"/>
    </xf>
    <xf numFmtId="165" fontId="11" fillId="0" borderId="2" xfId="334" applyNumberFormat="1" applyFont="1" applyFill="1" applyBorder="1" applyAlignment="1" applyProtection="1">
      <alignment horizontal="right"/>
      <protection locked="0"/>
    </xf>
    <xf numFmtId="0" fontId="6" fillId="0" borderId="2" xfId="334" applyFont="1" applyFill="1" applyBorder="1" applyProtection="1">
      <protection locked="0"/>
    </xf>
    <xf numFmtId="0" fontId="7" fillId="0" borderId="2" xfId="334" applyFont="1" applyFill="1" applyBorder="1" applyAlignment="1" applyProtection="1">
      <alignment horizontal="left"/>
      <protection locked="0"/>
    </xf>
    <xf numFmtId="0" fontId="23" fillId="0" borderId="0" xfId="334" applyFont="1" applyFill="1" applyProtection="1">
      <protection locked="0"/>
    </xf>
    <xf numFmtId="0" fontId="6" fillId="0" borderId="3" xfId="334" applyFont="1" applyFill="1" applyBorder="1" applyProtection="1">
      <protection locked="0"/>
    </xf>
    <xf numFmtId="0" fontId="11" fillId="0" borderId="0" xfId="334" applyFont="1" applyFill="1" applyBorder="1" applyAlignment="1" applyProtection="1">
      <alignment horizontal="right"/>
      <protection locked="0"/>
    </xf>
    <xf numFmtId="0" fontId="11" fillId="0" borderId="0" xfId="334" applyFont="1" applyFill="1" applyBorder="1" applyAlignment="1">
      <alignment horizontal="right"/>
    </xf>
    <xf numFmtId="0" fontId="7" fillId="0" borderId="0" xfId="334" applyFont="1" applyFill="1" applyBorder="1" applyProtection="1">
      <protection locked="0"/>
    </xf>
    <xf numFmtId="165" fontId="11" fillId="0" borderId="0" xfId="334" applyNumberFormat="1" applyFont="1" applyFill="1" applyBorder="1" applyAlignment="1" applyProtection="1">
      <alignment horizontal="right"/>
      <protection locked="0"/>
    </xf>
    <xf numFmtId="0" fontId="6" fillId="0" borderId="0" xfId="334" applyFont="1" applyFill="1" applyBorder="1" applyProtection="1">
      <protection locked="0"/>
    </xf>
    <xf numFmtId="0" fontId="6" fillId="0" borderId="0" xfId="334" applyFont="1" applyFill="1" applyBorder="1" applyAlignment="1" applyProtection="1">
      <alignment horizontal="left"/>
      <protection locked="0"/>
    </xf>
    <xf numFmtId="0" fontId="6" fillId="0" borderId="4" xfId="334" applyFont="1" applyFill="1" applyBorder="1" applyProtection="1">
      <protection locked="0"/>
    </xf>
    <xf numFmtId="0" fontId="11" fillId="0" borderId="5" xfId="334" applyFont="1" applyFill="1" applyBorder="1" applyAlignment="1" applyProtection="1">
      <alignment horizontal="right"/>
      <protection locked="0"/>
    </xf>
    <xf numFmtId="0" fontId="6" fillId="0" borderId="5" xfId="334" applyFont="1" applyFill="1" applyBorder="1" applyAlignment="1" applyProtection="1">
      <alignment horizontal="left"/>
      <protection locked="0"/>
    </xf>
    <xf numFmtId="0" fontId="11" fillId="0" borderId="5" xfId="334" applyFont="1" applyFill="1" applyBorder="1" applyAlignment="1">
      <alignment horizontal="right"/>
    </xf>
    <xf numFmtId="0" fontId="7" fillId="0" borderId="5" xfId="334" applyFont="1" applyFill="1" applyBorder="1" applyProtection="1">
      <protection locked="0"/>
    </xf>
    <xf numFmtId="165" fontId="11" fillId="0" borderId="5" xfId="334" applyNumberFormat="1" applyFont="1" applyFill="1" applyBorder="1" applyAlignment="1" applyProtection="1">
      <alignment horizontal="right"/>
      <protection locked="0"/>
    </xf>
    <xf numFmtId="0" fontId="6" fillId="0" borderId="5" xfId="334" applyFont="1" applyFill="1" applyBorder="1" applyProtection="1">
      <protection locked="0"/>
    </xf>
    <xf numFmtId="0" fontId="25" fillId="0" borderId="0" xfId="334" applyFont="1" applyFill="1" applyBorder="1"/>
    <xf numFmtId="0" fontId="25" fillId="0" borderId="0" xfId="334" applyFont="1" applyFill="1" applyBorder="1" applyProtection="1">
      <protection locked="0"/>
    </xf>
    <xf numFmtId="0" fontId="22" fillId="0" borderId="0" xfId="334" applyFont="1" applyFill="1" applyBorder="1" applyAlignment="1" applyProtection="1">
      <alignment horizontal="center"/>
      <protection locked="0"/>
    </xf>
    <xf numFmtId="165" fontId="22" fillId="0" borderId="0" xfId="334" applyNumberFormat="1" applyFont="1" applyFill="1" applyBorder="1" applyAlignment="1">
      <alignment horizontal="right"/>
    </xf>
    <xf numFmtId="0" fontId="16" fillId="0" borderId="0" xfId="334" applyFill="1" applyBorder="1"/>
    <xf numFmtId="0" fontId="16" fillId="0" borderId="0" xfId="334" applyFill="1" applyBorder="1" applyAlignment="1">
      <alignment horizontal="right"/>
    </xf>
    <xf numFmtId="0" fontId="22" fillId="0" borderId="0" xfId="334" applyFont="1" applyFill="1" applyBorder="1" applyAlignment="1" applyProtection="1">
      <alignment horizontal="right"/>
      <protection locked="0"/>
    </xf>
    <xf numFmtId="0" fontId="33" fillId="0" borderId="0" xfId="334" applyFont="1" applyFill="1" applyAlignment="1" applyProtection="1">
      <alignment horizontal="center" vertical="center"/>
      <protection locked="0"/>
    </xf>
    <xf numFmtId="0" fontId="16" fillId="0" borderId="0" xfId="334" applyFill="1" applyAlignment="1" applyProtection="1">
      <alignment horizontal="center" vertical="center"/>
      <protection locked="0"/>
    </xf>
    <xf numFmtId="0" fontId="16" fillId="0" borderId="0" xfId="334" applyFill="1" applyAlignment="1" applyProtection="1">
      <alignment horizontal="center"/>
      <protection locked="0"/>
    </xf>
    <xf numFmtId="0" fontId="22" fillId="0" borderId="0" xfId="334" applyFont="1" applyFill="1" applyAlignment="1" applyProtection="1">
      <alignment vertical="center"/>
      <protection locked="0"/>
    </xf>
    <xf numFmtId="0" fontId="16" fillId="0" borderId="0" xfId="334" applyFill="1" applyAlignment="1" applyProtection="1">
      <alignment vertical="center"/>
      <protection locked="0"/>
    </xf>
    <xf numFmtId="167" fontId="0" fillId="0" borderId="0" xfId="0" applyAlignment="1">
      <alignment vertical="center"/>
    </xf>
    <xf numFmtId="0" fontId="6" fillId="0" borderId="5" xfId="334" applyFont="1" applyFill="1" applyBorder="1" applyAlignment="1" applyProtection="1">
      <alignment vertical="center"/>
      <protection locked="0"/>
    </xf>
    <xf numFmtId="0" fontId="22" fillId="0" borderId="0" xfId="334" applyFont="1" applyFill="1" applyBorder="1" applyAlignment="1" applyProtection="1">
      <alignment vertical="center"/>
      <protection locked="0"/>
    </xf>
    <xf numFmtId="49" fontId="6" fillId="0" borderId="5" xfId="334" applyNumberFormat="1" applyFont="1" applyFill="1" applyBorder="1" applyAlignment="1" applyProtection="1">
      <alignment horizontal="left"/>
      <protection locked="0"/>
    </xf>
    <xf numFmtId="167" fontId="75" fillId="0" borderId="24" xfId="0" applyFont="1" applyBorder="1" applyAlignment="1">
      <alignment horizontal="center" vertical="center"/>
    </xf>
    <xf numFmtId="169" fontId="29" fillId="0" borderId="24" xfId="334" applyNumberFormat="1" applyFont="1" applyFill="1" applyBorder="1" applyAlignment="1" applyProtection="1">
      <alignment horizontal="center"/>
      <protection locked="0"/>
    </xf>
    <xf numFmtId="170" fontId="76" fillId="0" borderId="24" xfId="0" applyNumberFormat="1" applyFont="1" applyBorder="1" applyAlignment="1">
      <alignment horizontal="center" vertical="center"/>
    </xf>
    <xf numFmtId="167" fontId="75" fillId="0" borderId="24" xfId="0" applyFont="1" applyFill="1" applyBorder="1" applyAlignment="1">
      <alignment horizontal="center" vertical="center"/>
    </xf>
    <xf numFmtId="0" fontId="22" fillId="0" borderId="2" xfId="334" applyFont="1" applyFill="1" applyBorder="1"/>
    <xf numFmtId="168" fontId="28" fillId="0" borderId="22" xfId="334" applyNumberFormat="1" applyFont="1" applyFill="1" applyBorder="1" applyAlignment="1" applyProtection="1">
      <alignment horizontal="center"/>
      <protection locked="0"/>
    </xf>
    <xf numFmtId="2" fontId="22" fillId="0" borderId="22" xfId="334" applyNumberFormat="1" applyFont="1" applyFill="1" applyBorder="1" applyAlignment="1" applyProtection="1">
      <alignment horizontal="center" vertical="center"/>
      <protection locked="0"/>
    </xf>
    <xf numFmtId="2" fontId="22" fillId="0" borderId="26" xfId="334" applyNumberFormat="1" applyFont="1" applyFill="1" applyBorder="1" applyAlignment="1" applyProtection="1">
      <alignment horizontal="center" vertical="center"/>
      <protection locked="0"/>
    </xf>
    <xf numFmtId="0" fontId="22" fillId="0" borderId="7" xfId="334" applyFont="1" applyFill="1" applyBorder="1" applyAlignment="1" applyProtection="1">
      <alignment horizontal="center"/>
      <protection locked="0"/>
    </xf>
    <xf numFmtId="169" fontId="29" fillId="0" borderId="22" xfId="334" applyNumberFormat="1" applyFont="1" applyFill="1" applyBorder="1" applyAlignment="1" applyProtection="1">
      <alignment horizontal="center"/>
      <protection locked="0"/>
    </xf>
    <xf numFmtId="165" fontId="30" fillId="0" borderId="22" xfId="334" applyNumberFormat="1" applyFont="1" applyFill="1" applyBorder="1"/>
    <xf numFmtId="9" fontId="31" fillId="0" borderId="22" xfId="334" quotePrefix="1" applyNumberFormat="1" applyFont="1" applyFill="1" applyBorder="1" applyAlignment="1">
      <alignment horizontal="center"/>
    </xf>
    <xf numFmtId="9" fontId="31" fillId="0" borderId="22" xfId="334" applyNumberFormat="1" applyFont="1" applyFill="1" applyBorder="1" applyAlignment="1">
      <alignment horizontal="center"/>
    </xf>
    <xf numFmtId="165" fontId="32" fillId="0" borderId="22" xfId="334" applyNumberFormat="1" applyFont="1" applyFill="1" applyBorder="1" applyAlignment="1">
      <alignment horizontal="center"/>
    </xf>
    <xf numFmtId="0" fontId="26" fillId="0" borderId="25" xfId="334" applyFont="1" applyFill="1" applyBorder="1" applyAlignment="1" applyProtection="1">
      <alignment vertical="center"/>
    </xf>
    <xf numFmtId="0" fontId="26" fillId="0" borderId="25" xfId="334" applyFont="1" applyFill="1" applyBorder="1" applyAlignment="1" applyProtection="1">
      <alignment horizontal="centerContinuous"/>
    </xf>
    <xf numFmtId="0" fontId="22" fillId="0" borderId="25" xfId="334" applyFont="1" applyFill="1" applyBorder="1" applyProtection="1"/>
    <xf numFmtId="0" fontId="22" fillId="0" borderId="25" xfId="334" applyFont="1" applyFill="1" applyBorder="1" applyAlignment="1" applyProtection="1">
      <alignment horizontal="center" vertical="center"/>
    </xf>
    <xf numFmtId="0" fontId="26" fillId="0" borderId="25" xfId="334" applyFont="1" applyFill="1" applyBorder="1" applyProtection="1"/>
    <xf numFmtId="0" fontId="22" fillId="0" borderId="25" xfId="334" applyFont="1" applyFill="1" applyBorder="1" applyAlignment="1" applyProtection="1">
      <alignment horizontal="centerContinuous"/>
    </xf>
    <xf numFmtId="0" fontId="26" fillId="0" borderId="25" xfId="334" applyFont="1" applyFill="1" applyBorder="1" applyAlignment="1" applyProtection="1">
      <alignment horizontal="center"/>
    </xf>
    <xf numFmtId="0" fontId="26" fillId="0" borderId="25" xfId="334" applyFont="1" applyFill="1" applyBorder="1" applyAlignment="1" applyProtection="1">
      <alignment horizontal="center" vertical="center"/>
    </xf>
    <xf numFmtId="0" fontId="26" fillId="0" borderId="25" xfId="334" quotePrefix="1" applyFont="1" applyFill="1" applyBorder="1" applyAlignment="1" applyProtection="1">
      <alignment horizontal="center"/>
    </xf>
    <xf numFmtId="0" fontId="27" fillId="0" borderId="25" xfId="334" applyNumberFormat="1" applyFont="1" applyFill="1" applyBorder="1" applyAlignment="1" applyProtection="1">
      <alignment horizontal="center"/>
    </xf>
    <xf numFmtId="0" fontId="26" fillId="0" borderId="25" xfId="334" applyNumberFormat="1" applyFont="1" applyFill="1" applyBorder="1" applyAlignment="1" applyProtection="1">
      <alignment horizontal="center"/>
    </xf>
    <xf numFmtId="168" fontId="28" fillId="0" borderId="25" xfId="334" applyNumberFormat="1" applyFont="1" applyFill="1" applyBorder="1" applyAlignment="1" applyProtection="1">
      <alignment horizontal="center"/>
      <protection locked="0"/>
    </xf>
    <xf numFmtId="0" fontId="22" fillId="0" borderId="25" xfId="334" applyFont="1" applyFill="1" applyBorder="1" applyAlignment="1" applyProtection="1">
      <alignment horizontal="center"/>
      <protection locked="0"/>
    </xf>
    <xf numFmtId="0" fontId="22" fillId="0" borderId="25" xfId="334" applyFont="1" applyFill="1" applyBorder="1" applyAlignment="1" applyProtection="1">
      <alignment horizontal="left" vertical="center" wrapText="1"/>
      <protection locked="0"/>
    </xf>
    <xf numFmtId="2" fontId="22" fillId="0" borderId="25" xfId="334" applyNumberFormat="1" applyFont="1" applyFill="1" applyBorder="1" applyAlignment="1" applyProtection="1">
      <alignment horizontal="center" vertical="center"/>
      <protection locked="0"/>
    </xf>
    <xf numFmtId="169" fontId="29" fillId="0" borderId="25" xfId="334" applyNumberFormat="1" applyFont="1" applyFill="1" applyBorder="1" applyAlignment="1" applyProtection="1">
      <alignment horizontal="center"/>
      <protection locked="0"/>
    </xf>
    <xf numFmtId="165" fontId="30" fillId="0" borderId="25" xfId="334" applyNumberFormat="1" applyFont="1" applyFill="1" applyBorder="1"/>
    <xf numFmtId="9" fontId="31" fillId="0" borderId="25" xfId="334" quotePrefix="1" applyNumberFormat="1" applyFont="1" applyFill="1" applyBorder="1" applyAlignment="1">
      <alignment horizontal="center"/>
    </xf>
    <xf numFmtId="9" fontId="31" fillId="0" borderId="25" xfId="334" applyNumberFormat="1" applyFont="1" applyFill="1" applyBorder="1" applyAlignment="1">
      <alignment horizontal="center"/>
    </xf>
    <xf numFmtId="165" fontId="32" fillId="0" borderId="25" xfId="334" applyNumberFormat="1" applyFont="1" applyFill="1" applyBorder="1" applyAlignment="1">
      <alignment horizontal="center"/>
    </xf>
    <xf numFmtId="0" fontId="22" fillId="0" borderId="25" xfId="334" applyFont="1" applyFill="1" applyBorder="1" applyAlignment="1" applyProtection="1">
      <alignment vertical="center" wrapText="1"/>
      <protection locked="0"/>
    </xf>
    <xf numFmtId="0" fontId="22" fillId="0" borderId="25" xfId="334" applyFont="1" applyFill="1" applyBorder="1" applyAlignment="1" applyProtection="1">
      <alignment wrapText="1"/>
      <protection locked="0"/>
    </xf>
    <xf numFmtId="0" fontId="22" fillId="0" borderId="25" xfId="334" quotePrefix="1" applyNumberFormat="1" applyFont="1" applyFill="1" applyBorder="1" applyAlignment="1" applyProtection="1">
      <alignment horizontal="center"/>
      <protection locked="0"/>
    </xf>
    <xf numFmtId="2" fontId="72" fillId="29" borderId="25" xfId="334" applyNumberFormat="1" applyFont="1" applyFill="1" applyBorder="1" applyAlignment="1" applyProtection="1">
      <alignment horizontal="center" vertical="center"/>
      <protection locked="0"/>
    </xf>
    <xf numFmtId="2" fontId="72" fillId="0" borderId="25" xfId="334" applyNumberFormat="1" applyFont="1" applyFill="1" applyBorder="1" applyAlignment="1" applyProtection="1">
      <alignment horizontal="center" vertical="center"/>
      <protection locked="0"/>
    </xf>
    <xf numFmtId="165" fontId="30" fillId="29" borderId="25" xfId="334" applyNumberFormat="1" applyFont="1" applyFill="1" applyBorder="1"/>
    <xf numFmtId="169" fontId="30" fillId="0" borderId="25" xfId="334" applyNumberFormat="1" applyFont="1" applyFill="1" applyBorder="1" applyAlignment="1" applyProtection="1">
      <alignment vertical="center"/>
      <protection locked="0"/>
    </xf>
    <xf numFmtId="169" fontId="30" fillId="0" borderId="25" xfId="334" applyNumberFormat="1" applyFont="1" applyFill="1" applyBorder="1" applyAlignment="1" applyProtection="1">
      <alignment horizontal="center"/>
      <protection locked="0"/>
    </xf>
    <xf numFmtId="167" fontId="75" fillId="0" borderId="25" xfId="0" applyFont="1" applyBorder="1" applyAlignment="1">
      <alignment horizontal="center" vertical="center"/>
    </xf>
    <xf numFmtId="0" fontId="22" fillId="0" borderId="25" xfId="334" applyFont="1" applyFill="1" applyBorder="1" applyAlignment="1" applyProtection="1">
      <alignment horizontal="left" vertical="center"/>
      <protection locked="0"/>
    </xf>
    <xf numFmtId="167" fontId="75" fillId="0" borderId="25" xfId="0" applyFont="1" applyFill="1" applyBorder="1" applyAlignment="1">
      <alignment horizontal="center" vertical="center"/>
    </xf>
    <xf numFmtId="0" fontId="6" fillId="0" borderId="5" xfId="334" applyFont="1" applyFill="1" applyBorder="1" applyAlignment="1" applyProtection="1">
      <alignment horizontal="left"/>
      <protection locked="0"/>
    </xf>
    <xf numFmtId="0" fontId="24" fillId="0" borderId="6" xfId="334" applyFont="1" applyFill="1" applyBorder="1" applyAlignment="1" applyProtection="1">
      <alignment horizontal="center"/>
      <protection locked="0"/>
    </xf>
    <xf numFmtId="0" fontId="24" fillId="0" borderId="2" xfId="334" applyFont="1" applyFill="1" applyBorder="1" applyAlignment="1" applyProtection="1">
      <alignment horizontal="center"/>
      <protection locked="0"/>
    </xf>
    <xf numFmtId="0" fontId="6" fillId="0" borderId="2" xfId="334" applyFont="1" applyFill="1" applyBorder="1" applyAlignment="1" applyProtection="1">
      <alignment horizontal="left"/>
      <protection locked="0"/>
    </xf>
    <xf numFmtId="0" fontId="26" fillId="0" borderId="25" xfId="334" applyFont="1" applyFill="1" applyBorder="1" applyAlignment="1" applyProtection="1">
      <alignment horizontal="center" vertical="center"/>
    </xf>
    <xf numFmtId="0" fontId="6" fillId="0" borderId="0" xfId="334" applyFont="1" applyFill="1" applyBorder="1" applyAlignment="1" applyProtection="1">
      <alignment horizontal="left"/>
      <protection locked="0"/>
    </xf>
    <xf numFmtId="0" fontId="26" fillId="0" borderId="25" xfId="334" applyFont="1" applyFill="1" applyBorder="1" applyAlignment="1" applyProtection="1">
      <alignment horizontal="center"/>
    </xf>
    <xf numFmtId="0" fontId="6" fillId="0" borderId="5" xfId="334" quotePrefix="1" applyFont="1" applyFill="1" applyBorder="1" applyAlignment="1" applyProtection="1">
      <alignment horizontal="left"/>
      <protection locked="0"/>
    </xf>
    <xf numFmtId="167" fontId="0" fillId="0" borderId="24" xfId="0" applyBorder="1" applyAlignment="1">
      <alignment horizontal="center" vertical="center"/>
    </xf>
    <xf numFmtId="167" fontId="74" fillId="0" borderId="24" xfId="0" applyFont="1" applyBorder="1" applyAlignment="1">
      <alignment horizontal="center" vertical="center"/>
    </xf>
    <xf numFmtId="167" fontId="73" fillId="0" borderId="24" xfId="0" applyFont="1" applyBorder="1" applyAlignment="1">
      <alignment horizontal="center" vertical="center"/>
    </xf>
    <xf numFmtId="167" fontId="73" fillId="0" borderId="23" xfId="0" applyFont="1" applyBorder="1" applyAlignment="1">
      <alignment horizontal="center" vertical="center"/>
    </xf>
  </cellXfs>
  <cellStyles count="1259">
    <cellStyle name="_0036- 技术课表格记录" xfId="944"/>
    <cellStyle name="_0036- 技术课表格记录_品质部表单1" xfId="945"/>
    <cellStyle name="_14739-31-001APQP（1）" xfId="946"/>
    <cellStyle name="_14739-31-001APQP（1）_品质部表单1" xfId="947"/>
    <cellStyle name="_14739-31-001APQP(2)" xfId="948"/>
    <cellStyle name="_14739-31-001APQP(2)_品质部表单1" xfId="949"/>
    <cellStyle name="_14739-31-001APQP(3)" xfId="950"/>
    <cellStyle name="_14739-31-001APQP(3)_品质部表单1" xfId="951"/>
    <cellStyle name="_14739-31-002APQP(1)" xfId="952"/>
    <cellStyle name="_14739-31-002APQP(1)_品质部表单1" xfId="953"/>
    <cellStyle name="_14739-31-002APQP(2)" xfId="954"/>
    <cellStyle name="_14739-31-002APQP(2)_14739-31-001APQP(2)" xfId="955"/>
    <cellStyle name="_14739-31-002APQP(2)_14739-31-001APQP(2)_品质部表单1" xfId="956"/>
    <cellStyle name="_14739-31-002APQP(2)_14739-31-002PPAP" xfId="957"/>
    <cellStyle name="_14739-31-002APQP(2)_14739-31-002PPAP_品质部表单1" xfId="958"/>
    <cellStyle name="_14739-31-002APQP(2)_556-40-001APQP(2)" xfId="959"/>
    <cellStyle name="_14739-31-002APQP(2)_556-40-001APQP(2)_品质部表单1" xfId="960"/>
    <cellStyle name="_14739-31-002APQP(2)_556-40-001PPAP" xfId="961"/>
    <cellStyle name="_14739-31-002APQP(2)_556-40-001PPAP_品质部表单1" xfId="962"/>
    <cellStyle name="_14739-31-002APQP(2)_品质部表单1" xfId="963"/>
    <cellStyle name="_14739-31-002APQP(3)" xfId="964"/>
    <cellStyle name="_14739-31-002APQP(3)_品质部表单1" xfId="965"/>
    <cellStyle name="_14739-31-002PPAP" xfId="966"/>
    <cellStyle name="_14739-31-002PPAP_品质部表单1" xfId="967"/>
    <cellStyle name="_14739-31-002作业指导书" xfId="968"/>
    <cellStyle name="_14739-31-002作业指导书_品质部表单1" xfId="969"/>
    <cellStyle name="_556-40-001APQP(1)" xfId="970"/>
    <cellStyle name="_556-40-001APQP(1)_品质部表单1" xfId="971"/>
    <cellStyle name="_556-40-001APQP(2)" xfId="972"/>
    <cellStyle name="_556-40-001APQP(2)_品质部表单1" xfId="973"/>
    <cellStyle name="_556-40-001PPAP" xfId="974"/>
    <cellStyle name="_556-40-001PPAP_品质部表单1" xfId="975"/>
    <cellStyle name="_703-45-001APQP(1)" xfId="976"/>
    <cellStyle name="_703-45-001APQP(1)_品质部表单1" xfId="977"/>
    <cellStyle name="_703-45-001PPAP" xfId="978"/>
    <cellStyle name="_703-45-001PPAP_品质部表单1" xfId="979"/>
    <cellStyle name="_9789BOM表" xfId="980"/>
    <cellStyle name="_9789BOM表_品质部表单1" xfId="981"/>
    <cellStyle name="_A088B-10格吸塑盒（金利昌）" xfId="982"/>
    <cellStyle name="_A088B-10格吸塑盒（金利昌）_品质部表单1" xfId="983"/>
    <cellStyle name="_APQP 标准化格式" xfId="984"/>
    <cellStyle name="_APQP 标准化格式_品质部表单1" xfId="985"/>
    <cellStyle name="_BOM" xfId="986"/>
    <cellStyle name="_BOM_品质部表单1" xfId="987"/>
    <cellStyle name="_BOM表" xfId="988"/>
    <cellStyle name="_BOM表_品质部表单1" xfId="989"/>
    <cellStyle name="_CTS项目703-45-001.APQP" xfId="990"/>
    <cellStyle name="_CTS项目703-45-001.APQP_品质部表单1" xfId="991"/>
    <cellStyle name="_Drafting Note about New Product新产品立项书" xfId="992"/>
    <cellStyle name="_Drafting Note about New Product新产品立项书_品质部表单1" xfId="993"/>
    <cellStyle name="_ET_STYLE_NoName_00_" xfId="994"/>
    <cellStyle name="_ET_STYLE_NoName_00__7S问题项改善报告" xfId="995"/>
    <cellStyle name="_Factory Disposal Map场地平面布置图" xfId="996"/>
    <cellStyle name="_Factory Disposal Map场地平面布置图_品质部表单1" xfId="997"/>
    <cellStyle name="_GM9789APQP" xfId="998"/>
    <cellStyle name="_GM9789APQP（1）" xfId="999"/>
    <cellStyle name="_GM9789APQP（1）_品质部表单1" xfId="1000"/>
    <cellStyle name="_GM9789APQP(2)" xfId="1001"/>
    <cellStyle name="_GM9789APQP(2)_品质部表单1" xfId="1002"/>
    <cellStyle name="_GM9789APQP_品质部表单1" xfId="1003"/>
    <cellStyle name="_GMEFM-ISO-0031-A 产品环保符合性确认表2008-11-26" xfId="1004"/>
    <cellStyle name="_GMEFM-ISO-0037-A.XXXX年XX部-课管理评审报告2008-10-22" xfId="1005"/>
    <cellStyle name="_ISO表格记录" xfId="1006"/>
    <cellStyle name="_ISO表格记录_品质部表单1" xfId="1007"/>
    <cellStyle name="_KOD054 GRR" xfId="1008"/>
    <cellStyle name="_KOD090  GRR" xfId="1009"/>
    <cellStyle name="_KOD090-100R01.2 LOWER PAPER GUIDE FAI DV3 06.08.08" xfId="1010"/>
    <cellStyle name="_KOD090-100R01.2 LOWER PAPER GUIDE FAI DV3 06.08.08_品质部表单1" xfId="1011"/>
    <cellStyle name="_产品和过程特殊特性的初始清单" xfId="1013"/>
    <cellStyle name="_产品和过程特殊特性的初始清单_品质部表单1" xfId="1014"/>
    <cellStyle name="_关键设备易损件清单" xfId="1023"/>
    <cellStyle name="_关键设备易损件清单_品质部表单1" xfId="1024"/>
    <cellStyle name="_分供应商清单-受控空表 (2)" xfId="1017"/>
    <cellStyle name="_分供应商清单-受控空表 (2)_品质部表单1" xfId="1018"/>
    <cellStyle name="_客户样板批准报告" xfId="1026"/>
    <cellStyle name="_客户设计检讨回应" xfId="1025"/>
    <cellStyle name="_工模加工设备清单" xfId="1021"/>
    <cellStyle name="_工模加工设备清单_品质部表单1" xfId="1022"/>
    <cellStyle name="_工程样板提交检查表" xfId="1020"/>
    <cellStyle name="_干燥周期检查表" xfId="1019"/>
    <cellStyle name="_承认文" xfId="1015"/>
    <cellStyle name="_承认文_品质部表单1" xfId="1016"/>
    <cellStyle name="_料房设备周点检表" xfId="1027"/>
    <cellStyle name="_新增设备、工装和模具配置计划" xfId="1032"/>
    <cellStyle name="_注塑课表格记录2009-6" xfId="1034"/>
    <cellStyle name="_注塑部表单" xfId="1033"/>
    <cellStyle name="_测量仪器点检表" xfId="1012"/>
    <cellStyle name="_特殊特性清单 (2)" xfId="1028"/>
    <cellStyle name="_特殊特性清单 (2)_品质部表单1" xfId="1029"/>
    <cellStyle name="_特殊特性清单1" xfId="1030"/>
    <cellStyle name="_特殊特性清单1_品质部表单1" xfId="1031"/>
    <cellStyle name="¤@¯ë_plastic_1" xfId="1035"/>
    <cellStyle name="0,0_x000d__x000a_NA_x000d__x000a_" xfId="1036"/>
    <cellStyle name="20% - 强调文字颜色 1 2" xfId="1037"/>
    <cellStyle name="20% - 强调文字颜色 2 2" xfId="1038"/>
    <cellStyle name="20% - 强调文字颜色 3 2" xfId="1039"/>
    <cellStyle name="20% - 强调文字颜色 4 2" xfId="1040"/>
    <cellStyle name="20% - 强调文字颜色 5 2" xfId="1041"/>
    <cellStyle name="20% - 强调文字颜色 6 2" xfId="1042"/>
    <cellStyle name="40% - 强调文字颜色 1 2" xfId="1043"/>
    <cellStyle name="40% - 强调文字颜色 2 2" xfId="1044"/>
    <cellStyle name="40% - 强调文字颜色 3 2" xfId="1045"/>
    <cellStyle name="40% - 强调文字颜色 4 2" xfId="1046"/>
    <cellStyle name="40% - 强调文字颜色 5 2" xfId="1047"/>
    <cellStyle name="40% - 强调文字颜色 6 2" xfId="1048"/>
    <cellStyle name="60% - 强调文字颜色 1 2" xfId="1049"/>
    <cellStyle name="60% - 强调文字颜色 2 2" xfId="1050"/>
    <cellStyle name="60% - 强调文字颜色 3 2" xfId="1051"/>
    <cellStyle name="60% - 强调文字颜色 4 2" xfId="1052"/>
    <cellStyle name="60% - 强调文字颜色 5 2" xfId="1053"/>
    <cellStyle name="60% - 强调文字颜色 6 2" xfId="1054"/>
    <cellStyle name="A4 Small 210 x 297 mm" xfId="1055"/>
    <cellStyle name="Actual Date" xfId="1056"/>
    <cellStyle name="args.style" xfId="1057"/>
    <cellStyle name="Calc Currency (0)" xfId="1058"/>
    <cellStyle name="Calc Currency (2)" xfId="1059"/>
    <cellStyle name="Calc Percent (0)" xfId="1060"/>
    <cellStyle name="Calc Percent (1)" xfId="1061"/>
    <cellStyle name="Calc Percent (2)" xfId="1062"/>
    <cellStyle name="Calc Units (0)" xfId="1063"/>
    <cellStyle name="Calc Units (1)" xfId="1064"/>
    <cellStyle name="Calc Units (2)" xfId="1065"/>
    <cellStyle name="category" xfId="1066"/>
    <cellStyle name="Comma [00]" xfId="1067"/>
    <cellStyle name="Comma 2" xfId="306"/>
    <cellStyle name="comma zerodec" xfId="1068"/>
    <cellStyle name="Copied" xfId="1069"/>
    <cellStyle name="Currency [00]" xfId="1070"/>
    <cellStyle name="DATE" xfId="1071"/>
    <cellStyle name="Date Short" xfId="1072"/>
    <cellStyle name="DELTA" xfId="1073"/>
    <cellStyle name="Enter Currency (0)" xfId="1074"/>
    <cellStyle name="Enter Currency (2)" xfId="1075"/>
    <cellStyle name="Enter Units (0)" xfId="1076"/>
    <cellStyle name="Enter Units (1)" xfId="1077"/>
    <cellStyle name="Enter Units (2)" xfId="1078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302" builtinId="9" hidden="1"/>
    <cellStyle name="Followed Hyperlink" xfId="304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6" builtinId="9" hidden="1"/>
    <cellStyle name="Followed Hyperlink" xfId="338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Grey" xfId="1079"/>
    <cellStyle name="Header1" xfId="1080"/>
    <cellStyle name="Header2" xfId="1081"/>
    <cellStyle name="Hyperlink" xfId="2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301" builtinId="8" hidden="1"/>
    <cellStyle name="Hyperlink" xfId="303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5" builtinId="8" hidden="1"/>
    <cellStyle name="Hyperlink" xfId="337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Input [yellow]" xfId="1082"/>
    <cellStyle name="Link Currency (0)" xfId="1083"/>
    <cellStyle name="Link Currency (2)" xfId="1084"/>
    <cellStyle name="Link Units (0)" xfId="1085"/>
    <cellStyle name="Link Units (1)" xfId="1086"/>
    <cellStyle name="Link Units (2)" xfId="1087"/>
    <cellStyle name="Moeda [0]_kinslayer" xfId="1088"/>
    <cellStyle name="Moeda_kinslayer" xfId="1089"/>
    <cellStyle name="Neutral 2" xfId="307"/>
    <cellStyle name="Neutral 2 2" xfId="308"/>
    <cellStyle name="Neutral 2 3" xfId="340"/>
    <cellStyle name="Neutral 3" xfId="309"/>
    <cellStyle name="no dec" xfId="1090"/>
    <cellStyle name="Normal" xfId="0" builtinId="0"/>
    <cellStyle name="Normal - Style1" xfId="1091"/>
    <cellStyle name="Normal 2" xfId="96"/>
    <cellStyle name="Normal 2 10" xfId="95"/>
    <cellStyle name="Normal 2 11" xfId="243"/>
    <cellStyle name="Normal 2 12" xfId="310"/>
    <cellStyle name="Normal 2 13" xfId="334"/>
    <cellStyle name="Normal 2 13 2" xfId="1258"/>
    <cellStyle name="Normal 2 2" xfId="97"/>
    <cellStyle name="Normal 2 2 2" xfId="311"/>
    <cellStyle name="Normal 2 2 2 16" xfId="240"/>
    <cellStyle name="Normal 2 3" xfId="98"/>
    <cellStyle name="Normal 2 4" xfId="99"/>
    <cellStyle name="Normal 2 5" xfId="100"/>
    <cellStyle name="Normal 2 6" xfId="101"/>
    <cellStyle name="Normal 2 6 2" xfId="102"/>
    <cellStyle name="Normal 2 6 3" xfId="103"/>
    <cellStyle name="Normal 2 6 4" xfId="104"/>
    <cellStyle name="Normal 2 6 5" xfId="105"/>
    <cellStyle name="Normal 2 6 6" xfId="106"/>
    <cellStyle name="Normal 2 6 7" xfId="107"/>
    <cellStyle name="Normal 2 6 8" xfId="108"/>
    <cellStyle name="Normal 2 6 9" xfId="109"/>
    <cellStyle name="Normal 2 7" xfId="110"/>
    <cellStyle name="Normal 2 7 2" xfId="111"/>
    <cellStyle name="Normal 2 7 3" xfId="112"/>
    <cellStyle name="Normal 2 7 4" xfId="113"/>
    <cellStyle name="Normal 2 7 5" xfId="114"/>
    <cellStyle name="Normal 2 7 6" xfId="115"/>
    <cellStyle name="Normal 2 7 7" xfId="116"/>
    <cellStyle name="Normal 2 7 8" xfId="117"/>
    <cellStyle name="Normal 2 7 9" xfId="118"/>
    <cellStyle name="Normal 2 8" xfId="119"/>
    <cellStyle name="Normal 2 8 2" xfId="120"/>
    <cellStyle name="Normal 2 8 3" xfId="121"/>
    <cellStyle name="Normal 2 8 4" xfId="122"/>
    <cellStyle name="Normal 2 8 5" xfId="123"/>
    <cellStyle name="Normal 2 8 6" xfId="124"/>
    <cellStyle name="Normal 2 8 7" xfId="125"/>
    <cellStyle name="Normal 2 8 8" xfId="126"/>
    <cellStyle name="Normal 2 8 9" xfId="127"/>
    <cellStyle name="Normal 2 9" xfId="128"/>
    <cellStyle name="Normal 2 9 2" xfId="129"/>
    <cellStyle name="Normal 2 9 3" xfId="130"/>
    <cellStyle name="Normal 2 9 4" xfId="131"/>
    <cellStyle name="Normal 2 9 5" xfId="132"/>
    <cellStyle name="Normal 2 9 6" xfId="133"/>
    <cellStyle name="Normal 2 9 7" xfId="134"/>
    <cellStyle name="Normal 2 9 8" xfId="135"/>
    <cellStyle name="Normal 2 9 9" xfId="136"/>
    <cellStyle name="Normal 3" xfId="312"/>
    <cellStyle name="Normal 3 2" xfId="313"/>
    <cellStyle name="Œ…‹æØ‚è [0.00]_laroux" xfId="1092"/>
    <cellStyle name="Œ…‹æØ‚è_laroux" xfId="1093"/>
    <cellStyle name="Percent [0]" xfId="1094"/>
    <cellStyle name="Percent [00]" xfId="1095"/>
    <cellStyle name="Percent [2]" xfId="1096"/>
    <cellStyle name="Percent 2" xfId="244"/>
    <cellStyle name="PrePop Currency (0)" xfId="1097"/>
    <cellStyle name="PrePop Currency (2)" xfId="1098"/>
    <cellStyle name="PrePop Units (0)" xfId="1099"/>
    <cellStyle name="PrePop Units (1)" xfId="1100"/>
    <cellStyle name="PrePop Units (2)" xfId="1101"/>
    <cellStyle name="RowLevel_0" xfId="1102"/>
    <cellStyle name="Text Indent A" xfId="1103"/>
    <cellStyle name="Text Indent B" xfId="1104"/>
    <cellStyle name="Text Indent C" xfId="1105"/>
    <cellStyle name="표준_HD-802생기0423_1_802Hpl" xfId="1253"/>
    <cellStyle name="一般 2" xfId="247"/>
    <cellStyle name="一般_(B167)-(CAP_7)-Cpk-0427-WSJF1202402" xfId="245"/>
    <cellStyle name="千分位[0]_981117b" xfId="1238"/>
    <cellStyle name="千分位_981117b" xfId="1239"/>
    <cellStyle name="好 2" xfId="1173"/>
    <cellStyle name="好_0004-0005.SAP付款申请表和采购申请表A 2007-12-21" xfId="1174"/>
    <cellStyle name="好_0004-0005.SAP付款申请表和采购申请表A 2007-12-21_7S问题项改善报告" xfId="1175"/>
    <cellStyle name="好_0004-0005.SAP付款申请表和采购申请表A 2007-12-21_品质一二课整合的表单20090421" xfId="1177"/>
    <cellStyle name="好_0004-0005.SAP付款申请表和采购申请表A 2007-12-21_品质一二课整合的表单20090421_7S问题项改善报告" xfId="1178"/>
    <cellStyle name="好_0004-0005.SAP付款申请表和采购申请表A 2007-12-21_品质一二课整合的表单20090421_品质课表格记录2" xfId="1183"/>
    <cellStyle name="好_0004-0005.SAP付款申请表和采购申请表A 2007-12-21_品质一二课整合的表单20090421_品质课表格记录2_7S问题项改善报告" xfId="1184"/>
    <cellStyle name="好_0004-0005.SAP付款申请表和采购申请表A 2007-12-21_品质一二课整合的表单20090421_品质课表格记录2_品质部表单1" xfId="1185"/>
    <cellStyle name="好_0004-0005.SAP付款申请表和采购申请表A 2007-12-21_品质一二课整合的表单20090421_品质部表单1" xfId="1179"/>
    <cellStyle name="好_0004-0005.SAP付款申请表和采购申请表A 2007-12-21_品质一二课整合的表单20090421_品质部表格记录2" xfId="1180"/>
    <cellStyle name="好_0004-0005.SAP付款申请表和采购申请表A 2007-12-21_品质一二课整合的表单20090421_品质部表格记录2_7S问题项改善报告" xfId="1181"/>
    <cellStyle name="好_0004-0005.SAP付款申请表和采购申请表A 2007-12-21_品质一二课整合的表单20090421_品质部表格记录2_品质部表单1" xfId="1182"/>
    <cellStyle name="好_0004-0005.SAP付款申请表和采购申请表A 2007-12-21_品质一二课整合的表单20090421_注塑首件尾件检验报告（修订后）" xfId="1186"/>
    <cellStyle name="好_0004-0005.SAP付款申请表和采购申请表A 2007-12-21_品质一二课整合的表单20090421_注塑首件尾件检验报告（修订后）_7S问题项改善报告" xfId="1187"/>
    <cellStyle name="好_0004-0005.SAP付款申请表和采购申请表A 2007-12-21_品质一二课整合的表单20090421_注塑首件尾件检验报告（修订后）_品质部表单1" xfId="1188"/>
    <cellStyle name="好_0004-0005.SAP付款申请表和采购申请表A 2007-12-21_品质部表单1" xfId="1176"/>
    <cellStyle name="好_01.品质异常反馈单" xfId="1189"/>
    <cellStyle name="好_2016年6月稽核报告（誉嘉）" xfId="1190"/>
    <cellStyle name="好_2016年度质量目标统计情况" xfId="1191"/>
    <cellStyle name="好_3.各车间7S检查总表" xfId="1192"/>
    <cellStyle name="好_7S问题项改善报告" xfId="1193"/>
    <cellStyle name="好_A088B-10格吸塑盒（金利昌）" xfId="1194"/>
    <cellStyle name="好_A088B-10格吸塑盒（金利昌）_7S问题项改善报告" xfId="1195"/>
    <cellStyle name="好_A088B-10格吸塑盒（金利昌）_品质部表单1" xfId="1196"/>
    <cellStyle name="好_FAI报告空白格式" xfId="1197"/>
    <cellStyle name="好_QA-8D报告" xfId="1198"/>
    <cellStyle name="好_丝喷部喷涂工艺记录表" xfId="1223"/>
    <cellStyle name="好_会议记录(1)" xfId="1204"/>
    <cellStyle name="好_供应商来料返工记录表" xfId="1203"/>
    <cellStyle name="好_副本QA-8D报告(1)" xfId="1202"/>
    <cellStyle name="好_品质一二课整合的表单20090421" xfId="1210"/>
    <cellStyle name="好_品质一二课整合的表单20090421_7S问题项改善报告" xfId="1211"/>
    <cellStyle name="好_品质一二课整合的表单20090421_品质课表格记录2" xfId="1216"/>
    <cellStyle name="好_品质一二课整合的表单20090421_品质课表格记录2_7S问题项改善报告" xfId="1217"/>
    <cellStyle name="好_品质一二课整合的表单20090421_品质课表格记录2_品质部表单1" xfId="1218"/>
    <cellStyle name="好_品质一二课整合的表单20090421_品质部表单1" xfId="1212"/>
    <cellStyle name="好_品质一二课整合的表单20090421_品质部表格记录2" xfId="1213"/>
    <cellStyle name="好_品质一二课整合的表单20090421_品质部表格记录2_7S问题项改善报告" xfId="1214"/>
    <cellStyle name="好_品质一二课整合的表单20090421_品质部表格记录2_品质部表单1" xfId="1215"/>
    <cellStyle name="好_品质一二课整合的表单20090421_注塑首件尾件检验报告（修订后）" xfId="1219"/>
    <cellStyle name="好_品质一二课整合的表单20090421_注塑首件尾件检验报告（修订后）_7S问题项改善报告" xfId="1220"/>
    <cellStyle name="好_品质一二课整合的表单20090421_注塑首件尾件检验报告（修订后）_品质部表单1" xfId="1221"/>
    <cellStyle name="好_品质部表单1" xfId="1206"/>
    <cellStyle name="好_品质部表单2" xfId="1207"/>
    <cellStyle name="好_品质部表单3（81-149）" xfId="1208"/>
    <cellStyle name="好_品质部表单4（150-）" xfId="1209"/>
    <cellStyle name="好_客户投诉汇总表" xfId="1205"/>
    <cellStyle name="好_承认文" xfId="1199"/>
    <cellStyle name="好_承认文_7S问题项改善报告" xfId="1200"/>
    <cellStyle name="好_承认文_品质部表单1" xfId="1201"/>
    <cellStyle name="好_熔融指数测试报告" xfId="1222"/>
    <cellStyle name="好_组装热熔CTQ点检表" xfId="1225"/>
    <cellStyle name="好_自动线烤炉温度检查表" xfId="1224"/>
    <cellStyle name="差 2" xfId="1112"/>
    <cellStyle name="差_0004-0005.SAP付款申请表和采购申请表A 2007-12-21" xfId="1113"/>
    <cellStyle name="差_0004-0005.SAP付款申请表和采购申请表A 2007-12-21_7S问题项改善报告" xfId="1114"/>
    <cellStyle name="差_0004-0005.SAP付款申请表和采购申请表A 2007-12-21_品质一二课整合的表单20090421" xfId="1116"/>
    <cellStyle name="差_0004-0005.SAP付款申请表和采购申请表A 2007-12-21_品质一二课整合的表单20090421_7S问题项改善报告" xfId="1117"/>
    <cellStyle name="差_0004-0005.SAP付款申请表和采购申请表A 2007-12-21_品质一二课整合的表单20090421_品质课表格记录2" xfId="1122"/>
    <cellStyle name="差_0004-0005.SAP付款申请表和采购申请表A 2007-12-21_品质一二课整合的表单20090421_品质课表格记录2_7S问题项改善报告" xfId="1123"/>
    <cellStyle name="差_0004-0005.SAP付款申请表和采购申请表A 2007-12-21_品质一二课整合的表单20090421_品质课表格记录2_品质部表单1" xfId="1124"/>
    <cellStyle name="差_0004-0005.SAP付款申请表和采购申请表A 2007-12-21_品质一二课整合的表单20090421_品质部表单1" xfId="1118"/>
    <cellStyle name="差_0004-0005.SAP付款申请表和采购申请表A 2007-12-21_品质一二课整合的表单20090421_品质部表格记录2" xfId="1119"/>
    <cellStyle name="差_0004-0005.SAP付款申请表和采购申请表A 2007-12-21_品质一二课整合的表单20090421_品质部表格记录2_7S问题项改善报告" xfId="1120"/>
    <cellStyle name="差_0004-0005.SAP付款申请表和采购申请表A 2007-12-21_品质一二课整合的表单20090421_品质部表格记录2_品质部表单1" xfId="1121"/>
    <cellStyle name="差_0004-0005.SAP付款申请表和采购申请表A 2007-12-21_品质一二课整合的表单20090421_注塑首件尾件检验报告（修订后）" xfId="1125"/>
    <cellStyle name="差_0004-0005.SAP付款申请表和采购申请表A 2007-12-21_品质一二课整合的表单20090421_注塑首件尾件检验报告（修订后）_7S问题项改善报告" xfId="1126"/>
    <cellStyle name="差_0004-0005.SAP付款申请表和采购申请表A 2007-12-21_品质一二课整合的表单20090421_注塑首件尾件检验报告（修订后）_品质部表单1" xfId="1127"/>
    <cellStyle name="差_0004-0005.SAP付款申请表和采购申请表A 2007-12-21_品质部表单1" xfId="1115"/>
    <cellStyle name="差_01.品质异常反馈单" xfId="1128"/>
    <cellStyle name="差_2016年6月稽核报告（誉嘉）" xfId="1129"/>
    <cellStyle name="差_2016年度质量目标统计情况" xfId="1130"/>
    <cellStyle name="差_3.各车间7S检查总表" xfId="1131"/>
    <cellStyle name="差_7S问题项改善报告" xfId="1132"/>
    <cellStyle name="差_A088B-10格吸塑盒（金利昌）" xfId="1133"/>
    <cellStyle name="差_A088B-10格吸塑盒（金利昌）_7S问题项改善报告" xfId="1134"/>
    <cellStyle name="差_A088B-10格吸塑盒（金利昌）_品质部表单1" xfId="1135"/>
    <cellStyle name="差_FAI报告空白格式" xfId="1136"/>
    <cellStyle name="差_QA-8D报告" xfId="1137"/>
    <cellStyle name="差_丝喷部喷涂工艺记录表" xfId="1162"/>
    <cellStyle name="差_会议记录(1)" xfId="1143"/>
    <cellStyle name="差_供应商来料返工记录表" xfId="1142"/>
    <cellStyle name="差_副本QA-8D报告(1)" xfId="1141"/>
    <cellStyle name="差_品质一二课整合的表单20090421" xfId="1149"/>
    <cellStyle name="差_品质一二课整合的表单20090421_7S问题项改善报告" xfId="1150"/>
    <cellStyle name="差_品质一二课整合的表单20090421_品质课表格记录2" xfId="1155"/>
    <cellStyle name="差_品质一二课整合的表单20090421_品质课表格记录2_7S问题项改善报告" xfId="1156"/>
    <cellStyle name="差_品质一二课整合的表单20090421_品质课表格记录2_品质部表单1" xfId="1157"/>
    <cellStyle name="差_品质一二课整合的表单20090421_品质部表单1" xfId="1151"/>
    <cellStyle name="差_品质一二课整合的表单20090421_品质部表格记录2" xfId="1152"/>
    <cellStyle name="差_品质一二课整合的表单20090421_品质部表格记录2_7S问题项改善报告" xfId="1153"/>
    <cellStyle name="差_品质一二课整合的表单20090421_品质部表格记录2_品质部表单1" xfId="1154"/>
    <cellStyle name="差_品质一二课整合的表单20090421_注塑首件尾件检验报告（修订后）" xfId="1158"/>
    <cellStyle name="差_品质一二课整合的表单20090421_注塑首件尾件检验报告（修订后）_7S问题项改善报告" xfId="1159"/>
    <cellStyle name="差_品质一二课整合的表单20090421_注塑首件尾件检验报告（修订后）_品质部表单1" xfId="1160"/>
    <cellStyle name="差_品质部表单1" xfId="1145"/>
    <cellStyle name="差_品质部表单2" xfId="1146"/>
    <cellStyle name="差_品质部表单3（81-149）" xfId="1147"/>
    <cellStyle name="差_品质部表单4（150-）" xfId="1148"/>
    <cellStyle name="差_客户投诉汇总表" xfId="1144"/>
    <cellStyle name="差_承认文" xfId="1138"/>
    <cellStyle name="差_承认文_7S问题项改善报告" xfId="1139"/>
    <cellStyle name="差_承认文_品质部表单1" xfId="1140"/>
    <cellStyle name="差_熔融指数测试报告" xfId="1161"/>
    <cellStyle name="差_组装热熔CTQ点检表" xfId="1164"/>
    <cellStyle name="差_自动线烤炉温度检查表" xfId="1163"/>
    <cellStyle name="常规 10" xfId="314"/>
    <cellStyle name="常规 10 2" xfId="942"/>
    <cellStyle name="常规 10 3" xfId="1257"/>
    <cellStyle name="常规 10 4" xfId="938"/>
    <cellStyle name="常规 11" xfId="943"/>
    <cellStyle name="常规 11 2" xfId="142"/>
    <cellStyle name="常规 11 3" xfId="143"/>
    <cellStyle name="常规 11 4" xfId="144"/>
    <cellStyle name="常规 11 5" xfId="145"/>
    <cellStyle name="常规 11 6" xfId="146"/>
    <cellStyle name="常规 11 7" xfId="147"/>
    <cellStyle name="常规 11 8" xfId="148"/>
    <cellStyle name="常规 11 9" xfId="149"/>
    <cellStyle name="常规 12 2" xfId="150"/>
    <cellStyle name="常规 12 3" xfId="151"/>
    <cellStyle name="常规 12 4" xfId="152"/>
    <cellStyle name="常规 12 5" xfId="153"/>
    <cellStyle name="常规 12 6" xfId="154"/>
    <cellStyle name="常规 12 7" xfId="155"/>
    <cellStyle name="常规 12 8" xfId="156"/>
    <cellStyle name="常规 12 9" xfId="157"/>
    <cellStyle name="常规 13 2" xfId="158"/>
    <cellStyle name="常规 13 3" xfId="159"/>
    <cellStyle name="常规 13 4" xfId="160"/>
    <cellStyle name="常规 13 5" xfId="161"/>
    <cellStyle name="常规 13 6" xfId="162"/>
    <cellStyle name="常规 13 7" xfId="163"/>
    <cellStyle name="常规 13 8" xfId="164"/>
    <cellStyle name="常规 13 9" xfId="165"/>
    <cellStyle name="常规 14" xfId="315"/>
    <cellStyle name="常规 14 2" xfId="166"/>
    <cellStyle name="常规 14 3" xfId="167"/>
    <cellStyle name="常规 14 4" xfId="168"/>
    <cellStyle name="常规 14 5" xfId="169"/>
    <cellStyle name="常规 14 6" xfId="170"/>
    <cellStyle name="常规 14 7" xfId="171"/>
    <cellStyle name="常规 14 8" xfId="172"/>
    <cellStyle name="常规 14 9" xfId="173"/>
    <cellStyle name="常规 15" xfId="316"/>
    <cellStyle name="常规 16" xfId="317"/>
    <cellStyle name="常规 2" xfId="94"/>
    <cellStyle name="常规 2 10" xfId="174"/>
    <cellStyle name="常规 2 11" xfId="175"/>
    <cellStyle name="常规 2 12" xfId="176"/>
    <cellStyle name="常规 2 13" xfId="1165"/>
    <cellStyle name="常规 2 2" xfId="177"/>
    <cellStyle name="常规 2 3" xfId="178"/>
    <cellStyle name="常规 2 4" xfId="179"/>
    <cellStyle name="常规 2 5" xfId="180"/>
    <cellStyle name="常规 2 6" xfId="181"/>
    <cellStyle name="常规 2 7" xfId="182"/>
    <cellStyle name="常规 2 8" xfId="183"/>
    <cellStyle name="常规 2 9" xfId="184"/>
    <cellStyle name="常规 3" xfId="185"/>
    <cellStyle name="常规 3 10" xfId="186"/>
    <cellStyle name="常规 3 11" xfId="187"/>
    <cellStyle name="常规 3 12" xfId="305"/>
    <cellStyle name="常规 3 13" xfId="1166"/>
    <cellStyle name="常规 3 2" xfId="188"/>
    <cellStyle name="常规 3 3" xfId="189"/>
    <cellStyle name="常规 3 4" xfId="190"/>
    <cellStyle name="常规 3 5" xfId="191"/>
    <cellStyle name="常规 3 6" xfId="192"/>
    <cellStyle name="常规 3 7" xfId="193"/>
    <cellStyle name="常规 3 8" xfId="194"/>
    <cellStyle name="常规 3 9" xfId="195"/>
    <cellStyle name="常规 4" xfId="241"/>
    <cellStyle name="常规 4 2" xfId="298"/>
    <cellStyle name="常规 4 2 2" xfId="939"/>
    <cellStyle name="常规 4 2 3" xfId="1254"/>
    <cellStyle name="常规 4 2 4" xfId="935"/>
    <cellStyle name="常规 4 3" xfId="299"/>
    <cellStyle name="常规 4 3 2" xfId="940"/>
    <cellStyle name="常规 4 3 3" xfId="1255"/>
    <cellStyle name="常规 4 3 4" xfId="936"/>
    <cellStyle name="常规 4 4" xfId="300"/>
    <cellStyle name="常规 4 4 2" xfId="941"/>
    <cellStyle name="常规 4 4 3" xfId="1256"/>
    <cellStyle name="常规 4 4 4" xfId="937"/>
    <cellStyle name="常规 4 5" xfId="1167"/>
    <cellStyle name="常规 5" xfId="196"/>
    <cellStyle name="常规 5 10" xfId="197"/>
    <cellStyle name="常规 5 11" xfId="198"/>
    <cellStyle name="常规 5 12" xfId="1168"/>
    <cellStyle name="常规 5 2" xfId="199"/>
    <cellStyle name="常规 5 3" xfId="200"/>
    <cellStyle name="常规 5 4" xfId="201"/>
    <cellStyle name="常规 5 5" xfId="202"/>
    <cellStyle name="常规 5 6" xfId="203"/>
    <cellStyle name="常规 5 7" xfId="204"/>
    <cellStyle name="常规 5 8" xfId="205"/>
    <cellStyle name="常规 5 9" xfId="206"/>
    <cellStyle name="常规 6" xfId="207"/>
    <cellStyle name="常规 6 10" xfId="208"/>
    <cellStyle name="常规 6 11" xfId="209"/>
    <cellStyle name="常规 6 12" xfId="1169"/>
    <cellStyle name="常规 6 2" xfId="210"/>
    <cellStyle name="常规 6 3" xfId="211"/>
    <cellStyle name="常规 6 4" xfId="212"/>
    <cellStyle name="常规 6 5" xfId="213"/>
    <cellStyle name="常规 6 6" xfId="214"/>
    <cellStyle name="常规 6 7" xfId="215"/>
    <cellStyle name="常规 6 8" xfId="216"/>
    <cellStyle name="常规 6 9" xfId="217"/>
    <cellStyle name="常规 7" xfId="218"/>
    <cellStyle name="常规 7 10" xfId="219"/>
    <cellStyle name="常规 7 11" xfId="220"/>
    <cellStyle name="常规 7 12" xfId="1170"/>
    <cellStyle name="常规 7 2" xfId="221"/>
    <cellStyle name="常规 7 3" xfId="222"/>
    <cellStyle name="常规 7 4" xfId="223"/>
    <cellStyle name="常规 7 5" xfId="224"/>
    <cellStyle name="常规 7 6" xfId="225"/>
    <cellStyle name="常规 7 7" xfId="226"/>
    <cellStyle name="常规 7 8" xfId="227"/>
    <cellStyle name="常规 7 9" xfId="228"/>
    <cellStyle name="常规 8" xfId="229"/>
    <cellStyle name="常规 8 10" xfId="230"/>
    <cellStyle name="常规 8 11" xfId="231"/>
    <cellStyle name="常规 8 12" xfId="1171"/>
    <cellStyle name="常规 8 2" xfId="232"/>
    <cellStyle name="常规 8 3" xfId="233"/>
    <cellStyle name="常规 8 4" xfId="234"/>
    <cellStyle name="常规 8 5" xfId="235"/>
    <cellStyle name="常规 8 6" xfId="236"/>
    <cellStyle name="常规 8 7" xfId="237"/>
    <cellStyle name="常规 8 8" xfId="238"/>
    <cellStyle name="常规 8 9" xfId="239"/>
    <cellStyle name="常规 9" xfId="242"/>
    <cellStyle name="常规 9 2" xfId="1172"/>
    <cellStyle name="强调文字颜色 1 2" xfId="1240"/>
    <cellStyle name="强调文字颜色 2 2" xfId="1241"/>
    <cellStyle name="强调文字颜色 3 2" xfId="1242"/>
    <cellStyle name="强调文字颜色 4 2" xfId="1243"/>
    <cellStyle name="强调文字颜色 5 2" xfId="1244"/>
    <cellStyle name="强调文字颜色 6 2" xfId="1245"/>
    <cellStyle name="标题 1 2" xfId="1108"/>
    <cellStyle name="标题 2 2" xfId="1109"/>
    <cellStyle name="标题 3 2" xfId="1110"/>
    <cellStyle name="标题 4 2" xfId="1111"/>
    <cellStyle name="标题 5" xfId="1107"/>
    <cellStyle name="样式 1" xfId="1251"/>
    <cellStyle name="桁区切り [0.00]_kinslayer" xfId="1226"/>
    <cellStyle name="桁区切り_kinslayer" xfId="1227"/>
    <cellStyle name="检查单元格 2" xfId="1234"/>
    <cellStyle name="標準_069-0711-D (3)" xfId="1"/>
    <cellStyle name="汇总 2" xfId="1228"/>
    <cellStyle name="注释 2" xfId="1252"/>
    <cellStyle name="百分比 2" xfId="137"/>
    <cellStyle name="百分比 2 2" xfId="138"/>
    <cellStyle name="百分比 2 3" xfId="139"/>
    <cellStyle name="百分比 2 4" xfId="140"/>
    <cellStyle name="百分比 2 5" xfId="141"/>
    <cellStyle name="百分比 2 6" xfId="1106"/>
    <cellStyle name="百分比 3" xfId="246"/>
    <cellStyle name="解释性文本 2" xfId="1235"/>
    <cellStyle name="警告文本 2" xfId="1236"/>
    <cellStyle name="计算 2" xfId="1233"/>
    <cellStyle name="貨幣 [0]_981117b" xfId="1230"/>
    <cellStyle name="貨幣[0]_Sheet1" xfId="1231"/>
    <cellStyle name="貨幣_981117b" xfId="1232"/>
    <cellStyle name="货币[0] 2" xfId="1229"/>
    <cellStyle name="输入 2" xfId="1248"/>
    <cellStyle name="输出 2" xfId="1247"/>
    <cellStyle name="适中" xfId="339"/>
    <cellStyle name="适中 2" xfId="1246"/>
    <cellStyle name="通貨 [0.00]_kinslayer" xfId="1249"/>
    <cellStyle name="通貨_kinslayer" xfId="1250"/>
    <cellStyle name="链接单元格 2" xfId="1237"/>
  </cellStyles>
  <dxfs count="9"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</font>
      <fill>
        <patternFill patternType="solid">
          <bgColor indexed="13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</dxfs>
  <tableStyles count="0" defaultTableStyle="TableStyleMedium9" defaultPivotStyle="PivotStyleMedium4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123826</xdr:colOff>
      <xdr:row>30</xdr:row>
      <xdr:rowOff>76201</xdr:rowOff>
    </xdr:from>
    <xdr:to>
      <xdr:col>11</xdr:col>
      <xdr:colOff>99202</xdr:colOff>
      <xdr:row>73</xdr:row>
      <xdr:rowOff>103833</xdr:rowOff>
    </xdr:to>
    <xdr:pic>
      <xdr:nvPicPr>
        <xdr:cNvPr id="2" name="图片 1">
          <a:extLst>
            <a:ext uri="{FF2B5EF4-FFF2-40B4-BE49-F238E27FC236}">
              <a16:creationId xmlns="" xmlns:a16="http://schemas.microsoft.com/office/drawing/2014/main" id="{50DBE260-0C40-4D8F-9690-8F57F5397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4451" y="6329364"/>
          <a:ext cx="6780990" cy="78571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657226</xdr:colOff>
      <xdr:row>24</xdr:row>
      <xdr:rowOff>76199</xdr:rowOff>
    </xdr:from>
    <xdr:to>
      <xdr:col>8</xdr:col>
      <xdr:colOff>242181</xdr:colOff>
      <xdr:row>43</xdr:row>
      <xdr:rowOff>47242</xdr:rowOff>
    </xdr:to>
    <xdr:pic>
      <xdr:nvPicPr>
        <xdr:cNvPr id="2" name="图片 1">
          <a:extLst>
            <a:ext uri="{FF2B5EF4-FFF2-40B4-BE49-F238E27FC236}">
              <a16:creationId xmlns="" xmlns:a16="http://schemas.microsoft.com/office/drawing/2014/main" id="{F5CF347A-328B-45D7-88D0-5C7F04D29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6" y="5081587"/>
          <a:ext cx="5842880" cy="29571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102"/>
  <sheetViews>
    <sheetView tabSelected="1" topLeftCell="A7" workbookViewId="0">
      <pane xSplit="3" ySplit="2" topLeftCell="H18" activePane="bottomRight" state="frozen"/>
      <selection activeCell="A7" sqref="A7"/>
      <selection pane="topRight" activeCell="D7" sqref="D7"/>
      <selection pane="bottomLeft" activeCell="A9" sqref="A9"/>
      <selection pane="bottomRight" activeCell="M39" sqref="M39"/>
    </sheetView>
  </sheetViews>
  <sheetFormatPr defaultColWidth="8.64453125" defaultRowHeight="14.25"/>
  <cols>
    <col min="1" max="1" width="5.3515625" style="3" customWidth="1"/>
    <col min="2" max="2" width="9.3515625" style="3" customWidth="1"/>
    <col min="3" max="3" width="20.3515625" style="38" hidden="1" customWidth="1"/>
    <col min="4" max="6" width="6.3515625" style="3" customWidth="1"/>
    <col min="7" max="7" width="8.64453125" style="3" customWidth="1"/>
    <col min="8" max="9" width="15.64453125" style="39" customWidth="1"/>
    <col min="10" max="10" width="15.17578125" style="39" customWidth="1"/>
    <col min="11" max="13" width="8.3515625" style="3" customWidth="1"/>
    <col min="14" max="14" width="8.64453125" style="3" customWidth="1"/>
    <col min="15" max="15" width="8" style="3" customWidth="1"/>
    <col min="16" max="16" width="7" style="3" customWidth="1"/>
    <col min="17" max="19" width="5.8203125" style="3" customWidth="1"/>
    <col min="20" max="20" width="38.8203125" style="42" customWidth="1"/>
    <col min="21" max="21" width="13.3515625" style="3" customWidth="1"/>
    <col min="22" max="16384" width="8.64453125" style="3"/>
  </cols>
  <sheetData>
    <row r="1" spans="1:21" ht="17.25">
      <c r="A1" s="4" t="s">
        <v>4</v>
      </c>
      <c r="C1" s="5"/>
      <c r="D1" s="2"/>
      <c r="E1" s="2"/>
      <c r="F1" s="2"/>
      <c r="G1" s="2"/>
      <c r="H1" s="6"/>
      <c r="I1" s="6"/>
      <c r="J1" s="6"/>
      <c r="K1" s="2"/>
      <c r="L1" s="2"/>
      <c r="M1" s="2"/>
      <c r="N1" s="2"/>
      <c r="O1" s="7"/>
      <c r="P1" s="7"/>
      <c r="Q1" s="2"/>
      <c r="R1" s="2"/>
      <c r="S1" s="2"/>
      <c r="T1" s="40"/>
      <c r="U1" s="2"/>
    </row>
    <row r="2" spans="1:21" s="15" customFormat="1" ht="12">
      <c r="A2" s="8"/>
      <c r="B2" s="9" t="s">
        <v>0</v>
      </c>
      <c r="C2" s="91"/>
      <c r="D2" s="91"/>
      <c r="E2" s="10"/>
      <c r="F2" s="10" t="s">
        <v>5</v>
      </c>
      <c r="G2" s="94" t="s">
        <v>42</v>
      </c>
      <c r="H2" s="94"/>
      <c r="I2" s="11"/>
      <c r="J2" s="12" t="s">
        <v>6</v>
      </c>
      <c r="K2" s="13" t="s">
        <v>40</v>
      </c>
      <c r="L2" s="13"/>
      <c r="M2" s="12"/>
      <c r="N2" s="12" t="s">
        <v>7</v>
      </c>
      <c r="O2" s="13" t="s">
        <v>49</v>
      </c>
      <c r="P2" s="13"/>
      <c r="Q2" s="11"/>
      <c r="R2" s="9" t="s">
        <v>8</v>
      </c>
      <c r="S2" s="13" t="s">
        <v>9</v>
      </c>
      <c r="T2" s="13"/>
      <c r="U2" s="14" t="s">
        <v>10</v>
      </c>
    </row>
    <row r="3" spans="1:21" s="15" customFormat="1" ht="12">
      <c r="A3" s="16"/>
      <c r="B3" s="17" t="s">
        <v>1</v>
      </c>
      <c r="C3" s="91" t="s">
        <v>46</v>
      </c>
      <c r="D3" s="91"/>
      <c r="E3" s="18"/>
      <c r="F3" s="18" t="s">
        <v>11</v>
      </c>
      <c r="G3" s="96" t="s">
        <v>42</v>
      </c>
      <c r="H3" s="96"/>
      <c r="I3" s="19"/>
      <c r="J3" s="20" t="s">
        <v>12</v>
      </c>
      <c r="K3" s="21" t="s">
        <v>48</v>
      </c>
      <c r="L3" s="21"/>
      <c r="M3" s="20"/>
      <c r="N3" s="20" t="s">
        <v>13</v>
      </c>
      <c r="O3" s="13" t="s">
        <v>50</v>
      </c>
      <c r="P3" s="21"/>
      <c r="Q3" s="19"/>
      <c r="R3" s="17" t="s">
        <v>14</v>
      </c>
      <c r="S3" s="13"/>
      <c r="T3" s="13"/>
      <c r="U3" s="22"/>
    </row>
    <row r="4" spans="1:21" s="15" customFormat="1" ht="12">
      <c r="A4" s="23"/>
      <c r="B4" s="24" t="s">
        <v>2</v>
      </c>
      <c r="C4" s="98" t="s">
        <v>47</v>
      </c>
      <c r="D4" s="91"/>
      <c r="E4" s="26"/>
      <c r="F4" s="26" t="s">
        <v>52</v>
      </c>
      <c r="G4" s="91" t="s">
        <v>41</v>
      </c>
      <c r="H4" s="91"/>
      <c r="I4" s="27"/>
      <c r="J4" s="28" t="s">
        <v>15</v>
      </c>
      <c r="K4" s="45" t="s">
        <v>51</v>
      </c>
      <c r="L4" s="29"/>
      <c r="M4" s="28"/>
      <c r="N4" s="28" t="s">
        <v>15</v>
      </c>
      <c r="O4" s="45" t="s">
        <v>51</v>
      </c>
      <c r="P4" s="29"/>
      <c r="Q4" s="27"/>
      <c r="R4" s="1"/>
      <c r="S4" s="29"/>
      <c r="T4" s="43"/>
      <c r="U4" s="25"/>
    </row>
    <row r="5" spans="1:21" s="2" customFormat="1" ht="19.5" customHeight="1">
      <c r="A5" s="92"/>
      <c r="B5" s="93"/>
      <c r="C5" s="93"/>
      <c r="D5" s="30"/>
      <c r="E5" s="31"/>
      <c r="F5" s="31"/>
      <c r="G5" s="31"/>
      <c r="H5" s="32"/>
      <c r="I5" s="32"/>
      <c r="J5" s="32"/>
      <c r="K5" s="33"/>
      <c r="L5" s="33"/>
      <c r="M5" s="33"/>
      <c r="N5" s="34"/>
      <c r="O5" s="35"/>
      <c r="P5" s="30"/>
      <c r="Q5" s="30"/>
      <c r="R5" s="30"/>
      <c r="S5" s="36"/>
      <c r="T5" s="44"/>
      <c r="U5" s="50"/>
    </row>
    <row r="6" spans="1:21" s="2" customFormat="1" ht="14" customHeight="1">
      <c r="A6" s="97" t="s">
        <v>16</v>
      </c>
      <c r="B6" s="97"/>
      <c r="C6" s="97"/>
      <c r="D6" s="97"/>
      <c r="E6" s="97"/>
      <c r="F6" s="97"/>
      <c r="G6" s="97"/>
      <c r="H6" s="97" t="s">
        <v>17</v>
      </c>
      <c r="I6" s="97"/>
      <c r="J6" s="97"/>
      <c r="K6" s="97" t="s">
        <v>18</v>
      </c>
      <c r="L6" s="97"/>
      <c r="M6" s="97"/>
      <c r="N6" s="97"/>
      <c r="O6" s="97"/>
      <c r="P6" s="97"/>
      <c r="Q6" s="97"/>
      <c r="R6" s="97"/>
      <c r="S6" s="97"/>
      <c r="T6" s="60" t="s">
        <v>19</v>
      </c>
      <c r="U6" s="61"/>
    </row>
    <row r="7" spans="1:21" s="2" customFormat="1" ht="15" customHeight="1">
      <c r="A7" s="62"/>
      <c r="B7" s="62"/>
      <c r="C7" s="63"/>
      <c r="D7" s="62"/>
      <c r="E7" s="62"/>
      <c r="F7" s="62"/>
      <c r="G7" s="64" t="s">
        <v>20</v>
      </c>
      <c r="H7" s="95" t="s">
        <v>21</v>
      </c>
      <c r="I7" s="95"/>
      <c r="J7" s="95"/>
      <c r="K7" s="95" t="s">
        <v>22</v>
      </c>
      <c r="L7" s="95"/>
      <c r="M7" s="95"/>
      <c r="N7" s="65"/>
      <c r="O7" s="61" t="s">
        <v>23</v>
      </c>
      <c r="P7" s="65"/>
      <c r="Q7" s="61" t="s">
        <v>24</v>
      </c>
      <c r="R7" s="65"/>
      <c r="S7" s="65"/>
      <c r="T7" s="60" t="s">
        <v>25</v>
      </c>
      <c r="U7" s="64" t="s">
        <v>26</v>
      </c>
    </row>
    <row r="8" spans="1:21" ht="17.25" customHeight="1">
      <c r="A8" s="66" t="s">
        <v>44</v>
      </c>
      <c r="B8" s="66" t="s">
        <v>27</v>
      </c>
      <c r="C8" s="67" t="s">
        <v>28</v>
      </c>
      <c r="D8" s="66" t="s">
        <v>29</v>
      </c>
      <c r="E8" s="68" t="s">
        <v>30</v>
      </c>
      <c r="F8" s="68" t="s">
        <v>31</v>
      </c>
      <c r="G8" s="66" t="s">
        <v>32</v>
      </c>
      <c r="H8" s="69">
        <v>1</v>
      </c>
      <c r="I8" s="69">
        <v>2</v>
      </c>
      <c r="J8" s="69">
        <v>3</v>
      </c>
      <c r="K8" s="70">
        <v>1</v>
      </c>
      <c r="L8" s="70">
        <v>2</v>
      </c>
      <c r="M8" s="70">
        <v>3</v>
      </c>
      <c r="N8" s="61" t="s">
        <v>3</v>
      </c>
      <c r="O8" s="66" t="s">
        <v>33</v>
      </c>
      <c r="P8" s="66" t="s">
        <v>34</v>
      </c>
      <c r="Q8" s="66" t="s">
        <v>35</v>
      </c>
      <c r="R8" s="66" t="s">
        <v>36</v>
      </c>
      <c r="S8" s="66" t="s">
        <v>37</v>
      </c>
      <c r="T8" s="60" t="s">
        <v>38</v>
      </c>
      <c r="U8" s="64" t="s">
        <v>39</v>
      </c>
    </row>
    <row r="9" spans="1:21" ht="17.25" customHeight="1">
      <c r="A9" s="71">
        <v>1</v>
      </c>
      <c r="B9" s="72">
        <v>1</v>
      </c>
      <c r="C9" s="73" t="s">
        <v>62</v>
      </c>
      <c r="D9" s="74">
        <v>139.77000000000001</v>
      </c>
      <c r="E9" s="74">
        <v>0.3</v>
      </c>
      <c r="F9" s="74">
        <v>0.3</v>
      </c>
      <c r="G9" s="72" t="s">
        <v>43</v>
      </c>
      <c r="H9" s="75">
        <v>139.53299999999999</v>
      </c>
      <c r="I9" s="75">
        <v>139.49100000000001</v>
      </c>
      <c r="J9" s="75">
        <v>139.642</v>
      </c>
      <c r="K9" s="76">
        <f t="shared" ref="K9:M11" si="0">IF(ISBLANK($D9),"",IF(ISERR(H9/H9)=TRUE,"BAD INSP",H9-$D9))</f>
        <v>-0.23700000000002319</v>
      </c>
      <c r="L9" s="76">
        <f t="shared" si="0"/>
        <v>-0.27899999999999636</v>
      </c>
      <c r="M9" s="76">
        <f t="shared" si="0"/>
        <v>-0.12800000000001432</v>
      </c>
      <c r="N9" s="76">
        <f>IF(ISERR(H9/H9)=TRUE," ",AVERAGE(H9:J9))</f>
        <v>139.55533333333332</v>
      </c>
      <c r="O9" s="77">
        <f>IF(ISBLANK($D9),"",IF(ISNUMBER(E9)=FALSE,"BAD TOL", IF(E9=0,"N/A",IF(ISERR(H9/H9)=TRUE,"BAD INSP",IF(AND(ISNUMBER($H9),ISNUMBER($I9),ISNUMBER($J9))=FALSE,"BAD INSP",IF(MAX($H9:$J9)&lt;$D9,0,(MAX($H9:$J9)-$D9)/$E9))))))</f>
        <v>0</v>
      </c>
      <c r="P9" s="78">
        <f>IF(ISBLANK($D9),"",IF(ISNUMBER(F9)=FALSE,"BAD TOL",IF(F9=0,"N/A",IF(ISERR(H9/H9)=TRUE,"BAD INSP",IF(AND(ISNUMBER($H9),ISNUMBER($I9),ISNUMBER($J9))=FALSE,"BAD INSP",IF(MIN(H9:J9)&gt;$D9,0,($D9-MIN(H9:J9))/F9))))))</f>
        <v>0.92999999999998795</v>
      </c>
      <c r="Q9" s="79" t="str">
        <f>IF(ISBLANK($D9),"",IF(ISNUMBER($O9)=TRUE,IF($O9&gt;0.651,IF($O9&gt;1.001,"Reject","Alert")," "),IF(AND(E9=0, ISNUMBER(E9)),IF(MAX(H9:J9)&gt;(D9+E9),"Reject",IF(MAX(H9:J9)=(D9+E9),"Alert","")),"Reject")))</f>
        <v xml:space="preserve"> </v>
      </c>
      <c r="R9" s="79" t="str">
        <f>IF(ISBLANK($D9),"",IF(ISNUMBER($P9)=TRUE,IF($P9&gt;0.651,IF($P9&gt;1.001,"Reject","Alert")," "),IF(AND(F9=0, ISNUMBER(F9)),IF(MIN(H9:J9)&lt;(D9-F9),"Reject",IF(MIN(H9:J9)=(D9-F9),"Alert","")),"Reject")))</f>
        <v>Alert</v>
      </c>
      <c r="S9" s="79" t="str">
        <f>IF(OR(Q9="Reject",R9="Reject"),"Reject",IF(OR(Q9="Alert",R9="Alert"),"Alert", ""))</f>
        <v>Alert</v>
      </c>
      <c r="T9" s="80"/>
      <c r="U9" s="81"/>
    </row>
    <row r="10" spans="1:21" ht="17.25" customHeight="1">
      <c r="A10" s="71">
        <v>2</v>
      </c>
      <c r="B10" s="72">
        <v>2</v>
      </c>
      <c r="C10" s="73" t="s">
        <v>63</v>
      </c>
      <c r="D10" s="74">
        <v>50.54</v>
      </c>
      <c r="E10" s="74">
        <v>0.3</v>
      </c>
      <c r="F10" s="74">
        <v>0.3</v>
      </c>
      <c r="G10" s="72" t="s">
        <v>45</v>
      </c>
      <c r="H10" s="75">
        <v>49.896000000000001</v>
      </c>
      <c r="I10" s="75">
        <v>50.529000000000003</v>
      </c>
      <c r="J10" s="75">
        <v>49.917000000000002</v>
      </c>
      <c r="K10" s="76">
        <f>IF(ISBLANK($D10),"",IF(ISERR(H10/H10)=TRUE,"BAD INSP",H10-$D10))</f>
        <v>-0.64399999999999835</v>
      </c>
      <c r="L10" s="76">
        <f>IF(ISBLANK($D10),"",IF(ISERR(I10/I10)=TRUE,"BAD INSP",I10-$D10))</f>
        <v>-1.099999999999568E-2</v>
      </c>
      <c r="M10" s="76">
        <f>IF(ISBLANK($D10),"",IF(ISERR(J10/J10)=TRUE,"BAD INSP",J10-$D10))</f>
        <v>-0.62299999999999756</v>
      </c>
      <c r="N10" s="76">
        <f>IF(ISERR(H10/H10)=TRUE," ",AVERAGE(H10:J10))</f>
        <v>50.114000000000004</v>
      </c>
      <c r="O10" s="77">
        <f>IF(ISBLANK($D10),"",IF(ISNUMBER(E10)=FALSE,"BAD TOL", IF(E10=0,"N/A",IF(ISERR(H10/H10)=TRUE,"BAD INSP",IF(AND(ISNUMBER($H10),ISNUMBER($I10),ISNUMBER($J10))=FALSE,"BAD INSP",IF(MAX($H10:$J10)&lt;$D10,0,(MAX($H10:$J10)-$D10)/$E10))))))</f>
        <v>0</v>
      </c>
      <c r="P10" s="78">
        <f>IF(ISBLANK($D10),"",IF(ISNUMBER(F10)=FALSE,"BAD TOL",IF(F10=0,"N/A",IF(ISERR(H10/H10)=TRUE,"BAD INSP",IF(AND(ISNUMBER($H10),ISNUMBER($I10),ISNUMBER($J10))=FALSE,"BAD INSP",IF(MIN(H10:J10)&gt;$D10,0,($D10-MIN(H10:J10))/F10))))))</f>
        <v>2.1466666666666612</v>
      </c>
      <c r="Q10" s="79" t="str">
        <f>IF(ISBLANK($D10),"",IF(ISNUMBER($O10)=TRUE,IF($O10&gt;0.651,IF($O10&gt;1.001,"Reject","Alert")," "),IF(AND(E10=0, ISNUMBER(E10)),IF(MAX(H10:J10)&gt;(D10+E10),"Reject",IF(MAX(H10:J10)=(D10+E10),"Alert","")),"Reject")))</f>
        <v xml:space="preserve"> </v>
      </c>
      <c r="R10" s="79" t="str">
        <f>IF(ISBLANK($D10),"",IF(ISNUMBER($P10)=TRUE,IF($P10&gt;0.651,IF($P10&gt;1.001,"Reject","Alert")," "),IF(AND(F10=0, ISNUMBER(F10)),IF(MIN(H10:J10)&lt;(D10-F10),"Reject",IF(MIN(H10:J10)=(D10-F10),"Alert","")),"Reject")))</f>
        <v>Reject</v>
      </c>
      <c r="S10" s="79" t="str">
        <f>IF(OR(Q10="Reject",R10="Reject"),"Reject",IF(OR(Q10="Alert",R10="Alert"),"Alert", ""))</f>
        <v>Reject</v>
      </c>
      <c r="T10" s="80"/>
      <c r="U10" s="81"/>
    </row>
    <row r="11" spans="1:21" ht="17.25" customHeight="1">
      <c r="A11" s="71">
        <v>3</v>
      </c>
      <c r="B11" s="72">
        <v>3</v>
      </c>
      <c r="C11" s="73" t="s">
        <v>63</v>
      </c>
      <c r="D11" s="74">
        <v>1.1399999999999999</v>
      </c>
      <c r="E11" s="74">
        <v>0.2</v>
      </c>
      <c r="F11" s="74">
        <v>0.2</v>
      </c>
      <c r="G11" s="72" t="s">
        <v>45</v>
      </c>
      <c r="H11" s="75">
        <v>0.57399999999999995</v>
      </c>
      <c r="I11" s="75">
        <v>2.12</v>
      </c>
      <c r="J11" s="75">
        <v>0.58099999999999996</v>
      </c>
      <c r="K11" s="76">
        <f t="shared" si="0"/>
        <v>-0.56599999999999995</v>
      </c>
      <c r="L11" s="76">
        <f t="shared" si="0"/>
        <v>0.9800000000000002</v>
      </c>
      <c r="M11" s="76">
        <f t="shared" si="0"/>
        <v>-0.55899999999999994</v>
      </c>
      <c r="N11" s="76">
        <f>IF(ISERR(H11/H11)=TRUE," ",AVERAGE(H11:J11))</f>
        <v>1.0916666666666666</v>
      </c>
      <c r="O11" s="77">
        <f>IF(ISBLANK($D11),"",IF(ISNUMBER(E11)=FALSE,"BAD TOL", IF(E11=0,"N/A",IF(ISERR(H11/H11)=TRUE,"BAD INSP",IF(AND(ISNUMBER($H11),ISNUMBER($I11),ISNUMBER($J11))=FALSE,"BAD INSP",IF(MAX($H11:$J11)&lt;$D11,0,(MAX($H11:$J11)-$D11)/$E11))))))</f>
        <v>4.9000000000000004</v>
      </c>
      <c r="P11" s="78">
        <f>IF(ISBLANK($D11),"",IF(ISNUMBER(F11)=FALSE,"BAD TOL",IF(F11=0,"N/A",IF(ISERR(H11/H11)=TRUE,"BAD INSP",IF(AND(ISNUMBER($H11),ISNUMBER($I11),ISNUMBER($J11))=FALSE,"BAD INSP",IF(MIN(H11:J11)&gt;$D11,0,($D11-MIN(H11:J11))/F11))))))</f>
        <v>2.8299999999999996</v>
      </c>
      <c r="Q11" s="79" t="str">
        <f>IF(ISBLANK($D11),"",IF(ISNUMBER($O11)=TRUE,IF($O11&gt;0.651,IF($O11&gt;1.001,"Reject","Alert")," "),IF(AND(E11=0, ISNUMBER(E11)),IF(MAX(H11:J11)&gt;(D11+E11),"Reject",IF(MAX(H11:J11)=(D11+E11),"Alert","")),"Reject")))</f>
        <v>Reject</v>
      </c>
      <c r="R11" s="79" t="str">
        <f>IF(ISBLANK($D11),"",IF(ISNUMBER($P11)=TRUE,IF($P11&gt;0.651,IF($P11&gt;1.001,"Reject","Alert")," "),IF(AND(F11=0, ISNUMBER(F11)),IF(MIN(H11:J11)&lt;(D11-F11),"Reject",IF(MIN(H11:J11)=(D11-F11),"Alert","")),"Reject")))</f>
        <v>Reject</v>
      </c>
      <c r="S11" s="79" t="str">
        <f>IF(OR(Q11="Reject",R11="Reject"),"Reject",IF(OR(Q11="Alert",R11="Alert"),"Alert", ""))</f>
        <v>Reject</v>
      </c>
      <c r="T11" s="80"/>
      <c r="U11" s="81"/>
    </row>
    <row r="12" spans="1:21" ht="17.25" customHeight="1">
      <c r="A12" s="71">
        <v>4</v>
      </c>
      <c r="B12" s="82">
        <v>4</v>
      </c>
      <c r="C12" s="73" t="s">
        <v>61</v>
      </c>
      <c r="D12" s="74">
        <v>7</v>
      </c>
      <c r="E12" s="74">
        <v>0.3</v>
      </c>
      <c r="F12" s="74">
        <v>0.3</v>
      </c>
      <c r="G12" s="72" t="s">
        <v>45</v>
      </c>
      <c r="H12" s="75">
        <v>7.3120000000000003</v>
      </c>
      <c r="I12" s="75">
        <v>6.4820000000000002</v>
      </c>
      <c r="J12" s="75">
        <v>6.734</v>
      </c>
      <c r="K12" s="76">
        <f t="shared" ref="K12:M17" si="1">IF(ISBLANK($D12),"",IF(ISERR(H12/H12)=TRUE,"BAD INSP",H12-$D12))</f>
        <v>0.31200000000000028</v>
      </c>
      <c r="L12" s="76">
        <f t="shared" si="1"/>
        <v>-0.51799999999999979</v>
      </c>
      <c r="M12" s="76">
        <f t="shared" si="1"/>
        <v>-0.26600000000000001</v>
      </c>
      <c r="N12" s="76">
        <f t="shared" ref="N12:N18" si="2">IF(ISERR(H12/H12)=TRUE," ",AVERAGE(H12:J12))</f>
        <v>6.8426666666666662</v>
      </c>
      <c r="O12" s="77">
        <f t="shared" ref="O12:O17" si="3">IF(ISBLANK($D12),"",IF(ISNUMBER(E12)=FALSE,"BAD TOL", IF(E12=0,"N/A",IF(ISERR(H12/H12)=TRUE,"BAD INSP",IF(AND(ISNUMBER($H12),ISNUMBER($I12),ISNUMBER($J12))=FALSE,"BAD INSP",IF(MAX($H12:$J12)&lt;$D12,0,(MAX($H12:$J12)-$D12)/$E12))))))</f>
        <v>1.0400000000000009</v>
      </c>
      <c r="P12" s="78">
        <f t="shared" ref="P12:P17" si="4">IF(ISBLANK($D12),"",IF(ISNUMBER(F12)=FALSE,"BAD TOL",IF(F12=0,"N/A",IF(ISERR(H12/H12)=TRUE,"BAD INSP",IF(AND(ISNUMBER($H12),ISNUMBER($I12),ISNUMBER($J12))=FALSE,"BAD INSP",IF(MIN(H12:J12)&gt;$D12,0,($D12-MIN(H12:J12))/F12))))))</f>
        <v>1.7266666666666661</v>
      </c>
      <c r="Q12" s="79" t="str">
        <f t="shared" ref="Q12:Q17" si="5">IF(ISBLANK($D12),"",IF(ISNUMBER($O12)=TRUE,IF($O12&gt;0.651,IF($O12&gt;1.001,"Reject","Alert")," "),IF(AND(E12=0, ISNUMBER(E12)),IF(MAX(H12:J12)&gt;(D12+E12),"Reject",IF(MAX(H12:J12)=(D12+E12),"Alert","")),"Reject")))</f>
        <v>Reject</v>
      </c>
      <c r="R12" s="79" t="str">
        <f t="shared" ref="R12:R17" si="6">IF(ISBLANK($D12),"",IF(ISNUMBER($P12)=TRUE,IF($P12&gt;0.651,IF($P12&gt;1.001,"Reject","Alert")," "),IF(AND(F12=0, ISNUMBER(F12)),IF(MIN(H12:J12)&lt;(D12-F12),"Reject",IF(MIN(H12:J12)=(D12-F12),"Alert","")),"Reject")))</f>
        <v>Reject</v>
      </c>
      <c r="S12" s="79" t="str">
        <f t="shared" ref="S12:S17" si="7">IF(OR(Q12="Reject",R12="Reject"),"Reject",IF(OR(Q12="Alert",R12="Alert"),"Alert", ""))</f>
        <v>Reject</v>
      </c>
      <c r="T12" s="80"/>
      <c r="U12" s="81"/>
    </row>
    <row r="13" spans="1:21" ht="17.25" customHeight="1">
      <c r="A13" s="71">
        <v>5</v>
      </c>
      <c r="B13" s="82" t="s">
        <v>53</v>
      </c>
      <c r="C13" s="73" t="s">
        <v>64</v>
      </c>
      <c r="D13" s="83"/>
      <c r="E13" s="84"/>
      <c r="F13" s="84"/>
      <c r="G13" s="72" t="s">
        <v>45</v>
      </c>
      <c r="H13" s="75">
        <v>13.477</v>
      </c>
      <c r="I13" s="75">
        <v>13.471</v>
      </c>
      <c r="J13" s="75">
        <v>13.82</v>
      </c>
      <c r="K13" s="76" t="str">
        <f>IF(ISBLANK($D13),"",IF(ISERR(H13/H13)=TRUE,"BAD INSP",H13-$D13))</f>
        <v/>
      </c>
      <c r="L13" s="76" t="str">
        <f>IF(ISBLANK($D13),"",IF(ISERR(I13/I13)=TRUE,"BAD INSP",I13-$D13))</f>
        <v/>
      </c>
      <c r="M13" s="76" t="str">
        <f>IF(ISBLANK($D13),"",IF(ISERR(J13/J13)=TRUE,"BAD INSP",J13-$D13))</f>
        <v/>
      </c>
      <c r="N13" s="85">
        <f>IF(ISERR(H13/H13)=TRUE," ",AVERAGE(H13:J13))</f>
        <v>13.589333333333334</v>
      </c>
      <c r="O13" s="77" t="str">
        <f>IF(ISBLANK($D13),"",IF(ISNUMBER(E13)=FALSE,"BAD TOL", IF(E13=0,"N/A",IF(ISERR(H13/H13)=TRUE,"BAD INSP",IF(AND(ISNUMBER($H13),ISNUMBER($I13),ISNUMBER($J13))=FALSE,"BAD INSP",IF(MAX($H13:$J13)&lt;$D13,0,(MAX($H13:$J13)-$D13)/$E13))))))</f>
        <v/>
      </c>
      <c r="P13" s="78" t="str">
        <f>IF(ISBLANK($D13),"",IF(ISNUMBER(F13)=FALSE,"BAD TOL",IF(F13=0,"N/A",IF(ISERR(H13/H13)=TRUE,"BAD INSP",IF(AND(ISNUMBER($H13),ISNUMBER($I13),ISNUMBER($J13))=FALSE,"BAD INSP",IF(MIN(H13:J13)&gt;$D13,0,($D13-MIN(H13:J13))/F13))))))</f>
        <v/>
      </c>
      <c r="Q13" s="79" t="str">
        <f>IF(ISBLANK($D13),"",IF(ISNUMBER($O13)=TRUE,IF($O13&gt;0.651,IF($O13&gt;1.001,"Reject","Alert")," "),IF(AND(E13=0, ISNUMBER(E13)),IF(MAX(H13:J13)&gt;(D13+E13),"Reject",IF(MAX(H13:J13)=(D13+E13),"Alert","")),"Reject")))</f>
        <v/>
      </c>
      <c r="R13" s="79" t="str">
        <f>IF(ISBLANK($D13),"",IF(ISNUMBER($P13)=TRUE,IF($P13&gt;0.651,IF($P13&gt;1.001,"Reject","Alert")," "),IF(AND(F13=0, ISNUMBER(F13)),IF(MIN(H13:J13)&lt;(D13-F13),"Reject",IF(MIN(H13:J13)=(D13-F13),"Alert","")),"Reject")))</f>
        <v/>
      </c>
      <c r="S13" s="79" t="str">
        <f>IF(OR(Q13="Reject",R13="Reject"),"Reject",IF(OR(Q13="Alert",R13="Alert"),"Alert", ""))</f>
        <v/>
      </c>
      <c r="T13" s="80"/>
      <c r="U13" s="81"/>
    </row>
    <row r="14" spans="1:21" ht="17.25" customHeight="1">
      <c r="A14" s="71">
        <v>6</v>
      </c>
      <c r="B14" s="82" t="s">
        <v>54</v>
      </c>
      <c r="C14" s="73" t="s">
        <v>64</v>
      </c>
      <c r="D14" s="83"/>
      <c r="E14" s="84"/>
      <c r="F14" s="84"/>
      <c r="G14" s="72" t="s">
        <v>45</v>
      </c>
      <c r="H14" s="75">
        <v>65.673000000000002</v>
      </c>
      <c r="I14" s="75">
        <v>65.801000000000002</v>
      </c>
      <c r="J14" s="75">
        <v>66.569000000000003</v>
      </c>
      <c r="K14" s="76" t="str">
        <f t="shared" si="1"/>
        <v/>
      </c>
      <c r="L14" s="76" t="str">
        <f t="shared" si="1"/>
        <v/>
      </c>
      <c r="M14" s="76" t="str">
        <f t="shared" si="1"/>
        <v/>
      </c>
      <c r="N14" s="85">
        <f t="shared" si="2"/>
        <v>66.01433333333334</v>
      </c>
      <c r="O14" s="77" t="str">
        <f t="shared" si="3"/>
        <v/>
      </c>
      <c r="P14" s="78" t="str">
        <f t="shared" si="4"/>
        <v/>
      </c>
      <c r="Q14" s="79" t="str">
        <f t="shared" si="5"/>
        <v/>
      </c>
      <c r="R14" s="79" t="str">
        <f t="shared" si="6"/>
        <v/>
      </c>
      <c r="S14" s="79" t="str">
        <f t="shared" si="7"/>
        <v/>
      </c>
      <c r="T14" s="80"/>
      <c r="U14" s="81"/>
    </row>
    <row r="15" spans="1:21" ht="17.25" customHeight="1">
      <c r="A15" s="71">
        <v>7</v>
      </c>
      <c r="B15" s="82" t="s">
        <v>55</v>
      </c>
      <c r="C15" s="73" t="s">
        <v>64</v>
      </c>
      <c r="D15" s="83"/>
      <c r="E15" s="84"/>
      <c r="F15" s="84"/>
      <c r="G15" s="72" t="s">
        <v>45</v>
      </c>
      <c r="H15" s="75">
        <v>49.033999999999999</v>
      </c>
      <c r="I15" s="75">
        <v>48.524000000000001</v>
      </c>
      <c r="J15" s="75">
        <v>48.901000000000003</v>
      </c>
      <c r="K15" s="76" t="str">
        <f t="shared" si="1"/>
        <v/>
      </c>
      <c r="L15" s="76" t="str">
        <f t="shared" si="1"/>
        <v/>
      </c>
      <c r="M15" s="76" t="str">
        <f t="shared" si="1"/>
        <v/>
      </c>
      <c r="N15" s="85">
        <f t="shared" si="2"/>
        <v>48.81966666666667</v>
      </c>
      <c r="O15" s="77" t="str">
        <f t="shared" si="3"/>
        <v/>
      </c>
      <c r="P15" s="78" t="str">
        <f t="shared" si="4"/>
        <v/>
      </c>
      <c r="Q15" s="79" t="str">
        <f t="shared" si="5"/>
        <v/>
      </c>
      <c r="R15" s="79" t="str">
        <f t="shared" si="6"/>
        <v/>
      </c>
      <c r="S15" s="79" t="str">
        <f t="shared" si="7"/>
        <v/>
      </c>
      <c r="T15" s="80"/>
      <c r="U15" s="81"/>
    </row>
    <row r="16" spans="1:21" ht="17.25" customHeight="1">
      <c r="A16" s="71">
        <v>8</v>
      </c>
      <c r="B16" s="82" t="s">
        <v>56</v>
      </c>
      <c r="C16" s="73" t="s">
        <v>64</v>
      </c>
      <c r="D16" s="83"/>
      <c r="E16" s="84"/>
      <c r="F16" s="84"/>
      <c r="G16" s="72" t="s">
        <v>45</v>
      </c>
      <c r="H16" s="75">
        <v>27.02</v>
      </c>
      <c r="I16" s="75">
        <v>27.206</v>
      </c>
      <c r="J16" s="75">
        <v>27.420999999999999</v>
      </c>
      <c r="K16" s="76" t="str">
        <f t="shared" si="1"/>
        <v/>
      </c>
      <c r="L16" s="76" t="str">
        <f t="shared" si="1"/>
        <v/>
      </c>
      <c r="M16" s="76" t="str">
        <f t="shared" si="1"/>
        <v/>
      </c>
      <c r="N16" s="85">
        <f t="shared" si="2"/>
        <v>27.215666666666664</v>
      </c>
      <c r="O16" s="77" t="str">
        <f t="shared" si="3"/>
        <v/>
      </c>
      <c r="P16" s="78" t="str">
        <f t="shared" si="4"/>
        <v/>
      </c>
      <c r="Q16" s="79" t="str">
        <f t="shared" si="5"/>
        <v/>
      </c>
      <c r="R16" s="79" t="str">
        <f t="shared" si="6"/>
        <v/>
      </c>
      <c r="S16" s="79" t="str">
        <f t="shared" si="7"/>
        <v/>
      </c>
      <c r="T16" s="80"/>
      <c r="U16" s="81"/>
    </row>
    <row r="17" spans="1:21" ht="17.25" customHeight="1">
      <c r="A17" s="71">
        <v>9</v>
      </c>
      <c r="B17" s="82" t="s">
        <v>57</v>
      </c>
      <c r="C17" s="73" t="s">
        <v>65</v>
      </c>
      <c r="D17" s="84"/>
      <c r="E17" s="84"/>
      <c r="F17" s="84"/>
      <c r="G17" s="72" t="s">
        <v>45</v>
      </c>
      <c r="H17" s="75">
        <v>49.29</v>
      </c>
      <c r="I17" s="75">
        <v>49.506999999999998</v>
      </c>
      <c r="J17" s="75">
        <v>48.975999999999999</v>
      </c>
      <c r="K17" s="76" t="str">
        <f t="shared" si="1"/>
        <v/>
      </c>
      <c r="L17" s="76" t="str">
        <f t="shared" si="1"/>
        <v/>
      </c>
      <c r="M17" s="76" t="str">
        <f t="shared" si="1"/>
        <v/>
      </c>
      <c r="N17" s="76">
        <f t="shared" si="2"/>
        <v>49.257666666666665</v>
      </c>
      <c r="O17" s="77" t="str">
        <f t="shared" si="3"/>
        <v/>
      </c>
      <c r="P17" s="78" t="str">
        <f t="shared" si="4"/>
        <v/>
      </c>
      <c r="Q17" s="79" t="str">
        <f t="shared" si="5"/>
        <v/>
      </c>
      <c r="R17" s="79" t="str">
        <f t="shared" si="6"/>
        <v/>
      </c>
      <c r="S17" s="79" t="str">
        <f t="shared" si="7"/>
        <v/>
      </c>
      <c r="T17" s="80"/>
      <c r="U17" s="81"/>
    </row>
    <row r="18" spans="1:21" ht="17.25" customHeight="1">
      <c r="A18" s="71">
        <v>10</v>
      </c>
      <c r="B18" s="82" t="s">
        <v>58</v>
      </c>
      <c r="C18" s="73" t="s">
        <v>65</v>
      </c>
      <c r="D18" s="84"/>
      <c r="E18" s="84"/>
      <c r="F18" s="84"/>
      <c r="G18" s="72" t="s">
        <v>45</v>
      </c>
      <c r="H18" s="75">
        <v>66.287000000000006</v>
      </c>
      <c r="I18" s="75">
        <v>65.742999999999995</v>
      </c>
      <c r="J18" s="75">
        <v>66.34</v>
      </c>
      <c r="K18" s="76" t="str">
        <f>IF(ISBLANK($D18),"",IF(ISERR(H18/H18)=TRUE,"BAD INSP",H18-$D18))</f>
        <v/>
      </c>
      <c r="L18" s="76" t="str">
        <f>IF(ISBLANK($D18),"",IF(ISERR(I18/I18)=TRUE,"BAD INSP",I18-$D18))</f>
        <v/>
      </c>
      <c r="M18" s="76" t="str">
        <f>IF(ISBLANK($D18),"",IF(ISERR(J18/J18)=TRUE,"BAD INSP",J18-$D18))</f>
        <v/>
      </c>
      <c r="N18" s="76">
        <f t="shared" si="2"/>
        <v>66.123333333333335</v>
      </c>
      <c r="O18" s="77" t="str">
        <f>IF(ISBLANK($D18),"",IF(ISNUMBER(E18)=FALSE,"BAD TOL", IF(E18=0,"N/A",IF(ISERR(H18/H18)=TRUE,"BAD INSP",IF(AND(ISNUMBER($H18),ISNUMBER($I18),ISNUMBER($J18))=FALSE,"BAD INSP",IF(MAX($H18:$J18)&lt;$D18,0,(MAX($H18:$J18)-$D18)/$E18))))))</f>
        <v/>
      </c>
      <c r="P18" s="78" t="str">
        <f>IF(ISBLANK($D18),"",IF(ISNUMBER(F18)=FALSE,"BAD TOL",IF(F18=0,"N/A",IF(ISERR(H18/H18)=TRUE,"BAD INSP",IF(AND(ISNUMBER($H18),ISNUMBER($I18),ISNUMBER($J18))=FALSE,"BAD INSP",IF(MIN(H18:J18)&gt;$D18,0,($D18-MIN(H18:J18))/F18))))))</f>
        <v/>
      </c>
      <c r="Q18" s="79" t="str">
        <f>IF(ISBLANK($D18),"",IF(ISNUMBER($O18)=TRUE,IF($O18&gt;0.651,IF($O18&gt;1.001,"Reject","Alert")," "),IF(AND(E18=0, ISNUMBER(E18)),IF(MAX(H18:J18)&gt;(D18+E18),"Reject",IF(MAX(H18:J18)=(D18+E18),"Alert","")),"Reject")))</f>
        <v/>
      </c>
      <c r="R18" s="79" t="str">
        <f>IF(ISBLANK($D18),"",IF(ISNUMBER($P18)=TRUE,IF($P18&gt;0.651,IF($P18&gt;1.001,"Reject","Alert")," "),IF(AND(F18=0, ISNUMBER(F18)),IF(MIN(H18:J18)&lt;(D18-F18),"Reject",IF(MIN(H18:J18)=(D18-F18),"Alert","")),"Reject")))</f>
        <v/>
      </c>
      <c r="S18" s="79" t="str">
        <f>IF(OR(Q18="Reject",R18="Reject"),"Reject",IF(OR(Q18="Alert",R18="Alert"),"Alert", ""))</f>
        <v/>
      </c>
      <c r="T18" s="80"/>
      <c r="U18" s="81"/>
    </row>
    <row r="19" spans="1:21" ht="17.25" customHeight="1">
      <c r="A19" s="71">
        <v>11</v>
      </c>
      <c r="B19" s="82" t="s">
        <v>59</v>
      </c>
      <c r="C19" s="73" t="s">
        <v>65</v>
      </c>
      <c r="D19" s="84"/>
      <c r="E19" s="84"/>
      <c r="F19" s="84"/>
      <c r="G19" s="72" t="s">
        <v>45</v>
      </c>
      <c r="H19" s="75">
        <v>14.333</v>
      </c>
      <c r="I19" s="75">
        <v>13.708</v>
      </c>
      <c r="J19" s="75">
        <v>14.051</v>
      </c>
      <c r="K19" s="76" t="str">
        <f t="shared" ref="K19:K28" si="8">IF(ISBLANK($D19),"",IF(ISERR(H19/H19)=TRUE,"BAD INSP",H19-$D19))</f>
        <v/>
      </c>
      <c r="L19" s="76" t="str">
        <f t="shared" ref="L19:L28" si="9">IF(ISBLANK($D19),"",IF(ISERR(I19/I19)=TRUE,"BAD INSP",I19-$D19))</f>
        <v/>
      </c>
      <c r="M19" s="76" t="str">
        <f t="shared" ref="M19:M28" si="10">IF(ISBLANK($D19),"",IF(ISERR(J19/J19)=TRUE,"BAD INSP",J19-$D19))</f>
        <v/>
      </c>
      <c r="N19" s="76">
        <f t="shared" ref="N19:N28" si="11">IF(ISERR(H19/H19)=TRUE," ",AVERAGE(H19:J19))</f>
        <v>14.030666666666667</v>
      </c>
      <c r="O19" s="77" t="str">
        <f t="shared" ref="O19:O28" si="12">IF(ISBLANK($D19),"",IF(ISNUMBER(E19)=FALSE,"BAD TOL", IF(E19=0,"N/A",IF(ISERR(H19/H19)=TRUE,"BAD INSP",IF(AND(ISNUMBER($H19),ISNUMBER($I19),ISNUMBER($J19))=FALSE,"BAD INSP",IF(MAX($H19:$J19)&lt;$D19,0,(MAX($H19:$J19)-$D19)/$E19))))))</f>
        <v/>
      </c>
      <c r="P19" s="78" t="str">
        <f t="shared" ref="P19:P28" si="13">IF(ISBLANK($D19),"",IF(ISNUMBER(F19)=FALSE,"BAD TOL",IF(F19=0,"N/A",IF(ISERR(H19/H19)=TRUE,"BAD INSP",IF(AND(ISNUMBER($H19),ISNUMBER($I19),ISNUMBER($J19))=FALSE,"BAD INSP",IF(MIN(H19:J19)&gt;$D19,0,($D19-MIN(H19:J19))/F19))))))</f>
        <v/>
      </c>
      <c r="Q19" s="79" t="str">
        <f t="shared" ref="Q19:Q28" si="14">IF(ISBLANK($D19),"",IF(ISNUMBER($O19)=TRUE,IF($O19&gt;0.651,IF($O19&gt;1.001,"Reject","Alert")," "),IF(AND(E19=0, ISNUMBER(E19)),IF(MAX(H19:J19)&gt;(D19+E19),"Reject",IF(MAX(H19:J19)=(D19+E19),"Alert","")),"Reject")))</f>
        <v/>
      </c>
      <c r="R19" s="79" t="str">
        <f t="shared" ref="R19:R28" si="15">IF(ISBLANK($D19),"",IF(ISNUMBER($P19)=TRUE,IF($P19&gt;0.651,IF($P19&gt;1.001,"Reject","Alert")," "),IF(AND(F19=0, ISNUMBER(F19)),IF(MIN(H19:J19)&lt;(D19-F19),"Reject",IF(MIN(H19:J19)=(D19-F19),"Alert","")),"Reject")))</f>
        <v/>
      </c>
      <c r="S19" s="79" t="str">
        <f t="shared" ref="S19:S28" si="16">IF(OR(Q19="Reject",R19="Reject"),"Reject",IF(OR(Q19="Alert",R19="Alert"),"Alert", ""))</f>
        <v/>
      </c>
      <c r="T19" s="86"/>
      <c r="U19" s="87"/>
    </row>
    <row r="20" spans="1:21" ht="17.25" customHeight="1">
      <c r="A20" s="71">
        <v>12</v>
      </c>
      <c r="B20" s="82" t="s">
        <v>60</v>
      </c>
      <c r="C20" s="73" t="s">
        <v>65</v>
      </c>
      <c r="D20" s="84"/>
      <c r="E20" s="84"/>
      <c r="F20" s="84"/>
      <c r="G20" s="72" t="s">
        <v>45</v>
      </c>
      <c r="H20" s="75">
        <v>27.021999999999998</v>
      </c>
      <c r="I20" s="75">
        <v>27.036000000000001</v>
      </c>
      <c r="J20" s="75">
        <v>27.018999999999998</v>
      </c>
      <c r="K20" s="76" t="str">
        <f t="shared" si="8"/>
        <v/>
      </c>
      <c r="L20" s="76" t="str">
        <f t="shared" si="9"/>
        <v/>
      </c>
      <c r="M20" s="76" t="str">
        <f t="shared" si="10"/>
        <v/>
      </c>
      <c r="N20" s="76">
        <f t="shared" si="11"/>
        <v>27.025666666666666</v>
      </c>
      <c r="O20" s="77" t="str">
        <f t="shared" si="12"/>
        <v/>
      </c>
      <c r="P20" s="78" t="str">
        <f t="shared" si="13"/>
        <v/>
      </c>
      <c r="Q20" s="79" t="str">
        <f t="shared" si="14"/>
        <v/>
      </c>
      <c r="R20" s="79" t="str">
        <f t="shared" si="15"/>
        <v/>
      </c>
      <c r="S20" s="79" t="str">
        <f t="shared" si="16"/>
        <v/>
      </c>
      <c r="T20" s="86"/>
      <c r="U20" s="87"/>
    </row>
    <row r="21" spans="1:21" ht="17.25" customHeight="1">
      <c r="A21" s="71">
        <v>13</v>
      </c>
      <c r="B21" s="88" t="s">
        <v>77</v>
      </c>
      <c r="C21" s="89"/>
      <c r="D21" s="74">
        <v>0</v>
      </c>
      <c r="E21" s="74">
        <v>1.5</v>
      </c>
      <c r="F21" s="74">
        <v>1.5</v>
      </c>
      <c r="G21" s="72"/>
      <c r="H21" s="75">
        <v>-0.85599999999999987</v>
      </c>
      <c r="I21" s="75">
        <v>-0.2370000000000001</v>
      </c>
      <c r="J21" s="75">
        <v>-0.23099999999999987</v>
      </c>
      <c r="K21" s="76">
        <f t="shared" si="8"/>
        <v>-0.85599999999999987</v>
      </c>
      <c r="L21" s="76">
        <f t="shared" si="9"/>
        <v>-0.2370000000000001</v>
      </c>
      <c r="M21" s="76">
        <f t="shared" si="10"/>
        <v>-0.23099999999999987</v>
      </c>
      <c r="N21" s="76">
        <f t="shared" si="11"/>
        <v>-0.4413333333333333</v>
      </c>
      <c r="O21" s="77">
        <f t="shared" si="12"/>
        <v>0</v>
      </c>
      <c r="P21" s="78">
        <f t="shared" si="13"/>
        <v>0.57066666666666654</v>
      </c>
      <c r="Q21" s="79" t="str">
        <f t="shared" si="14"/>
        <v xml:space="preserve"> </v>
      </c>
      <c r="R21" s="79" t="str">
        <f t="shared" si="15"/>
        <v xml:space="preserve"> </v>
      </c>
      <c r="S21" s="79" t="str">
        <f t="shared" si="16"/>
        <v/>
      </c>
      <c r="T21" s="86"/>
      <c r="U21" s="87"/>
    </row>
    <row r="22" spans="1:21" ht="17.25" customHeight="1">
      <c r="A22" s="71">
        <v>14</v>
      </c>
      <c r="B22" s="88" t="s">
        <v>78</v>
      </c>
      <c r="C22" s="89"/>
      <c r="D22" s="74">
        <v>0</v>
      </c>
      <c r="E22" s="74">
        <v>2</v>
      </c>
      <c r="F22" s="74">
        <v>2</v>
      </c>
      <c r="G22" s="72"/>
      <c r="H22" s="75">
        <v>-0.61400000000000432</v>
      </c>
      <c r="I22" s="75">
        <v>5.8000000000006935E-2</v>
      </c>
      <c r="J22" s="75">
        <v>0.2289999999999992</v>
      </c>
      <c r="K22" s="76">
        <f t="shared" si="8"/>
        <v>-0.61400000000000432</v>
      </c>
      <c r="L22" s="76">
        <f t="shared" si="9"/>
        <v>5.8000000000006935E-2</v>
      </c>
      <c r="M22" s="76">
        <f t="shared" si="10"/>
        <v>0.2289999999999992</v>
      </c>
      <c r="N22" s="76">
        <f t="shared" si="11"/>
        <v>-0.10899999999999939</v>
      </c>
      <c r="O22" s="77">
        <f t="shared" si="12"/>
        <v>0.1144999999999996</v>
      </c>
      <c r="P22" s="78">
        <f t="shared" si="13"/>
        <v>0.30700000000000216</v>
      </c>
      <c r="Q22" s="79" t="str">
        <f t="shared" si="14"/>
        <v xml:space="preserve"> </v>
      </c>
      <c r="R22" s="79" t="str">
        <f t="shared" si="15"/>
        <v xml:space="preserve"> </v>
      </c>
      <c r="S22" s="79" t="str">
        <f t="shared" si="16"/>
        <v/>
      </c>
      <c r="T22" s="86"/>
      <c r="U22" s="87"/>
    </row>
    <row r="23" spans="1:21" ht="17.25" customHeight="1">
      <c r="A23" s="71">
        <v>15</v>
      </c>
      <c r="B23" s="88" t="s">
        <v>79</v>
      </c>
      <c r="C23" s="89"/>
      <c r="D23" s="74">
        <v>0</v>
      </c>
      <c r="E23" s="74">
        <v>2</v>
      </c>
      <c r="F23" s="74">
        <v>2</v>
      </c>
      <c r="G23" s="72"/>
      <c r="H23" s="75">
        <v>-0.25600000000000023</v>
      </c>
      <c r="I23" s="75">
        <v>-0.98299999999999699</v>
      </c>
      <c r="J23" s="75">
        <v>-7.4999999999995737E-2</v>
      </c>
      <c r="K23" s="76">
        <f t="shared" si="8"/>
        <v>-0.25600000000000023</v>
      </c>
      <c r="L23" s="76">
        <f t="shared" si="9"/>
        <v>-0.98299999999999699</v>
      </c>
      <c r="M23" s="76">
        <f t="shared" si="10"/>
        <v>-7.4999999999995737E-2</v>
      </c>
      <c r="N23" s="76">
        <f t="shared" si="11"/>
        <v>-0.43799999999999767</v>
      </c>
      <c r="O23" s="77">
        <f t="shared" si="12"/>
        <v>0</v>
      </c>
      <c r="P23" s="78">
        <f t="shared" si="13"/>
        <v>0.49149999999999849</v>
      </c>
      <c r="Q23" s="79" t="str">
        <f t="shared" si="14"/>
        <v xml:space="preserve"> </v>
      </c>
      <c r="R23" s="79" t="str">
        <f t="shared" si="15"/>
        <v xml:space="preserve"> </v>
      </c>
      <c r="S23" s="79" t="str">
        <f t="shared" si="16"/>
        <v/>
      </c>
      <c r="T23" s="86"/>
      <c r="U23" s="87"/>
    </row>
    <row r="24" spans="1:21" ht="17.25" customHeight="1">
      <c r="A24" s="71">
        <v>16</v>
      </c>
      <c r="B24" s="88" t="s">
        <v>76</v>
      </c>
      <c r="C24" s="89"/>
      <c r="D24" s="74">
        <v>0</v>
      </c>
      <c r="E24" s="74">
        <v>1.5</v>
      </c>
      <c r="F24" s="74">
        <v>1.5</v>
      </c>
      <c r="G24" s="72"/>
      <c r="H24" s="75">
        <v>-1.9999999999988916E-3</v>
      </c>
      <c r="I24" s="75">
        <v>0.16999999999999815</v>
      </c>
      <c r="J24" s="75">
        <v>0.40200000000000102</v>
      </c>
      <c r="K24" s="76">
        <f t="shared" si="8"/>
        <v>-1.9999999999988916E-3</v>
      </c>
      <c r="L24" s="76">
        <f t="shared" si="9"/>
        <v>0.16999999999999815</v>
      </c>
      <c r="M24" s="76">
        <f t="shared" si="10"/>
        <v>0.40200000000000102</v>
      </c>
      <c r="N24" s="76">
        <f t="shared" si="11"/>
        <v>0.19000000000000009</v>
      </c>
      <c r="O24" s="77">
        <f t="shared" si="12"/>
        <v>0.26800000000000068</v>
      </c>
      <c r="P24" s="78">
        <f t="shared" si="13"/>
        <v>1.3333333333325943E-3</v>
      </c>
      <c r="Q24" s="79" t="str">
        <f t="shared" si="14"/>
        <v xml:space="preserve"> </v>
      </c>
      <c r="R24" s="79" t="str">
        <f t="shared" si="15"/>
        <v xml:space="preserve"> </v>
      </c>
      <c r="S24" s="79" t="str">
        <f t="shared" si="16"/>
        <v/>
      </c>
      <c r="T24" s="86"/>
      <c r="U24" s="87"/>
    </row>
    <row r="25" spans="1:21" ht="17.25" customHeight="1">
      <c r="A25" s="71">
        <v>17</v>
      </c>
      <c r="B25" s="90" t="s">
        <v>80</v>
      </c>
      <c r="C25" s="89"/>
      <c r="D25" s="74">
        <v>35.200000000000003</v>
      </c>
      <c r="E25" s="74">
        <v>0.5</v>
      </c>
      <c r="F25" s="74">
        <v>0.5</v>
      </c>
      <c r="G25" s="72"/>
      <c r="H25" s="75">
        <v>34.957000000000001</v>
      </c>
      <c r="I25" s="75">
        <v>35.798999999999999</v>
      </c>
      <c r="J25" s="75">
        <v>34.924999999999997</v>
      </c>
      <c r="K25" s="76">
        <f t="shared" si="8"/>
        <v>-0.2430000000000021</v>
      </c>
      <c r="L25" s="76">
        <f t="shared" si="9"/>
        <v>0.59899999999999665</v>
      </c>
      <c r="M25" s="76">
        <f t="shared" si="10"/>
        <v>-0.27500000000000568</v>
      </c>
      <c r="N25" s="76">
        <f t="shared" si="11"/>
        <v>35.226999999999997</v>
      </c>
      <c r="O25" s="77">
        <f t="shared" si="12"/>
        <v>1.1979999999999933</v>
      </c>
      <c r="P25" s="78">
        <f t="shared" si="13"/>
        <v>0.55000000000001137</v>
      </c>
      <c r="Q25" s="79" t="str">
        <f t="shared" si="14"/>
        <v>Reject</v>
      </c>
      <c r="R25" s="79" t="str">
        <f t="shared" si="15"/>
        <v xml:space="preserve"> </v>
      </c>
      <c r="S25" s="79" t="str">
        <f t="shared" si="16"/>
        <v>Reject</v>
      </c>
      <c r="T25" s="86"/>
      <c r="U25" s="87"/>
    </row>
    <row r="26" spans="1:21" ht="17.25" customHeight="1">
      <c r="A26" s="71">
        <v>18</v>
      </c>
      <c r="B26" s="90" t="s">
        <v>81</v>
      </c>
      <c r="C26" s="89"/>
      <c r="D26" s="74">
        <v>35.200000000000003</v>
      </c>
      <c r="E26" s="74">
        <v>0.5</v>
      </c>
      <c r="F26" s="74">
        <v>0.5</v>
      </c>
      <c r="G26" s="72"/>
      <c r="H26" s="75">
        <v>35.557000000000002</v>
      </c>
      <c r="I26" s="75">
        <v>35.052999999999997</v>
      </c>
      <c r="J26" s="75">
        <v>35.081000000000003</v>
      </c>
      <c r="K26" s="76">
        <f t="shared" si="8"/>
        <v>0.35699999999999932</v>
      </c>
      <c r="L26" s="76">
        <f t="shared" si="9"/>
        <v>-0.14700000000000557</v>
      </c>
      <c r="M26" s="76">
        <f t="shared" si="10"/>
        <v>-0.11899999999999977</v>
      </c>
      <c r="N26" s="76">
        <f t="shared" si="11"/>
        <v>35.230333333333334</v>
      </c>
      <c r="O26" s="77">
        <f t="shared" si="12"/>
        <v>0.71399999999999864</v>
      </c>
      <c r="P26" s="78">
        <f t="shared" si="13"/>
        <v>0.29400000000001114</v>
      </c>
      <c r="Q26" s="79" t="str">
        <f t="shared" si="14"/>
        <v>Alert</v>
      </c>
      <c r="R26" s="79" t="str">
        <f t="shared" si="15"/>
        <v xml:space="preserve"> </v>
      </c>
      <c r="S26" s="79" t="str">
        <f t="shared" si="16"/>
        <v>Alert</v>
      </c>
      <c r="T26" s="86"/>
      <c r="U26" s="87"/>
    </row>
    <row r="27" spans="1:21" ht="17.25" customHeight="1">
      <c r="A27" s="71">
        <v>19</v>
      </c>
      <c r="B27" s="90" t="s">
        <v>82</v>
      </c>
      <c r="C27" s="89"/>
      <c r="D27" s="74">
        <v>39</v>
      </c>
      <c r="E27" s="74">
        <v>0.5</v>
      </c>
      <c r="F27" s="74">
        <v>0.5</v>
      </c>
      <c r="G27" s="72"/>
      <c r="H27" s="75">
        <v>39.265000000000008</v>
      </c>
      <c r="I27" s="75">
        <v>38.706999999999994</v>
      </c>
      <c r="J27" s="75">
        <v>39.321000000000005</v>
      </c>
      <c r="K27" s="76">
        <f t="shared" si="8"/>
        <v>0.26500000000000767</v>
      </c>
      <c r="L27" s="76">
        <f t="shared" si="9"/>
        <v>-0.29300000000000637</v>
      </c>
      <c r="M27" s="76">
        <f t="shared" si="10"/>
        <v>0.32100000000000506</v>
      </c>
      <c r="N27" s="76">
        <f t="shared" si="11"/>
        <v>39.097666666666669</v>
      </c>
      <c r="O27" s="77">
        <f t="shared" si="12"/>
        <v>0.64200000000001012</v>
      </c>
      <c r="P27" s="78">
        <f t="shared" si="13"/>
        <v>0.58600000000001273</v>
      </c>
      <c r="Q27" s="79" t="str">
        <f t="shared" si="14"/>
        <v xml:space="preserve"> </v>
      </c>
      <c r="R27" s="79" t="str">
        <f t="shared" si="15"/>
        <v xml:space="preserve"> </v>
      </c>
      <c r="S27" s="79" t="str">
        <f t="shared" si="16"/>
        <v/>
      </c>
      <c r="T27" s="86"/>
      <c r="U27" s="87"/>
    </row>
    <row r="28" spans="1:21" ht="17.25" customHeight="1">
      <c r="A28" s="71">
        <v>20</v>
      </c>
      <c r="B28" s="90" t="s">
        <v>83</v>
      </c>
      <c r="C28" s="89"/>
      <c r="D28" s="74">
        <v>39</v>
      </c>
      <c r="E28" s="74">
        <v>0.5</v>
      </c>
      <c r="F28" s="74">
        <v>0.5</v>
      </c>
      <c r="G28" s="72"/>
      <c r="H28" s="75">
        <v>38.653000000000006</v>
      </c>
      <c r="I28" s="75">
        <v>38.594999999999999</v>
      </c>
      <c r="J28" s="75">
        <v>39.148000000000003</v>
      </c>
      <c r="K28" s="76">
        <f t="shared" si="8"/>
        <v>-0.3469999999999942</v>
      </c>
      <c r="L28" s="76">
        <f t="shared" si="9"/>
        <v>-0.40500000000000114</v>
      </c>
      <c r="M28" s="76">
        <f t="shared" si="10"/>
        <v>0.14800000000000324</v>
      </c>
      <c r="N28" s="76">
        <f t="shared" si="11"/>
        <v>38.798666666666669</v>
      </c>
      <c r="O28" s="77">
        <f t="shared" si="12"/>
        <v>0.29600000000000648</v>
      </c>
      <c r="P28" s="78">
        <f t="shared" si="13"/>
        <v>0.81000000000000227</v>
      </c>
      <c r="Q28" s="79" t="str">
        <f t="shared" si="14"/>
        <v xml:space="preserve"> </v>
      </c>
      <c r="R28" s="79" t="str">
        <f t="shared" si="15"/>
        <v>Alert</v>
      </c>
      <c r="S28" s="79" t="str">
        <f t="shared" si="16"/>
        <v>Alert</v>
      </c>
      <c r="T28" s="86"/>
      <c r="U28" s="87"/>
    </row>
    <row r="29" spans="1:21">
      <c r="A29" s="51">
        <v>21</v>
      </c>
      <c r="B29" s="39"/>
      <c r="D29" s="52"/>
      <c r="E29" s="52"/>
      <c r="F29" s="53"/>
      <c r="G29" s="54"/>
      <c r="H29" s="55"/>
      <c r="I29" s="55"/>
      <c r="J29" s="55"/>
      <c r="K29" s="56" t="str">
        <f>IF(ISBLANK($D29),"",IF(ISERR(H29/H29)=TRUE,"BAD INSP",H29-$D29))</f>
        <v/>
      </c>
      <c r="L29" s="56" t="str">
        <f>IF(ISBLANK($D29),"",IF(ISERR(I29/I29)=TRUE,"BAD INSP",I29-$D29))</f>
        <v/>
      </c>
      <c r="M29" s="56" t="str">
        <f>IF(ISBLANK($D29),"",IF(ISERR(J29/J29)=TRUE,"BAD INSP",J29-$D29))</f>
        <v/>
      </c>
      <c r="N29" s="56" t="str">
        <f>IF(ISERR(H29/H29)=TRUE," ",AVERAGE(H29:J29))</f>
        <v xml:space="preserve"> </v>
      </c>
      <c r="O29" s="57" t="str">
        <f>IF(ISBLANK($D29),"",IF(ISNUMBER(E29)=FALSE,"BAD TOL", IF(E29=0,"N/A",IF(ISERR(H29/H29)=TRUE,"BAD INSP",IF(AND(ISNUMBER($H29),ISNUMBER($I29),ISNUMBER($J29))=FALSE,"BAD INSP",IF(MAX($H29:$J29)&lt;$D29,0,(MAX($H29:$J29)-$D29)/$E29))))))</f>
        <v/>
      </c>
      <c r="P29" s="58" t="str">
        <f>IF(ISBLANK($D29),"",IF(ISNUMBER(F29)=FALSE,"BAD TOL",IF(F29=0,"N/A",IF(ISERR(H29/H29)=TRUE,"BAD INSP",IF(AND(ISNUMBER($H29),ISNUMBER($I29),ISNUMBER($J29))=FALSE,"BAD INSP",IF(MIN(H29:J29)&gt;$D29,0,($D29-MIN(H29:J29))/F29))))))</f>
        <v/>
      </c>
      <c r="Q29" s="59" t="str">
        <f>IF(ISBLANK($D29),"",IF(ISNUMBER($O29)=TRUE,IF($O29&gt;0.651,IF($O29&gt;1.001,"Reject","Alert")," "),IF(AND(E29=0, ISNUMBER(E29)),IF(MAX(H29:J29)&gt;(D29+E29),"Reject",IF(MAX(H29:J29)=(D29+E29),"Alert","")),"Reject")))</f>
        <v/>
      </c>
      <c r="R29" s="59" t="str">
        <f>IF(ISBLANK($D29),"",IF(ISNUMBER($P29)=TRUE,IF($P29&gt;0.651,IF($P29&gt;1.001,"Reject","Alert")," "),IF(AND(F29=0, ISNUMBER(F29)),IF(MIN(H29:J29)&lt;(D29-F29),"Reject",IF(MIN(H29:J29)=(D29-F29),"Alert","")),"Reject")))</f>
        <v/>
      </c>
      <c r="S29" s="59" t="str">
        <f>IF(OR(Q29="Reject",R29="Reject"),"Reject",IF(OR(Q29="Alert",R29="Alert"),"Alert", ""))</f>
        <v/>
      </c>
      <c r="T29" s="41"/>
    </row>
    <row r="30" spans="1:21">
      <c r="T30" s="41"/>
    </row>
    <row r="31" spans="1:21">
      <c r="T31" s="41"/>
    </row>
    <row r="32" spans="1:21">
      <c r="T32" s="41"/>
    </row>
    <row r="33" spans="3:20">
      <c r="T33" s="41"/>
    </row>
    <row r="34" spans="3:20">
      <c r="T34" s="41"/>
    </row>
    <row r="35" spans="3:20">
      <c r="T35" s="41"/>
    </row>
    <row r="36" spans="3:20">
      <c r="T36" s="41"/>
    </row>
    <row r="37" spans="3:20">
      <c r="T37" s="41"/>
    </row>
    <row r="38" spans="3:20">
      <c r="T38" s="41"/>
    </row>
    <row r="39" spans="3:20">
      <c r="T39" s="41"/>
    </row>
    <row r="40" spans="3:20">
      <c r="C40" s="3"/>
      <c r="H40" s="3"/>
      <c r="I40" s="3"/>
      <c r="J40" s="3"/>
      <c r="T40" s="41"/>
    </row>
    <row r="41" spans="3:20">
      <c r="C41" s="3"/>
      <c r="H41" s="3"/>
      <c r="I41" s="3"/>
      <c r="J41" s="3"/>
      <c r="T41" s="41"/>
    </row>
    <row r="42" spans="3:20">
      <c r="C42" s="3"/>
      <c r="H42" s="3"/>
      <c r="I42" s="3"/>
      <c r="J42" s="3"/>
      <c r="T42" s="41"/>
    </row>
    <row r="43" spans="3:20">
      <c r="C43" s="3"/>
      <c r="H43" s="3"/>
      <c r="I43" s="3"/>
      <c r="J43" s="3"/>
      <c r="T43" s="41"/>
    </row>
    <row r="44" spans="3:20">
      <c r="C44" s="3"/>
      <c r="H44" s="3"/>
      <c r="I44" s="3"/>
      <c r="J44" s="3"/>
      <c r="T44" s="41"/>
    </row>
    <row r="45" spans="3:20">
      <c r="C45" s="3"/>
      <c r="H45" s="3"/>
      <c r="I45" s="3"/>
      <c r="J45" s="3"/>
      <c r="T45" s="41"/>
    </row>
    <row r="46" spans="3:20">
      <c r="C46" s="3"/>
      <c r="H46" s="3"/>
      <c r="I46" s="3"/>
      <c r="J46" s="3"/>
      <c r="T46" s="41"/>
    </row>
    <row r="47" spans="3:20">
      <c r="C47" s="3"/>
      <c r="H47" s="3"/>
      <c r="I47" s="3"/>
      <c r="J47" s="3"/>
      <c r="T47" s="41"/>
    </row>
    <row r="48" spans="3:20">
      <c r="C48" s="3"/>
      <c r="H48" s="3"/>
      <c r="I48" s="3"/>
      <c r="J48" s="3"/>
      <c r="T48" s="41"/>
    </row>
    <row r="49" spans="3:20">
      <c r="C49" s="3"/>
      <c r="H49" s="3"/>
      <c r="I49" s="3"/>
      <c r="J49" s="3"/>
      <c r="T49" s="41"/>
    </row>
    <row r="50" spans="3:20">
      <c r="C50" s="3"/>
      <c r="H50" s="3"/>
      <c r="I50" s="3"/>
      <c r="J50" s="3"/>
      <c r="T50" s="41"/>
    </row>
    <row r="51" spans="3:20">
      <c r="C51" s="3"/>
      <c r="H51" s="3"/>
      <c r="I51" s="3"/>
      <c r="J51" s="3"/>
      <c r="T51" s="41"/>
    </row>
    <row r="52" spans="3:20">
      <c r="C52" s="3"/>
      <c r="H52" s="3"/>
      <c r="I52" s="3"/>
      <c r="J52" s="3"/>
      <c r="T52" s="41"/>
    </row>
    <row r="53" spans="3:20">
      <c r="C53" s="3"/>
      <c r="H53" s="3"/>
      <c r="I53" s="3"/>
      <c r="J53" s="3"/>
      <c r="T53" s="41"/>
    </row>
    <row r="54" spans="3:20">
      <c r="C54" s="3"/>
      <c r="H54" s="3"/>
      <c r="I54" s="3"/>
      <c r="J54" s="3"/>
      <c r="T54" s="41"/>
    </row>
    <row r="55" spans="3:20">
      <c r="C55" s="3"/>
      <c r="H55" s="3"/>
      <c r="I55" s="3"/>
      <c r="J55" s="3"/>
      <c r="T55" s="41"/>
    </row>
    <row r="56" spans="3:20" ht="18">
      <c r="C56" s="37"/>
      <c r="H56" s="3"/>
      <c r="I56" s="3"/>
      <c r="J56" s="3"/>
      <c r="T56" s="41"/>
    </row>
    <row r="57" spans="3:20">
      <c r="T57" s="41"/>
    </row>
    <row r="58" spans="3:20">
      <c r="T58" s="41"/>
    </row>
    <row r="59" spans="3:20">
      <c r="T59" s="41"/>
    </row>
    <row r="60" spans="3:20">
      <c r="T60" s="41"/>
    </row>
    <row r="61" spans="3:20">
      <c r="T61" s="41"/>
    </row>
    <row r="62" spans="3:20">
      <c r="T62" s="41"/>
    </row>
    <row r="63" spans="3:20">
      <c r="T63" s="41"/>
    </row>
    <row r="64" spans="3:20">
      <c r="T64" s="41"/>
    </row>
    <row r="65" spans="3:20">
      <c r="T65" s="41"/>
    </row>
    <row r="66" spans="3:20">
      <c r="T66" s="41"/>
    </row>
    <row r="67" spans="3:20">
      <c r="T67" s="41"/>
    </row>
    <row r="68" spans="3:20">
      <c r="T68" s="41"/>
    </row>
    <row r="69" spans="3:20">
      <c r="T69" s="41"/>
    </row>
    <row r="70" spans="3:20">
      <c r="T70" s="41"/>
    </row>
    <row r="71" spans="3:20">
      <c r="T71" s="41"/>
    </row>
    <row r="72" spans="3:20">
      <c r="C72" s="3"/>
      <c r="H72" s="3"/>
      <c r="I72" s="3"/>
      <c r="J72" s="3"/>
      <c r="T72" s="41"/>
    </row>
    <row r="73" spans="3:20">
      <c r="C73" s="3"/>
      <c r="H73" s="3"/>
      <c r="I73" s="3"/>
      <c r="J73" s="3"/>
      <c r="T73" s="41"/>
    </row>
    <row r="74" spans="3:20">
      <c r="C74" s="3"/>
      <c r="H74" s="3"/>
      <c r="I74" s="3"/>
      <c r="J74" s="3"/>
      <c r="T74" s="41"/>
    </row>
    <row r="75" spans="3:20">
      <c r="C75" s="3"/>
      <c r="H75" s="3"/>
      <c r="I75" s="3"/>
      <c r="J75" s="3"/>
      <c r="T75" s="41"/>
    </row>
    <row r="76" spans="3:20">
      <c r="C76" s="3"/>
      <c r="H76" s="3"/>
      <c r="I76" s="3"/>
      <c r="J76" s="3"/>
      <c r="T76" s="41"/>
    </row>
    <row r="77" spans="3:20">
      <c r="C77" s="3"/>
      <c r="H77" s="3"/>
      <c r="I77" s="3"/>
      <c r="J77" s="3"/>
      <c r="T77" s="41"/>
    </row>
    <row r="78" spans="3:20">
      <c r="C78" s="3"/>
      <c r="H78" s="3"/>
      <c r="I78" s="3"/>
      <c r="J78" s="3"/>
      <c r="T78" s="41"/>
    </row>
    <row r="79" spans="3:20">
      <c r="C79" s="3"/>
      <c r="H79" s="3"/>
      <c r="I79" s="3"/>
      <c r="J79" s="3"/>
      <c r="T79" s="41"/>
    </row>
    <row r="80" spans="3:20">
      <c r="C80" s="3"/>
      <c r="H80" s="3"/>
      <c r="I80" s="3"/>
      <c r="J80" s="3"/>
      <c r="T80" s="41"/>
    </row>
    <row r="81" spans="3:20">
      <c r="C81" s="3"/>
      <c r="H81" s="3"/>
      <c r="I81" s="3"/>
      <c r="J81" s="3"/>
      <c r="T81" s="41"/>
    </row>
    <row r="82" spans="3:20">
      <c r="C82" s="3"/>
      <c r="H82" s="3"/>
      <c r="I82" s="3"/>
      <c r="J82" s="3"/>
      <c r="T82" s="41"/>
    </row>
    <row r="83" spans="3:20">
      <c r="C83" s="3"/>
      <c r="H83" s="3"/>
      <c r="I83" s="3"/>
      <c r="J83" s="3"/>
      <c r="T83" s="41"/>
    </row>
    <row r="84" spans="3:20">
      <c r="C84" s="3"/>
      <c r="H84" s="3"/>
      <c r="I84" s="3"/>
      <c r="J84" s="3"/>
      <c r="T84" s="41"/>
    </row>
    <row r="85" spans="3:20">
      <c r="C85" s="3"/>
      <c r="H85" s="3"/>
      <c r="I85" s="3"/>
      <c r="J85" s="3"/>
      <c r="T85" s="41"/>
    </row>
    <row r="86" spans="3:20">
      <c r="C86" s="3"/>
      <c r="H86" s="3"/>
      <c r="I86" s="3"/>
      <c r="J86" s="3"/>
      <c r="T86" s="41"/>
    </row>
    <row r="87" spans="3:20">
      <c r="C87" s="3"/>
      <c r="H87" s="3"/>
      <c r="I87" s="3"/>
      <c r="J87" s="3"/>
      <c r="T87" s="41"/>
    </row>
    <row r="88" spans="3:20">
      <c r="C88" s="3"/>
      <c r="H88" s="3"/>
      <c r="I88" s="3"/>
      <c r="J88" s="3"/>
      <c r="T88" s="41"/>
    </row>
    <row r="89" spans="3:20">
      <c r="C89" s="3"/>
      <c r="H89" s="3"/>
      <c r="I89" s="3"/>
      <c r="J89" s="3"/>
      <c r="T89" s="41"/>
    </row>
    <row r="90" spans="3:20">
      <c r="C90" s="3"/>
      <c r="H90" s="3"/>
      <c r="I90" s="3"/>
      <c r="J90" s="3"/>
      <c r="T90" s="41"/>
    </row>
    <row r="91" spans="3:20">
      <c r="C91" s="3"/>
      <c r="H91" s="3"/>
      <c r="I91" s="3"/>
      <c r="J91" s="3"/>
      <c r="T91" s="41"/>
    </row>
    <row r="92" spans="3:20">
      <c r="C92" s="3"/>
      <c r="H92" s="3"/>
      <c r="I92" s="3"/>
      <c r="J92" s="3"/>
      <c r="T92" s="41"/>
    </row>
    <row r="93" spans="3:20">
      <c r="C93" s="3"/>
      <c r="H93" s="3"/>
      <c r="I93" s="3"/>
      <c r="J93" s="3"/>
      <c r="T93" s="41"/>
    </row>
    <row r="94" spans="3:20">
      <c r="C94" s="3"/>
      <c r="H94" s="3"/>
      <c r="I94" s="3"/>
      <c r="J94" s="3"/>
      <c r="T94" s="41"/>
    </row>
    <row r="95" spans="3:20">
      <c r="C95" s="3"/>
      <c r="H95" s="3"/>
      <c r="I95" s="3"/>
      <c r="J95" s="3"/>
      <c r="T95" s="41"/>
    </row>
    <row r="96" spans="3:20">
      <c r="C96" s="3"/>
      <c r="H96" s="3"/>
      <c r="I96" s="3"/>
      <c r="J96" s="3"/>
      <c r="T96" s="41"/>
    </row>
    <row r="97" spans="3:20">
      <c r="C97" s="3"/>
      <c r="H97" s="3"/>
      <c r="I97" s="3"/>
      <c r="J97" s="3"/>
      <c r="T97" s="41"/>
    </row>
    <row r="98" spans="3:20">
      <c r="C98" s="3"/>
      <c r="H98" s="3"/>
      <c r="I98" s="3"/>
      <c r="J98" s="3"/>
      <c r="T98" s="41"/>
    </row>
    <row r="99" spans="3:20">
      <c r="C99" s="3"/>
      <c r="H99" s="3"/>
      <c r="I99" s="3"/>
      <c r="J99" s="3"/>
      <c r="T99" s="41"/>
    </row>
    <row r="100" spans="3:20">
      <c r="C100" s="3"/>
      <c r="H100" s="3"/>
      <c r="I100" s="3"/>
      <c r="J100" s="3"/>
      <c r="T100" s="41"/>
    </row>
    <row r="101" spans="3:20">
      <c r="C101" s="3"/>
      <c r="H101" s="3"/>
      <c r="I101" s="3"/>
      <c r="J101" s="3"/>
      <c r="T101" s="41"/>
    </row>
    <row r="102" spans="3:20">
      <c r="C102" s="3"/>
      <c r="H102" s="3"/>
      <c r="I102" s="3"/>
      <c r="J102" s="3"/>
      <c r="T102" s="41"/>
    </row>
  </sheetData>
  <mergeCells count="12">
    <mergeCell ref="C3:D3"/>
    <mergeCell ref="A5:C5"/>
    <mergeCell ref="G2:H2"/>
    <mergeCell ref="H7:J7"/>
    <mergeCell ref="K7:M7"/>
    <mergeCell ref="G3:H3"/>
    <mergeCell ref="G4:H4"/>
    <mergeCell ref="K6:S6"/>
    <mergeCell ref="A6:G6"/>
    <mergeCell ref="H6:J6"/>
    <mergeCell ref="C2:D2"/>
    <mergeCell ref="C4:D4"/>
  </mergeCells>
  <phoneticPr fontId="36" type="noConversion"/>
  <conditionalFormatting sqref="Q9:S29">
    <cfRule type="cellIs" dxfId="8" priority="37" stopIfTrue="1" operator="equal">
      <formula>"reject"</formula>
    </cfRule>
  </conditionalFormatting>
  <conditionalFormatting sqref="K9:M9 K12:M12 K14:M29">
    <cfRule type="cellIs" dxfId="7" priority="35" stopIfTrue="1" operator="greaterThan">
      <formula>$E9</formula>
    </cfRule>
    <cfRule type="cellIs" dxfId="6" priority="36" stopIfTrue="1" operator="lessThan">
      <formula>-$F9</formula>
    </cfRule>
  </conditionalFormatting>
  <conditionalFormatting sqref="K11:M11">
    <cfRule type="cellIs" dxfId="5" priority="27" stopIfTrue="1" operator="greaterThan">
      <formula>$E11</formula>
    </cfRule>
    <cfRule type="cellIs" dxfId="4" priority="28" stopIfTrue="1" operator="lessThan">
      <formula>-$F11</formula>
    </cfRule>
  </conditionalFormatting>
  <conditionalFormatting sqref="K13:M13">
    <cfRule type="cellIs" dxfId="3" priority="24" stopIfTrue="1" operator="greaterThan">
      <formula>$E13</formula>
    </cfRule>
    <cfRule type="cellIs" dxfId="2" priority="25" stopIfTrue="1" operator="lessThan">
      <formula>-$F13</formula>
    </cfRule>
  </conditionalFormatting>
  <conditionalFormatting sqref="K10:M10">
    <cfRule type="cellIs" dxfId="1" priority="7" stopIfTrue="1" operator="greaterThan">
      <formula>$E10</formula>
    </cfRule>
    <cfRule type="cellIs" dxfId="0" priority="8" stopIfTrue="1" operator="lessThan">
      <formula>-$F10</formula>
    </cfRule>
  </conditionalFormatting>
  <pageMargins left="0.70866141732283472" right="0.70866141732283472" top="0.74803149606299213" bottom="0.74803149606299213" header="0.31496062992125984" footer="0.31496062992125984"/>
  <pageSetup paperSize="9" scale="52" orientation="landscape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G21"/>
  <sheetViews>
    <sheetView topLeftCell="A4" workbookViewId="0">
      <selection activeCell="I19" sqref="I19"/>
    </sheetView>
  </sheetViews>
  <sheetFormatPr defaultColWidth="8.64453125" defaultRowHeight="12.4"/>
  <cols>
    <col min="4" max="6" width="11.3515625" customWidth="1"/>
  </cols>
  <sheetData>
    <row r="4" spans="2:6" ht="16.5" customHeight="1">
      <c r="B4" s="99" t="s">
        <v>66</v>
      </c>
      <c r="C4" s="102" t="s">
        <v>67</v>
      </c>
      <c r="D4" s="100" t="s">
        <v>70</v>
      </c>
      <c r="E4" s="100" t="s">
        <v>71</v>
      </c>
      <c r="F4" s="100" t="s">
        <v>72</v>
      </c>
    </row>
    <row r="5" spans="2:6" ht="16.5" customHeight="1">
      <c r="B5" s="99"/>
      <c r="C5" s="102"/>
      <c r="D5" s="100"/>
      <c r="E5" s="100"/>
      <c r="F5" s="100"/>
    </row>
    <row r="6" spans="2:6" ht="19.5" customHeight="1">
      <c r="B6" s="101" t="s">
        <v>68</v>
      </c>
      <c r="C6" s="46" t="s">
        <v>73</v>
      </c>
      <c r="D6" s="47">
        <v>13.477</v>
      </c>
      <c r="E6" s="47">
        <v>13.471</v>
      </c>
      <c r="F6" s="47">
        <v>13.82</v>
      </c>
    </row>
    <row r="7" spans="2:6" ht="19.5" customHeight="1">
      <c r="B7" s="101"/>
      <c r="C7" s="46" t="s">
        <v>74</v>
      </c>
      <c r="D7" s="47">
        <v>65.673000000000002</v>
      </c>
      <c r="E7" s="47">
        <v>65.801000000000002</v>
      </c>
      <c r="F7" s="47">
        <v>66.569000000000003</v>
      </c>
    </row>
    <row r="8" spans="2:6" ht="19.5" customHeight="1">
      <c r="B8" s="101"/>
      <c r="C8" s="46" t="s">
        <v>55</v>
      </c>
      <c r="D8" s="47">
        <v>49.033999999999999</v>
      </c>
      <c r="E8" s="47">
        <v>48.524000000000001</v>
      </c>
      <c r="F8" s="47">
        <v>48.901000000000003</v>
      </c>
    </row>
    <row r="9" spans="2:6" ht="19.5" customHeight="1">
      <c r="B9" s="101"/>
      <c r="C9" s="46" t="s">
        <v>56</v>
      </c>
      <c r="D9" s="47">
        <v>27.02</v>
      </c>
      <c r="E9" s="47">
        <v>27.206</v>
      </c>
      <c r="F9" s="47">
        <v>27.420999999999999</v>
      </c>
    </row>
    <row r="10" spans="2:6" ht="19.5" customHeight="1">
      <c r="B10" s="101" t="s">
        <v>69</v>
      </c>
      <c r="C10" s="46" t="s">
        <v>57</v>
      </c>
      <c r="D10" s="47">
        <v>49.29</v>
      </c>
      <c r="E10" s="47">
        <v>49.506999999999998</v>
      </c>
      <c r="F10" s="47">
        <v>48.975999999999999</v>
      </c>
    </row>
    <row r="11" spans="2:6" ht="19.5" customHeight="1">
      <c r="B11" s="101"/>
      <c r="C11" s="46" t="s">
        <v>58</v>
      </c>
      <c r="D11" s="47">
        <v>66.287000000000006</v>
      </c>
      <c r="E11" s="47">
        <v>65.742999999999995</v>
      </c>
      <c r="F11" s="47">
        <v>66.34</v>
      </c>
    </row>
    <row r="12" spans="2:6" ht="19.5" customHeight="1">
      <c r="B12" s="101"/>
      <c r="C12" s="46" t="s">
        <v>59</v>
      </c>
      <c r="D12" s="47">
        <v>14.333</v>
      </c>
      <c r="E12" s="47">
        <v>13.708</v>
      </c>
      <c r="F12" s="47">
        <v>14.051</v>
      </c>
    </row>
    <row r="13" spans="2:6" ht="19.5" customHeight="1">
      <c r="B13" s="101"/>
      <c r="C13" s="46" t="s">
        <v>60</v>
      </c>
      <c r="D13" s="47">
        <v>27.021999999999998</v>
      </c>
      <c r="E13" s="47">
        <v>27.036000000000001</v>
      </c>
      <c r="F13" s="47">
        <v>27.018999999999998</v>
      </c>
    </row>
    <row r="14" spans="2:6" ht="19.5" customHeight="1">
      <c r="B14" s="101" t="s">
        <v>75</v>
      </c>
      <c r="C14" s="46" t="s">
        <v>77</v>
      </c>
      <c r="D14" s="48">
        <f>+D6-D12</f>
        <v>-0.85599999999999987</v>
      </c>
      <c r="E14" s="48">
        <f>+E6-E12</f>
        <v>-0.2370000000000001</v>
      </c>
      <c r="F14" s="48">
        <f>+F6-F12</f>
        <v>-0.23099999999999987</v>
      </c>
    </row>
    <row r="15" spans="2:6" ht="19.5" customHeight="1">
      <c r="B15" s="101"/>
      <c r="C15" s="46" t="s">
        <v>78</v>
      </c>
      <c r="D15" s="48">
        <f>+D7-D11</f>
        <v>-0.61400000000000432</v>
      </c>
      <c r="E15" s="48">
        <f t="shared" ref="E15:F15" si="0">+E7-E11</f>
        <v>5.8000000000006935E-2</v>
      </c>
      <c r="F15" s="48">
        <f t="shared" si="0"/>
        <v>0.2289999999999992</v>
      </c>
    </row>
    <row r="16" spans="2:6" ht="19.5" customHeight="1">
      <c r="B16" s="101"/>
      <c r="C16" s="46" t="s">
        <v>79</v>
      </c>
      <c r="D16" s="48">
        <f>+D8-D10</f>
        <v>-0.25600000000000023</v>
      </c>
      <c r="E16" s="48">
        <f t="shared" ref="E16:F16" si="1">+E8-E10</f>
        <v>-0.98299999999999699</v>
      </c>
      <c r="F16" s="48">
        <f t="shared" si="1"/>
        <v>-7.4999999999995737E-2</v>
      </c>
    </row>
    <row r="17" spans="2:7" ht="19.5" customHeight="1">
      <c r="B17" s="101"/>
      <c r="C17" s="46" t="s">
        <v>76</v>
      </c>
      <c r="D17" s="48">
        <f>+D9-D13</f>
        <v>-1.9999999999988916E-3</v>
      </c>
      <c r="E17" s="48">
        <f t="shared" ref="E17:F17" si="2">+E9-E13</f>
        <v>0.16999999999999815</v>
      </c>
      <c r="F17" s="48">
        <f t="shared" si="2"/>
        <v>0.40200000000000102</v>
      </c>
    </row>
    <row r="18" spans="2:7" ht="17.649999999999999">
      <c r="B18" s="99" t="s">
        <v>84</v>
      </c>
      <c r="C18" s="49" t="s">
        <v>80</v>
      </c>
      <c r="D18" s="48">
        <f>D10-D12</f>
        <v>34.957000000000001</v>
      </c>
      <c r="E18" s="48">
        <f t="shared" ref="E18:F18" si="3">E10-E12</f>
        <v>35.798999999999999</v>
      </c>
      <c r="F18" s="48">
        <f t="shared" si="3"/>
        <v>34.924999999999997</v>
      </c>
      <c r="G18" s="48">
        <f>AVERAGE(D18:F18)</f>
        <v>35.226999999999997</v>
      </c>
    </row>
    <row r="19" spans="2:7" ht="17.649999999999999">
      <c r="B19" s="99"/>
      <c r="C19" s="49" t="s">
        <v>81</v>
      </c>
      <c r="D19" s="48">
        <f>D8-D6</f>
        <v>35.557000000000002</v>
      </c>
      <c r="E19" s="48">
        <f t="shared" ref="E19:F19" si="4">E8-E6</f>
        <v>35.052999999999997</v>
      </c>
      <c r="F19" s="48">
        <f t="shared" si="4"/>
        <v>35.081000000000003</v>
      </c>
      <c r="G19" s="48">
        <f t="shared" ref="G19:G21" si="5">AVERAGE(D19:F19)</f>
        <v>35.230333333333334</v>
      </c>
    </row>
    <row r="20" spans="2:7" ht="17.649999999999999">
      <c r="B20" s="99"/>
      <c r="C20" s="49" t="s">
        <v>82</v>
      </c>
      <c r="D20" s="48">
        <f>D11-D13</f>
        <v>39.265000000000008</v>
      </c>
      <c r="E20" s="48">
        <f t="shared" ref="E20:F20" si="6">E11-E13</f>
        <v>38.706999999999994</v>
      </c>
      <c r="F20" s="48">
        <f t="shared" si="6"/>
        <v>39.321000000000005</v>
      </c>
      <c r="G20" s="48">
        <f t="shared" si="5"/>
        <v>39.097666666666669</v>
      </c>
    </row>
    <row r="21" spans="2:7" ht="17.649999999999999">
      <c r="B21" s="99"/>
      <c r="C21" s="49" t="s">
        <v>83</v>
      </c>
      <c r="D21" s="48">
        <f>D7-D9</f>
        <v>38.653000000000006</v>
      </c>
      <c r="E21" s="48">
        <f t="shared" ref="E21:F21" si="7">E7-E9</f>
        <v>38.594999999999999</v>
      </c>
      <c r="F21" s="48">
        <f t="shared" si="7"/>
        <v>39.148000000000003</v>
      </c>
      <c r="G21" s="48">
        <f t="shared" si="5"/>
        <v>38.798666666666669</v>
      </c>
    </row>
  </sheetData>
  <mergeCells count="9">
    <mergeCell ref="B18:B21"/>
    <mergeCell ref="F4:F5"/>
    <mergeCell ref="B6:B9"/>
    <mergeCell ref="B10:B13"/>
    <mergeCell ref="B14:B17"/>
    <mergeCell ref="B4:B5"/>
    <mergeCell ref="C4:C5"/>
    <mergeCell ref="D4:D5"/>
    <mergeCell ref="E4:E5"/>
  </mergeCells>
  <phoneticPr fontId="36" type="noConversion"/>
  <pageMargins left="0.7" right="0.7" top="0.75" bottom="0.75" header="0.3" footer="0.3"/>
  <ignoredErrors>
    <ignoredError sqref="D16 E16:F16" formula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Head band</vt:lpstr>
      <vt:lpstr>眼睛孔位数据测量</vt:lpstr>
      <vt:lpstr>'Head band'!Print_Area</vt:lpstr>
    </vt:vector>
  </TitlesOfParts>
  <Company>Apple,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 Kim</dc:creator>
  <cp:lastModifiedBy>HXY</cp:lastModifiedBy>
  <cp:lastPrinted>2017-05-22T01:45:06Z</cp:lastPrinted>
  <dcterms:created xsi:type="dcterms:W3CDTF">2008-05-31T01:27:16Z</dcterms:created>
  <dcterms:modified xsi:type="dcterms:W3CDTF">2019-07-23T11:46:32Z</dcterms:modified>
</cp:coreProperties>
</file>